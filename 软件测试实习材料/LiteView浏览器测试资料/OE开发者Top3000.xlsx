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TOP3277" sheetId="1" r:id="rId1"/>
    <sheet name="原始数据" sheetId="2" r:id="rId2"/>
    <sheet name="开发者600" sheetId="3" r:id="rId3"/>
    <sheet name="开发者600原始" sheetId="4" r:id="rId4"/>
    <sheet name="TOP3277访问性+筛查" sheetId="5" r:id="rId5"/>
  </sheets>
  <definedNames>
    <definedName name="_xlnm._FilterDatabase" localSheetId="0">TOP3277!#REF!</definedName>
    <definedName name="_xlnm._FilterDatabase" localSheetId="1">'原始数据'!$A$1:$A$4110</definedName>
  </definedNames>
  <calcPr calcId="0"/>
</workbook>
</file>

<file path=xl/sharedStrings.xml><?xml version="1.0" encoding="utf-8"?>
<sst xmlns="http://schemas.openxmlformats.org/spreadsheetml/2006/main">
  <si>
    <t>网站名称</t>
  </si>
  <si>
    <t>URL</t>
  </si>
  <si>
    <t>百度</t>
  </si>
  <si>
    <t>baidu.com</t>
  </si>
  <si>
    <t>知乎</t>
  </si>
  <si>
    <t>zhihu.com</t>
  </si>
  <si>
    <t>腾讯网</t>
  </si>
  <si>
    <t>qq.com</t>
  </si>
  <si>
    <t>搜狐</t>
  </si>
  <si>
    <t>sohu.com</t>
  </si>
  <si>
    <t>哔哩哔哩</t>
  </si>
  <si>
    <t>bilibili.com</t>
  </si>
  <si>
    <t>网易网</t>
  </si>
  <si>
    <t>163.com</t>
  </si>
  <si>
    <t>好搜</t>
  </si>
  <si>
    <t>so.com</t>
  </si>
  <si>
    <t>微信公众平台</t>
  </si>
  <si>
    <t>mp.weixin.qq.com</t>
  </si>
  <si>
    <t>抖音短视频</t>
  </si>
  <si>
    <t>douyin.com</t>
  </si>
  <si>
    <t>阿里巴巴</t>
  </si>
  <si>
    <t>1688.com</t>
  </si>
  <si>
    <t>新浪微博</t>
  </si>
  <si>
    <t>weibo.com</t>
  </si>
  <si>
    <t>豆瓣</t>
  </si>
  <si>
    <t>douban.com</t>
  </si>
  <si>
    <t>搜狗</t>
  </si>
  <si>
    <t>sogou.com</t>
  </si>
  <si>
    <t>中国天气网</t>
  </si>
  <si>
    <t>weather.com.cn</t>
  </si>
  <si>
    <t>新浪网</t>
  </si>
  <si>
    <t>sina.com.cn</t>
  </si>
  <si>
    <t>openEuler 官网</t>
  </si>
  <si>
    <t>openeuler.org</t>
  </si>
  <si>
    <t>360doc个人图书馆</t>
  </si>
  <si>
    <t>360doc.cn</t>
  </si>
  <si>
    <t>优酷网</t>
  </si>
  <si>
    <t>youku.com</t>
  </si>
  <si>
    <t>腾讯视频网站</t>
  </si>
  <si>
    <t>v.qq.com</t>
  </si>
  <si>
    <t>爱奇艺网站</t>
  </si>
  <si>
    <t>iqiyi.com</t>
  </si>
  <si>
    <t>夸克下载</t>
  </si>
  <si>
    <t>quark.cn</t>
  </si>
  <si>
    <t>央视网站</t>
  </si>
  <si>
    <t>cctv.com</t>
  </si>
  <si>
    <t>中关村在线</t>
  </si>
  <si>
    <t>zol.com.cn</t>
  </si>
  <si>
    <t>CSDN社区</t>
  </si>
  <si>
    <t>csdn.net</t>
  </si>
  <si>
    <t>喜马拉雅</t>
  </si>
  <si>
    <t>ximalaya.com</t>
  </si>
  <si>
    <t>必应</t>
  </si>
  <si>
    <t>bing.com</t>
  </si>
  <si>
    <t>本地宝城市导航</t>
  </si>
  <si>
    <t>bendibao.com</t>
  </si>
  <si>
    <t>爱词霸</t>
  </si>
  <si>
    <t>iciba.com</t>
  </si>
  <si>
    <t>openEuler 官方文档</t>
  </si>
  <si>
    <t>docs.openeuler.org</t>
  </si>
  <si>
    <t>2345网址导航</t>
  </si>
  <si>
    <t>2345.com</t>
  </si>
  <si>
    <t>查字典</t>
  </si>
  <si>
    <t>chazidian.com</t>
  </si>
  <si>
    <t>澎湃新闻</t>
  </si>
  <si>
    <t>thepaper.cn</t>
  </si>
  <si>
    <t>Apple</t>
  </si>
  <si>
    <t>apple.com</t>
  </si>
  <si>
    <t>酷狗音乐</t>
  </si>
  <si>
    <t>kugou.com</t>
  </si>
  <si>
    <t>脚本之家</t>
  </si>
  <si>
    <t>jb51.net</t>
  </si>
  <si>
    <t>博客园</t>
  </si>
  <si>
    <t>cnblogs.com</t>
  </si>
  <si>
    <t>吾爱破解论坛</t>
  </si>
  <si>
    <t>52pojie.cn</t>
  </si>
  <si>
    <t>php中文网</t>
  </si>
  <si>
    <t>php.cn</t>
  </si>
  <si>
    <t>IT猫扑网</t>
  </si>
  <si>
    <t>itmop.com</t>
  </si>
  <si>
    <t>51CTO</t>
  </si>
  <si>
    <t>51cto.com</t>
  </si>
  <si>
    <t>菜鸟教程网</t>
  </si>
  <si>
    <t>runoob.com</t>
  </si>
  <si>
    <t>系统之家</t>
  </si>
  <si>
    <t>xitongzhijia.net</t>
  </si>
  <si>
    <t>SO JSON在线</t>
  </si>
  <si>
    <t>sojson.com</t>
  </si>
  <si>
    <t>凤凰科技</t>
  </si>
  <si>
    <t>tech.ifeng.com</t>
  </si>
  <si>
    <t>WordPress</t>
  </si>
  <si>
    <t>wordpress.com</t>
  </si>
  <si>
    <t>草料网</t>
  </si>
  <si>
    <t>cli.im</t>
  </si>
  <si>
    <t>Java编程</t>
  </si>
  <si>
    <t>iteye.com</t>
  </si>
  <si>
    <t>Gitee - 基于 Git 的代码托管和研发协作平台</t>
  </si>
  <si>
    <t>gitee.com</t>
  </si>
  <si>
    <t>秀米</t>
  </si>
  <si>
    <t>xiumi.us</t>
  </si>
  <si>
    <t>IT学习者网</t>
  </si>
  <si>
    <t>t086.com</t>
  </si>
  <si>
    <t>w3school在线教程</t>
  </si>
  <si>
    <t>w3school.com.cn</t>
  </si>
  <si>
    <t>华为开发者联盟</t>
  </si>
  <si>
    <t>developer.huawei.com</t>
  </si>
  <si>
    <t>开源中国社区</t>
  </si>
  <si>
    <t>oschina.net</t>
  </si>
  <si>
    <t>Json中文网</t>
  </si>
  <si>
    <t>json.cn</t>
  </si>
  <si>
    <t>96微信编辑器</t>
  </si>
  <si>
    <t>bj.96weixin.com</t>
  </si>
  <si>
    <t>SegmentFault程序员</t>
  </si>
  <si>
    <t>segmentfault.com</t>
  </si>
  <si>
    <t>在线工具</t>
  </si>
  <si>
    <t>tool.lu</t>
  </si>
  <si>
    <t>135编辑器</t>
  </si>
  <si>
    <t>135editor.com</t>
  </si>
  <si>
    <t>TP-LINK商用网络</t>
  </si>
  <si>
    <t>smb.tp-link.com.cn</t>
  </si>
  <si>
    <t>牛客网</t>
  </si>
  <si>
    <t>nowcoder.com</t>
  </si>
  <si>
    <t>Google Developers中国网</t>
  </si>
  <si>
    <t>developers.google.cn</t>
  </si>
  <si>
    <t>我拉网</t>
  </si>
  <si>
    <t>55.la</t>
  </si>
  <si>
    <t>在线工具大全</t>
  </si>
  <si>
    <t>lddgo.net</t>
  </si>
  <si>
    <t>蒲公英</t>
  </si>
  <si>
    <t>pgyer.com</t>
  </si>
  <si>
    <t>W3CSchool</t>
  </si>
  <si>
    <t>w3cschool.cn</t>
  </si>
  <si>
    <t>Visual Studio</t>
  </si>
  <si>
    <t>visualstudio.com</t>
  </si>
  <si>
    <t>C语言中文网</t>
  </si>
  <si>
    <t>c.biancheng.net</t>
  </si>
  <si>
    <t>飞桨AI Studio</t>
  </si>
  <si>
    <t>aistudio.baidu.com</t>
  </si>
  <si>
    <t>微信开放平台</t>
  </si>
  <si>
    <t>open.weixin.qq.com</t>
  </si>
  <si>
    <t>ITPUB技术论坛</t>
  </si>
  <si>
    <t>itpub.net</t>
  </si>
  <si>
    <t>DCloud</t>
  </si>
  <si>
    <t>dcloud.io</t>
  </si>
  <si>
    <t>Hishop网店系统</t>
  </si>
  <si>
    <t>hishop.com.cn</t>
  </si>
  <si>
    <t>至顶网</t>
  </si>
  <si>
    <t>zhiding.cn</t>
  </si>
  <si>
    <t>网易科技</t>
  </si>
  <si>
    <t>tech.163.com</t>
  </si>
  <si>
    <t>电子工程专辑</t>
  </si>
  <si>
    <t>eet-china.com</t>
  </si>
  <si>
    <t>Java</t>
  </si>
  <si>
    <t>java.com</t>
  </si>
  <si>
    <t>iSlide</t>
  </si>
  <si>
    <t>islide.cc</t>
  </si>
  <si>
    <t>聚合数据网站</t>
  </si>
  <si>
    <t>juhe.cn</t>
  </si>
  <si>
    <t>广州皓恒网络科技</t>
  </si>
  <si>
    <t>yjpoo.com</t>
  </si>
  <si>
    <t>开源中国在线工具</t>
  </si>
  <si>
    <t>tool.oschina.net</t>
  </si>
  <si>
    <t>捷并思信息技术有限责任公司</t>
  </si>
  <si>
    <t>jetbrains.com.cn</t>
  </si>
  <si>
    <t>Apifox</t>
  </si>
  <si>
    <t>apifox.com</t>
  </si>
  <si>
    <t>IT天空</t>
  </si>
  <si>
    <t>itsk.com</t>
  </si>
  <si>
    <t>Node.js中文网</t>
  </si>
  <si>
    <t>nodejs.cn</t>
  </si>
  <si>
    <t>WDlinux</t>
  </si>
  <si>
    <t>wdlinux.cn</t>
  </si>
  <si>
    <t>BitComet(比特彗星)</t>
  </si>
  <si>
    <t>bitcomet.com</t>
  </si>
  <si>
    <t>Think服务网站</t>
  </si>
  <si>
    <t>think.lenovo.com.cn</t>
  </si>
  <si>
    <t>飞桨PaddlePaddle</t>
  </si>
  <si>
    <t>paddlepaddle.org.cn</t>
  </si>
  <si>
    <t>deepseek</t>
  </si>
  <si>
    <t>deepseek.com</t>
  </si>
  <si>
    <t>豆包</t>
  </si>
  <si>
    <t>doubao.com</t>
  </si>
  <si>
    <t>文心一言</t>
  </si>
  <si>
    <t>yiyan.baidu.com</t>
  </si>
  <si>
    <t>kimi</t>
  </si>
  <si>
    <t>kimi.com</t>
  </si>
  <si>
    <t>通义</t>
  </si>
  <si>
    <t>tongyi.com</t>
  </si>
  <si>
    <t>腾讯混元</t>
  </si>
  <si>
    <t>hunyuan.tencent.com</t>
  </si>
  <si>
    <t>Flutter 中国</t>
  </si>
  <si>
    <t>flutter.cn</t>
  </si>
  <si>
    <t>A5任务</t>
  </si>
  <si>
    <t>a5.cn</t>
  </si>
  <si>
    <t>科易网</t>
  </si>
  <si>
    <t>1633.com</t>
  </si>
  <si>
    <t>百度百科</t>
  </si>
  <si>
    <t>baike.baidu.com</t>
  </si>
  <si>
    <t>好看视频</t>
  </si>
  <si>
    <t>haokan.baidu.com</t>
  </si>
  <si>
    <t>贴吧</t>
  </si>
  <si>
    <t>tieba.baidu.com</t>
  </si>
  <si>
    <t>知乎专栏</t>
  </si>
  <si>
    <t>zhuanlan.zhihu.com</t>
  </si>
  <si>
    <t>爱采购</t>
  </si>
  <si>
    <t>b2b.baidu.com</t>
  </si>
  <si>
    <t>微星官网</t>
  </si>
  <si>
    <t>msi.com</t>
  </si>
  <si>
    <t>Microsoft 支持</t>
  </si>
  <si>
    <t>support.microsoft.com</t>
  </si>
  <si>
    <t>希财网</t>
  </si>
  <si>
    <t>csai.cn</t>
  </si>
  <si>
    <t>SO JSON在线解析</t>
  </si>
  <si>
    <t>www.sojson.com</t>
  </si>
  <si>
    <t>源码之家网站</t>
  </si>
  <si>
    <t>mycodes.net</t>
  </si>
  <si>
    <t>微学苑</t>
  </si>
  <si>
    <t>www.weixueyuan.net</t>
  </si>
  <si>
    <t>DoNews</t>
  </si>
  <si>
    <t>donews.com</t>
  </si>
  <si>
    <t>DCloud问答</t>
  </si>
  <si>
    <t>ask.dcloud.net.cn</t>
  </si>
  <si>
    <t>易企秀</t>
  </si>
  <si>
    <t>eqxiu.com</t>
  </si>
  <si>
    <t>CSDN问答频道</t>
  </si>
  <si>
    <t>ask.csdn.net</t>
  </si>
  <si>
    <t>百度开放平台</t>
  </si>
  <si>
    <t>opendata.baidu.com</t>
  </si>
  <si>
    <t>MSDN - Microsoft 开发人员网络</t>
  </si>
  <si>
    <t>msdn.microsoft.com</t>
  </si>
  <si>
    <t>Linux公社</t>
  </si>
  <si>
    <t>linuxidc.com</t>
  </si>
  <si>
    <t>UI中国网</t>
  </si>
  <si>
    <t>ui.cn</t>
  </si>
  <si>
    <t>远景在线</t>
  </si>
  <si>
    <t>pcbeta.com</t>
  </si>
  <si>
    <t>TechNet中文网</t>
  </si>
  <si>
    <t>technet.microsoft.com</t>
  </si>
  <si>
    <t>fly63前端网</t>
  </si>
  <si>
    <t>fly63.com</t>
  </si>
  <si>
    <t>开源地理空间基金会中文分会</t>
  </si>
  <si>
    <t>osgeo.cn</t>
  </si>
  <si>
    <t>nba数据库</t>
  </si>
  <si>
    <t>stat-nba.com</t>
  </si>
  <si>
    <t>免费VPS服务器管理面板</t>
  </si>
  <si>
    <t>www.bt.cn</t>
  </si>
  <si>
    <t>讯飞开放平台</t>
  </si>
  <si>
    <t>www.xfyun.cn</t>
  </si>
  <si>
    <t>中国电子DIY之家网</t>
  </si>
  <si>
    <t>www.ndiy.cn</t>
  </si>
  <si>
    <t>红联</t>
  </si>
  <si>
    <t>linuxdiyf.com</t>
  </si>
  <si>
    <t>赛默飞世尔科技</t>
  </si>
  <si>
    <t>www.thermofisher.com</t>
  </si>
  <si>
    <t>ABC Dao</t>
  </si>
  <si>
    <t>abcdao.com</t>
  </si>
  <si>
    <t>中国自动识别网</t>
  </si>
  <si>
    <t>cnaidc.com</t>
  </si>
  <si>
    <t>Unix技术网</t>
  </si>
  <si>
    <t>chinaunix.net</t>
  </si>
  <si>
    <t>麦客</t>
  </si>
  <si>
    <t>mikecrm.com</t>
  </si>
  <si>
    <t>大众脸影视后期特效</t>
  </si>
  <si>
    <t>lookae.com</t>
  </si>
  <si>
    <t>Bootstrap中文网</t>
  </si>
  <si>
    <t>bootcss.com</t>
  </si>
  <si>
    <t>北京口耳相传科技</t>
  </si>
  <si>
    <t>axure.com.cn</t>
  </si>
  <si>
    <t>Axure中文网站</t>
  </si>
  <si>
    <t>www.axure.com.cn</t>
  </si>
  <si>
    <t>传智播客</t>
  </si>
  <si>
    <t>www.itcast.cn</t>
  </si>
  <si>
    <t>知末su模型网</t>
  </si>
  <si>
    <t>su.znzmo.com</t>
  </si>
  <si>
    <t>爱剪辑官网</t>
  </si>
  <si>
    <t>ijianji.com</t>
  </si>
  <si>
    <t>GameRes游资网</t>
  </si>
  <si>
    <t>gameres.com</t>
  </si>
  <si>
    <t>谷歌浏览器油猴代码库</t>
  </si>
  <si>
    <t>tampermonkey.net</t>
  </si>
  <si>
    <t>迅捷PDF转换器</t>
  </si>
  <si>
    <t>xjpdf.com</t>
  </si>
  <si>
    <t>中国电子顶级开发网</t>
  </si>
  <si>
    <t>bbs.eetop.cn</t>
  </si>
  <si>
    <t>软件自学网站</t>
  </si>
  <si>
    <t>www.rjzxw.com</t>
  </si>
  <si>
    <t>卡卡瑞泰网</t>
  </si>
  <si>
    <t>kkjishu.com</t>
  </si>
  <si>
    <t>phpStudy 探针 2014</t>
  </si>
  <si>
    <t>feedtrade.com.cn</t>
  </si>
  <si>
    <t>Python123</t>
  </si>
  <si>
    <t>python123.io</t>
  </si>
  <si>
    <t>友盟</t>
  </si>
  <si>
    <t>umeng.com</t>
  </si>
  <si>
    <t>FreeBuf网</t>
  </si>
  <si>
    <t>www.freebuf.com</t>
  </si>
  <si>
    <t>航歌知识平台</t>
  </si>
  <si>
    <t>www.hangge.com</t>
  </si>
  <si>
    <t>SketchUp吧</t>
  </si>
  <si>
    <t>sketchupbar.com</t>
  </si>
  <si>
    <t>特网科技</t>
  </si>
  <si>
    <t>www.56dr.com</t>
  </si>
  <si>
    <t>ESJSON在线工具首页</t>
  </si>
  <si>
    <t>esjson.com</t>
  </si>
  <si>
    <t>md5在线查询破解</t>
  </si>
  <si>
    <t>cmd5.com</t>
  </si>
  <si>
    <t>起点图：起点数据、网络小说数据可视化分析专家</t>
  </si>
  <si>
    <t>www.qidiantu.com</t>
  </si>
  <si>
    <t>CSS模板之家</t>
  </si>
  <si>
    <t>www.cssmoban.com</t>
  </si>
  <si>
    <t>C语言网</t>
  </si>
  <si>
    <t>www.dotcpp.com</t>
  </si>
  <si>
    <t>TeamViewer</t>
  </si>
  <si>
    <t>www.teamviewer.com</t>
  </si>
  <si>
    <t>Redis</t>
  </si>
  <si>
    <t>redis.io</t>
  </si>
  <si>
    <t>FGIS地图引擎</t>
  </si>
  <si>
    <t>www.86gis.com</t>
  </si>
  <si>
    <t>清华镜像</t>
  </si>
  <si>
    <t>mirrors.tuna.tsinghua.edu.cn</t>
  </si>
  <si>
    <t>达内</t>
  </si>
  <si>
    <t>www.tedu.cn</t>
  </si>
  <si>
    <t>编程猫</t>
  </si>
  <si>
    <t>www.codemao.cn</t>
  </si>
  <si>
    <t>JSON在线工具</t>
  </si>
  <si>
    <t>kjson.com</t>
  </si>
  <si>
    <t>蓝点网</t>
  </si>
  <si>
    <t>landiannews.com</t>
  </si>
  <si>
    <t>gfxcamp网站</t>
  </si>
  <si>
    <t>gfxcamp.com</t>
  </si>
  <si>
    <t>黑马程序员</t>
  </si>
  <si>
    <t>www.itheima.com</t>
  </si>
  <si>
    <t>上海商汤智能科技</t>
  </si>
  <si>
    <t>sensetime.com</t>
  </si>
  <si>
    <t>jQuery插件库</t>
  </si>
  <si>
    <t>jq22.com</t>
  </si>
  <si>
    <t>PageAdmin网站管理系统</t>
  </si>
  <si>
    <t>pageadmin.net</t>
  </si>
  <si>
    <t>公卫人－公共卫生专业网站</t>
  </si>
  <si>
    <t>epiman.cn</t>
  </si>
  <si>
    <t>中国IT应用门户</t>
  </si>
  <si>
    <t>doit.com.cn</t>
  </si>
  <si>
    <t>千寻位置</t>
  </si>
  <si>
    <t>qxwz.com</t>
  </si>
  <si>
    <t>会声会影</t>
  </si>
  <si>
    <t>huishenghuiying.com.cn</t>
  </si>
  <si>
    <t>InfoQ</t>
  </si>
  <si>
    <t>www.infoq.cn</t>
  </si>
  <si>
    <t>亦是美网络</t>
  </si>
  <si>
    <t>www.yishimei.cn</t>
  </si>
  <si>
    <t>力扣信息科技</t>
  </si>
  <si>
    <t>leetcode-cn.com</t>
  </si>
  <si>
    <t>河南中设智控信息科技</t>
  </si>
  <si>
    <t>zszkhn.com</t>
  </si>
  <si>
    <t>SQLite</t>
  </si>
  <si>
    <t>sqlite.org</t>
  </si>
  <si>
    <t>鸿鹄网</t>
  </si>
  <si>
    <t>hh010.com</t>
  </si>
  <si>
    <t>慧都</t>
  </si>
  <si>
    <t>www.evget.com</t>
  </si>
  <si>
    <t>常青藤软件科技官网</t>
  </si>
  <si>
    <t>cqttech.com</t>
  </si>
  <si>
    <t>在线图像处理和编辑工具</t>
  </si>
  <si>
    <t>www.iloveimg.com</t>
  </si>
  <si>
    <t>商务星软件</t>
  </si>
  <si>
    <t>www.bsstar.net</t>
  </si>
  <si>
    <t>Docer稻売儿</t>
  </si>
  <si>
    <t>docer.com</t>
  </si>
  <si>
    <t>在线Photoshop</t>
  </si>
  <si>
    <t>tuyitu.com</t>
  </si>
  <si>
    <t>Java开源大全</t>
  </si>
  <si>
    <t>open-open.com</t>
  </si>
  <si>
    <t>夜神安卓模拟器</t>
  </si>
  <si>
    <t>bignox.com</t>
  </si>
  <si>
    <t>ThinkPHP框架</t>
  </si>
  <si>
    <t>thinkphp.cn</t>
  </si>
  <si>
    <t>小蚂蚁</t>
  </si>
  <si>
    <t>www.xmyeditor.com</t>
  </si>
  <si>
    <t>摩点网</t>
  </si>
  <si>
    <t>modian.com</t>
  </si>
  <si>
    <t>易企商道</t>
  </si>
  <si>
    <t>req.com.cn</t>
  </si>
  <si>
    <t>模板王</t>
  </si>
  <si>
    <t>www.mobanwang.com</t>
  </si>
  <si>
    <t>Teambition</t>
  </si>
  <si>
    <t>teambition.com</t>
  </si>
  <si>
    <t>Scratch少儿编程网</t>
  </si>
  <si>
    <t>www.china-scratch.com</t>
  </si>
  <si>
    <t>360系统重装大师</t>
  </si>
  <si>
    <t>renew.360.cn</t>
  </si>
  <si>
    <t>单片机教程网</t>
  </si>
  <si>
    <t>51hei.com</t>
  </si>
  <si>
    <t>OpenEdv</t>
  </si>
  <si>
    <t>openedv.com</t>
  </si>
  <si>
    <t>微粤科技</t>
  </si>
  <si>
    <t>www.weiyuekj.com</t>
  </si>
  <si>
    <t>得票文学网 — 最新好看的言情小说推荐</t>
  </si>
  <si>
    <t>www.deep-os.com</t>
  </si>
  <si>
    <t>资源分享网</t>
  </si>
  <si>
    <t>ziyuan.tv</t>
  </si>
  <si>
    <t>FileZilla</t>
  </si>
  <si>
    <t>www.filezilla.cn</t>
  </si>
  <si>
    <t>中软国际</t>
  </si>
  <si>
    <t>chinasofti.com</t>
  </si>
  <si>
    <t>软件测试网</t>
  </si>
  <si>
    <t>51testing.com</t>
  </si>
  <si>
    <t>thinkphp</t>
  </si>
  <si>
    <t>www.thinkphp.cn</t>
  </si>
  <si>
    <t>牛华网</t>
  </si>
  <si>
    <t>www.newhua.com</t>
  </si>
  <si>
    <t>寒武纪科技</t>
  </si>
  <si>
    <t>cambricon.com</t>
  </si>
  <si>
    <t>迅捷网络</t>
  </si>
  <si>
    <t>www.fastcom.com.cn</t>
  </si>
  <si>
    <t>免费部落</t>
  </si>
  <si>
    <t>mfbuluo.com</t>
  </si>
  <si>
    <t>九思协同软件有限公司</t>
  </si>
  <si>
    <t>www.jiusi.net</t>
  </si>
  <si>
    <t>飞天诚信</t>
  </si>
  <si>
    <t>ftsafe.com.cn</t>
  </si>
  <si>
    <t>正则表达式在线测试、在线生成工具</t>
  </si>
  <si>
    <t>regexp.cn</t>
  </si>
  <si>
    <t>access软件网</t>
  </si>
  <si>
    <t>accessoft.com</t>
  </si>
  <si>
    <t>Gitee 私有化部署</t>
  </si>
  <si>
    <t>gitee.cn</t>
  </si>
  <si>
    <t>海兰信</t>
  </si>
  <si>
    <t>www.highlander.com.cn</t>
  </si>
  <si>
    <t>i排版</t>
  </si>
  <si>
    <t>ipaiban.com</t>
  </si>
  <si>
    <t>微软logo</t>
  </si>
  <si>
    <t>www.wrgho.com</t>
  </si>
  <si>
    <t>雨林木风系统</t>
  </si>
  <si>
    <t>ylmfeng.com</t>
  </si>
  <si>
    <t>易语言汉语编程官方站</t>
  </si>
  <si>
    <t>dywt.com.cn</t>
  </si>
  <si>
    <t>技术导航网</t>
  </si>
  <si>
    <t>jishu5.com</t>
  </si>
  <si>
    <t>同花顺行业频道</t>
  </si>
  <si>
    <t>field.10jqka.com.cn</t>
  </si>
  <si>
    <t>作业帮-百川任务平台</t>
  </si>
  <si>
    <t>baichuanweb.com</t>
  </si>
  <si>
    <t>JQuery EasyUI中文网</t>
  </si>
  <si>
    <t>jeasyui.net</t>
  </si>
  <si>
    <t>电子工程网</t>
  </si>
  <si>
    <t>eechina.com</t>
  </si>
  <si>
    <t>新浪微博开放平台</t>
  </si>
  <si>
    <t>open.weibo.com</t>
  </si>
  <si>
    <t>中华工商时报社</t>
  </si>
  <si>
    <t>cbt.com.cn</t>
  </si>
  <si>
    <t>编程客栈门户网</t>
  </si>
  <si>
    <t>www.cppcns.com</t>
  </si>
  <si>
    <t>码云</t>
  </si>
  <si>
    <t>git.oschina.net</t>
  </si>
  <si>
    <t>支点网</t>
  </si>
  <si>
    <t>topoint.com.cn</t>
  </si>
  <si>
    <t>首都信息发展股份有限公司</t>
  </si>
  <si>
    <t>capinfo.com.cn</t>
  </si>
  <si>
    <t>Python中文网</t>
  </si>
  <si>
    <t>www.cnpython.com</t>
  </si>
  <si>
    <t>开发者教程资源网</t>
  </si>
  <si>
    <t>www.javascriptcn.com</t>
  </si>
  <si>
    <t>365编辑器</t>
  </si>
  <si>
    <t>www.365editor.com</t>
  </si>
  <si>
    <t>中国银联开放平台</t>
  </si>
  <si>
    <t>open.unionpay.com</t>
  </si>
  <si>
    <t>蓝队网络</t>
  </si>
  <si>
    <t>landui.com</t>
  </si>
  <si>
    <t>建站之星</t>
  </si>
  <si>
    <t>sitestar.cn</t>
  </si>
  <si>
    <t>EMQ官方网站</t>
  </si>
  <si>
    <t>www.emqx.com</t>
  </si>
  <si>
    <t>MAKA创作工具</t>
  </si>
  <si>
    <t>maka.im</t>
  </si>
  <si>
    <t>网际电脑技术中心</t>
  </si>
  <si>
    <t>wjdiy.com</t>
  </si>
  <si>
    <t>易源数据</t>
  </si>
  <si>
    <t>showapi.com</t>
  </si>
  <si>
    <t>模板无忧</t>
  </si>
  <si>
    <t>mb5u.com</t>
  </si>
  <si>
    <t>TiOps堡垒机</t>
  </si>
  <si>
    <t>huandong.tech</t>
  </si>
  <si>
    <t>码农网</t>
  </si>
  <si>
    <t>manong5.com</t>
  </si>
  <si>
    <t>Anycodes在线编程</t>
  </si>
  <si>
    <t>anycodes.cn</t>
  </si>
  <si>
    <t>phpyun人才系统</t>
  </si>
  <si>
    <t>phpyun.com</t>
  </si>
  <si>
    <t>CAD之家</t>
  </si>
  <si>
    <t>cadzj.com</t>
  </si>
  <si>
    <t>悟空软件</t>
  </si>
  <si>
    <t>www.5kcrm.com</t>
  </si>
  <si>
    <t>51CTO移动开发频道</t>
  </si>
  <si>
    <t>mobile.51cto.com</t>
  </si>
  <si>
    <t>工具猫</t>
  </si>
  <si>
    <t>toolmao.com</t>
  </si>
  <si>
    <t>易语言资源下载网</t>
  </si>
  <si>
    <t>www.eyuyan.la</t>
  </si>
  <si>
    <t>解道</t>
  </si>
  <si>
    <t>jdon.com</t>
  </si>
  <si>
    <t>X研究</t>
  </si>
  <si>
    <t>ha97.com</t>
  </si>
  <si>
    <t>解道jdon</t>
  </si>
  <si>
    <t>www.jdon.com</t>
  </si>
  <si>
    <t>Code码农网</t>
  </si>
  <si>
    <t>codercto.com</t>
  </si>
  <si>
    <t>Coding</t>
  </si>
  <si>
    <t>coding.net</t>
  </si>
  <si>
    <t>和讯科技</t>
  </si>
  <si>
    <t>tech.hexun.com</t>
  </si>
  <si>
    <t>LangChain中文网</t>
  </si>
  <si>
    <t>langchain.com.cn</t>
  </si>
  <si>
    <t>传智教育和黑马程序员视频库</t>
  </si>
  <si>
    <t>yun.itheima.com</t>
  </si>
  <si>
    <t>戴氏精品堂</t>
  </si>
  <si>
    <t>www.dsjpt.net</t>
  </si>
  <si>
    <t>技术文库网</t>
  </si>
  <si>
    <t>jswku.com</t>
  </si>
  <si>
    <t>百度云OS</t>
  </si>
  <si>
    <t>os.baidu.com</t>
  </si>
  <si>
    <t>BlogJava</t>
  </si>
  <si>
    <t>blogjava.net</t>
  </si>
  <si>
    <t>BootCDN</t>
  </si>
  <si>
    <t>www.bootcdn.cn</t>
  </si>
  <si>
    <t>Coder·码农网</t>
  </si>
  <si>
    <t>www.codercto.com</t>
  </si>
  <si>
    <t>小码王scratch编程社区</t>
  </si>
  <si>
    <t>world.xiaomawang.com</t>
  </si>
  <si>
    <t>帝国CMS</t>
  </si>
  <si>
    <t>phome.net</t>
  </si>
  <si>
    <t>Json在线解析格式化</t>
  </si>
  <si>
    <t>yunjson.com</t>
  </si>
  <si>
    <t>月光软件</t>
  </si>
  <si>
    <t>moon-soft.com</t>
  </si>
  <si>
    <t>蓝队云</t>
  </si>
  <si>
    <t>www.landui.com</t>
  </si>
  <si>
    <t>尘白禁区官网</t>
  </si>
  <si>
    <t>project-snow.com</t>
  </si>
  <si>
    <t>助君网络</t>
  </si>
  <si>
    <t>www.cnjunnet.com</t>
  </si>
  <si>
    <t>三商诚信官网</t>
  </si>
  <si>
    <t>indev.cn</t>
  </si>
  <si>
    <t>C++博客平台</t>
  </si>
  <si>
    <t>www.cppblog.com</t>
  </si>
  <si>
    <t>Linux教程网</t>
  </si>
  <si>
    <t>linuxrtm.com</t>
  </si>
  <si>
    <t>好例子网</t>
  </si>
  <si>
    <t>www.haolizi.net</t>
  </si>
  <si>
    <t>妈咪说传媒科技</t>
  </si>
  <si>
    <t>www.latexlive.com</t>
  </si>
  <si>
    <t>云无限</t>
  </si>
  <si>
    <t>yunwuxian.net</t>
  </si>
  <si>
    <t>挖数据官网</t>
  </si>
  <si>
    <t>www.wapi.cn</t>
  </si>
  <si>
    <t>程序设计网</t>
  </si>
  <si>
    <t>gitapp.cn</t>
  </si>
  <si>
    <t>LMLPHP</t>
  </si>
  <si>
    <t>www.lmlphp.com</t>
  </si>
  <si>
    <t>中国测控网</t>
  </si>
  <si>
    <t>ck365.cn</t>
  </si>
  <si>
    <t>黑苹果社区</t>
  </si>
  <si>
    <t>osx.cx</t>
  </si>
  <si>
    <t>爱运营网站</t>
  </si>
  <si>
    <t>iyunying.org</t>
  </si>
  <si>
    <t>源码中国</t>
  </si>
  <si>
    <t>ymcn.org</t>
  </si>
  <si>
    <t>谷谷点程序</t>
  </si>
  <si>
    <t>3qphp.com</t>
  </si>
  <si>
    <t>爱运营网</t>
  </si>
  <si>
    <t>www.iyunying.org</t>
  </si>
  <si>
    <t>EDUSOHO网络课堂</t>
  </si>
  <si>
    <t>edusoho.com</t>
  </si>
  <si>
    <t>北京数字认证股份有限公司</t>
  </si>
  <si>
    <t>help.bjca.org.cn</t>
  </si>
  <si>
    <t>上海匠涌信息科技官网</t>
  </si>
  <si>
    <t>www.jsoncloud.org</t>
  </si>
  <si>
    <t>山石网科</t>
  </si>
  <si>
    <t>hillstonenet.com.cn</t>
  </si>
  <si>
    <t>四川时来科技</t>
  </si>
  <si>
    <t>vitejs.cn</t>
  </si>
  <si>
    <t>EOLink</t>
  </si>
  <si>
    <t>www.eolink.com</t>
  </si>
  <si>
    <t>CAD开发者社区</t>
  </si>
  <si>
    <t>cadn.net.cn</t>
  </si>
  <si>
    <t>秀站网</t>
  </si>
  <si>
    <t>www.xiuzhanwang.com</t>
  </si>
  <si>
    <t>北京平凯星辰官方网站</t>
  </si>
  <si>
    <t>www.pingcap.com</t>
  </si>
  <si>
    <t>CSS网</t>
  </si>
  <si>
    <t>www.divcss5.com</t>
  </si>
  <si>
    <t>formysql官方网站</t>
  </si>
  <si>
    <t>www.formysql.com</t>
  </si>
  <si>
    <t>正版海外抖音服务器官网</t>
  </si>
  <si>
    <t>nodecheck.cn</t>
  </si>
  <si>
    <t>壹零代码网</t>
  </si>
  <si>
    <t>codexy.cn</t>
  </si>
  <si>
    <t>C 博客</t>
  </si>
  <si>
    <t>cppblog.com</t>
  </si>
  <si>
    <t>运营喵网站</t>
  </si>
  <si>
    <t>www.yymiao.cn</t>
  </si>
  <si>
    <t>一键U盘装系统</t>
  </si>
  <si>
    <t>www.upanok.com</t>
  </si>
  <si>
    <t>易百讯</t>
  </si>
  <si>
    <t>www.yibaixun.com</t>
  </si>
  <si>
    <t>玉苗科技官网</t>
  </si>
  <si>
    <t>yumiaokeji.cn</t>
  </si>
  <si>
    <t>郑州商帮网络科技</t>
  </si>
  <si>
    <t>www.apipost.cn</t>
  </si>
  <si>
    <t>Microsoft开发人员网络</t>
  </si>
  <si>
    <t>msdn.com</t>
  </si>
  <si>
    <t>51Testing</t>
  </si>
  <si>
    <t>www.51testing.net</t>
  </si>
  <si>
    <t>威易网</t>
  </si>
  <si>
    <t>www.weste.net</t>
  </si>
  <si>
    <t>万户网络</t>
  </si>
  <si>
    <t>wanhu.com.cn</t>
  </si>
  <si>
    <t>北京扣丁在线科技</t>
  </si>
  <si>
    <t>codingke.com</t>
  </si>
  <si>
    <t>MetInfo</t>
  </si>
  <si>
    <t>metinfo.cn</t>
  </si>
  <si>
    <t>Sass中文网</t>
  </si>
  <si>
    <t>www.sass.hk</t>
  </si>
  <si>
    <t>ug软件自学网</t>
  </si>
  <si>
    <t>9sug.com</t>
  </si>
  <si>
    <t>易百网</t>
  </si>
  <si>
    <t>yiibai.com</t>
  </si>
  <si>
    <t>深圳市长亮科技股份有限公司</t>
  </si>
  <si>
    <t>sunline.cn</t>
  </si>
  <si>
    <t>客户关系管理</t>
  </si>
  <si>
    <t>cloudcc.com</t>
  </si>
  <si>
    <t>TutorialSpoint</t>
  </si>
  <si>
    <t>www.tutorialspoint.com</t>
  </si>
  <si>
    <t>爱站网站</t>
  </si>
  <si>
    <t>js.aizhan.com</t>
  </si>
  <si>
    <t>捷速OCR文字识别软件</t>
  </si>
  <si>
    <t>jsocr.com</t>
  </si>
  <si>
    <t>北京旷视科技</t>
  </si>
  <si>
    <t>www.megvii.com</t>
  </si>
  <si>
    <t>SEO每天一贴</t>
  </si>
  <si>
    <t>www.seozac.com</t>
  </si>
  <si>
    <t>改图吧</t>
  </si>
  <si>
    <t>www.gaituba.com</t>
  </si>
  <si>
    <t>workerman Socket 服务器框架</t>
  </si>
  <si>
    <t>workerman.net</t>
  </si>
  <si>
    <t>火车采集器</t>
  </si>
  <si>
    <t>locoy.com</t>
  </si>
  <si>
    <t>过硬营销</t>
  </si>
  <si>
    <t>www.10guoying.com</t>
  </si>
  <si>
    <t>网易镜像</t>
  </si>
  <si>
    <t>mirrors.163.com</t>
  </si>
  <si>
    <t>EduSoho</t>
  </si>
  <si>
    <t>www.edusoho.com</t>
  </si>
  <si>
    <t>WordPress大学网</t>
  </si>
  <si>
    <t>www.wpdaxue.com</t>
  </si>
  <si>
    <t>Tap自助建站</t>
  </si>
  <si>
    <t>tap.cn</t>
  </si>
  <si>
    <t>心蓝数据</t>
  </si>
  <si>
    <t>bhdata.com</t>
  </si>
  <si>
    <t>APISpace</t>
  </si>
  <si>
    <t>www.apispace.com</t>
  </si>
  <si>
    <t>tpshop商城系统</t>
  </si>
  <si>
    <t>www.tp-shop.cn</t>
  </si>
  <si>
    <t>他们都叫我柯基</t>
  </si>
  <si>
    <t>www.callmekeji.com</t>
  </si>
  <si>
    <t>Kubernetes</t>
  </si>
  <si>
    <t>www.kubernetes.org.cn</t>
  </si>
  <si>
    <t>四川迅睿云软件开发</t>
  </si>
  <si>
    <t>www.xunruicms.com</t>
  </si>
  <si>
    <t>软文街</t>
  </si>
  <si>
    <t>ruanwen.la</t>
  </si>
  <si>
    <t>代码生成器</t>
  </si>
  <si>
    <t>ouchen.tech</t>
  </si>
  <si>
    <t>悦轩网络科技</t>
  </si>
  <si>
    <t>yuexuan.tech</t>
  </si>
  <si>
    <t>HTML在线网页构建器</t>
  </si>
  <si>
    <t>htmlpage.cn</t>
  </si>
  <si>
    <t>天源迪科</t>
  </si>
  <si>
    <t>www.tydic.com</t>
  </si>
  <si>
    <t>素材中国搜索频道</t>
  </si>
  <si>
    <t>so.sccnn.com</t>
  </si>
  <si>
    <t>深度IP转换器</t>
  </si>
  <si>
    <t>www.6nn9.com</t>
  </si>
  <si>
    <t>冬惊鱼优秀文档showdoc</t>
  </si>
  <si>
    <t>showdoc.com.cn</t>
  </si>
  <si>
    <t>JEECG</t>
  </si>
  <si>
    <t>jeecg.com</t>
  </si>
  <si>
    <t>北京创科慧仁科技</t>
  </si>
  <si>
    <t>www.modbus.cn</t>
  </si>
  <si>
    <t>Ubuntu</t>
  </si>
  <si>
    <t>www.ubuntu.com</t>
  </si>
  <si>
    <t>牛商网</t>
  </si>
  <si>
    <t>nsw88.com</t>
  </si>
  <si>
    <t>东方财富网</t>
  </si>
  <si>
    <t>eastmoney.com</t>
  </si>
  <si>
    <t>汽车之家网站</t>
  </si>
  <si>
    <t>autohome.com.cn</t>
  </si>
  <si>
    <t>博客频道</t>
  </si>
  <si>
    <t>blog.csdn.net</t>
  </si>
  <si>
    <t>必应网</t>
  </si>
  <si>
    <t>cn.bing.com</t>
  </si>
  <si>
    <t>39健康网</t>
  </si>
  <si>
    <t>39.net</t>
  </si>
  <si>
    <t>搜狗百科</t>
  </si>
  <si>
    <t>baike.sogou.com</t>
  </si>
  <si>
    <t>太平洋汽车网</t>
  </si>
  <si>
    <t>pcauto.com.cn</t>
  </si>
  <si>
    <t>携程旅行网</t>
  </si>
  <si>
    <t>ctrip.com</t>
  </si>
  <si>
    <t>CCTV央视网</t>
  </si>
  <si>
    <t>tv.cctv.com</t>
  </si>
  <si>
    <t>京东商城</t>
  </si>
  <si>
    <t>jd.com</t>
  </si>
  <si>
    <t>梅州2345天气王</t>
  </si>
  <si>
    <t>waptianqi.2345.com</t>
  </si>
  <si>
    <t>东方网</t>
  </si>
  <si>
    <t>eastday.com</t>
  </si>
  <si>
    <t>360影视</t>
  </si>
  <si>
    <t>360kan.com</t>
  </si>
  <si>
    <t>中国福彩</t>
  </si>
  <si>
    <t>cwl.gov.cn</t>
  </si>
  <si>
    <t>新浪彩票</t>
  </si>
  <si>
    <t>lotto.sina.cn</t>
  </si>
  <si>
    <t>中国体彩网</t>
  </si>
  <si>
    <t>lottery.gov.cn</t>
  </si>
  <si>
    <t>凤凰网</t>
  </si>
  <si>
    <t>ifeng.com</t>
  </si>
  <si>
    <t>东方天气网</t>
  </si>
  <si>
    <t>tianqi.eastday.com</t>
  </si>
  <si>
    <t>安居客</t>
  </si>
  <si>
    <t>anjuke.com</t>
  </si>
  <si>
    <t>给力词典</t>
  </si>
  <si>
    <t>gei6.com</t>
  </si>
  <si>
    <t>和讯网</t>
  </si>
  <si>
    <t>hexun.com</t>
  </si>
  <si>
    <t>360安全中心</t>
  </si>
  <si>
    <t>360.cn</t>
  </si>
  <si>
    <t>太平洋电脑网</t>
  </si>
  <si>
    <t>pconline.com.cn</t>
  </si>
  <si>
    <t>58同城</t>
  </si>
  <si>
    <t>58.com</t>
  </si>
  <si>
    <t>东方财富</t>
  </si>
  <si>
    <t>quote.eastmoney.com</t>
  </si>
  <si>
    <t>人民网</t>
  </si>
  <si>
    <t>people.com.cn</t>
  </si>
  <si>
    <t>和讯外汇</t>
  </si>
  <si>
    <t>forex.hexun.com</t>
  </si>
  <si>
    <t>汉典</t>
  </si>
  <si>
    <t>zdic.net</t>
  </si>
  <si>
    <t>彩宝贝</t>
  </si>
  <si>
    <t>78500.cn</t>
  </si>
  <si>
    <t>天气网</t>
  </si>
  <si>
    <t>tianqi.com</t>
  </si>
  <si>
    <t>学信网</t>
  </si>
  <si>
    <t>chsi.com.cn</t>
  </si>
  <si>
    <t>民福康</t>
  </si>
  <si>
    <t>mfk.com</t>
  </si>
  <si>
    <t>华军软件园</t>
  </si>
  <si>
    <t>onlinedown.net</t>
  </si>
  <si>
    <t>无忧考网</t>
  </si>
  <si>
    <t>51test.net</t>
  </si>
  <si>
    <t>起点中文网</t>
  </si>
  <si>
    <t>qidian.com</t>
  </si>
  <si>
    <t>1905电影网</t>
  </si>
  <si>
    <t>1905.com</t>
  </si>
  <si>
    <t>搜房房地产网</t>
  </si>
  <si>
    <t>fang.com</t>
  </si>
  <si>
    <t>华律网</t>
  </si>
  <si>
    <t>66law.cn</t>
  </si>
  <si>
    <t>什么值得买</t>
  </si>
  <si>
    <t>smzdm.com</t>
  </si>
  <si>
    <t>99健康网</t>
  </si>
  <si>
    <t>99.com.cn</t>
  </si>
  <si>
    <t>美篇app</t>
  </si>
  <si>
    <t>meipian.cn</t>
  </si>
  <si>
    <t>新浪财经</t>
  </si>
  <si>
    <t>finance.sina.com.cn</t>
  </si>
  <si>
    <t>中学语文教学资源网</t>
  </si>
  <si>
    <t>ruiwen.com</t>
  </si>
  <si>
    <t>第一范文网</t>
  </si>
  <si>
    <t>diyifanwen.com</t>
  </si>
  <si>
    <t>天眼查</t>
  </si>
  <si>
    <t>tianyancha.com</t>
  </si>
  <si>
    <t>中央气象台网站</t>
  </si>
  <si>
    <t>nmc.cn</t>
  </si>
  <si>
    <t>今日头条</t>
  </si>
  <si>
    <t>toutiao.com</t>
  </si>
  <si>
    <t>晋江文学城</t>
  </si>
  <si>
    <t>jjwxc.net</t>
  </si>
  <si>
    <t>搜狗问问</t>
  </si>
  <si>
    <t>wenwen.sogou.com</t>
  </si>
  <si>
    <t>搜狐视频</t>
  </si>
  <si>
    <t>tv.sohu.com</t>
  </si>
  <si>
    <t>酷我音乐网站</t>
  </si>
  <si>
    <t>kuwo.cn</t>
  </si>
  <si>
    <t>站长之家</t>
  </si>
  <si>
    <t>chinaz.com</t>
  </si>
  <si>
    <t>东方财富站</t>
  </si>
  <si>
    <t>wap.eastmoney.com</t>
  </si>
  <si>
    <t>豌豆荚</t>
  </si>
  <si>
    <t>wandoujia.com</t>
  </si>
  <si>
    <t>同花顺金融服务网</t>
  </si>
  <si>
    <t>10jqka.com.cn</t>
  </si>
  <si>
    <t>书旗网</t>
  </si>
  <si>
    <t>shuqi.com</t>
  </si>
  <si>
    <t>央视网</t>
  </si>
  <si>
    <t>cntv.cn</t>
  </si>
  <si>
    <t>99健康</t>
  </si>
  <si>
    <t>mip.99.com.cn</t>
  </si>
  <si>
    <t>环球网</t>
  </si>
  <si>
    <t>huanqiu.com</t>
  </si>
  <si>
    <t>有驾</t>
  </si>
  <si>
    <t>yoojia.com</t>
  </si>
  <si>
    <t>芒果TV网</t>
  </si>
  <si>
    <t>mgtv.com</t>
  </si>
  <si>
    <t>有问必答网</t>
  </si>
  <si>
    <t>120ask.com</t>
  </si>
  <si>
    <t>淘宝网</t>
  </si>
  <si>
    <t>taobao.com</t>
  </si>
  <si>
    <t>优酷</t>
  </si>
  <si>
    <t>v.youku.com</t>
  </si>
  <si>
    <t>起名网</t>
  </si>
  <si>
    <t>yw11.com</t>
  </si>
  <si>
    <t>17173.com</t>
  </si>
  <si>
    <t>腾牛网</t>
  </si>
  <si>
    <t>qqtn.com</t>
  </si>
  <si>
    <t>工具查</t>
  </si>
  <si>
    <t>gjcha.com</t>
  </si>
  <si>
    <t>雪球网</t>
  </si>
  <si>
    <t>xueqiu.com</t>
  </si>
  <si>
    <t>星座屋网站</t>
  </si>
  <si>
    <t>xzw.com</t>
  </si>
  <si>
    <t>顺企网</t>
  </si>
  <si>
    <t>11467.com</t>
  </si>
  <si>
    <t>文档投稿赚钱</t>
  </si>
  <si>
    <t>book118.com</t>
  </si>
  <si>
    <t>卜易居免费算命</t>
  </si>
  <si>
    <t>buyiju.com</t>
  </si>
  <si>
    <t>中国广播网</t>
  </si>
  <si>
    <t>cnr.cn</t>
  </si>
  <si>
    <t>律师</t>
  </si>
  <si>
    <t>64365.com</t>
  </si>
  <si>
    <t>豆丁</t>
  </si>
  <si>
    <t>docin.com</t>
  </si>
  <si>
    <t>猫眼电影</t>
  </si>
  <si>
    <t>maoyan.com</t>
  </si>
  <si>
    <t>海词网</t>
  </si>
  <si>
    <t>dict.cn</t>
  </si>
  <si>
    <t>新华网</t>
  </si>
  <si>
    <t>xinhuanet.com</t>
  </si>
  <si>
    <t>Apple中国</t>
  </si>
  <si>
    <t>apple.com.cn</t>
  </si>
  <si>
    <t>高三网</t>
  </si>
  <si>
    <t>gaosan.com</t>
  </si>
  <si>
    <t>道客巴巴</t>
  </si>
  <si>
    <t>doc88.com</t>
  </si>
  <si>
    <t>MAIGOO买购网</t>
  </si>
  <si>
    <t>maigoo.com</t>
  </si>
  <si>
    <t>有来医生</t>
  </si>
  <si>
    <t>youlai.cn</t>
  </si>
  <si>
    <t>中国品牌网</t>
  </si>
  <si>
    <t>chinapp.com</t>
  </si>
  <si>
    <t>中关村产品报价</t>
  </si>
  <si>
    <t>detail.zol.com.cn</t>
  </si>
  <si>
    <t>英语单词大全</t>
  </si>
  <si>
    <t>danci.gjcha.com</t>
  </si>
  <si>
    <t>职友集</t>
  </si>
  <si>
    <t>jobui.com</t>
  </si>
  <si>
    <t>飞华健康网</t>
  </si>
  <si>
    <t>fh21.com.cn</t>
  </si>
  <si>
    <t>应届毕业生求职网</t>
  </si>
  <si>
    <t>yjbys.com</t>
  </si>
  <si>
    <t>红袖添香小说网</t>
  </si>
  <si>
    <t>hongxiu.com</t>
  </si>
  <si>
    <t>阳光高考</t>
  </si>
  <si>
    <t>gaokao.chsi.com.cn</t>
  </si>
  <si>
    <t>证券之星</t>
  </si>
  <si>
    <t>stockstar.com</t>
  </si>
  <si>
    <t>觅知素材网</t>
  </si>
  <si>
    <t>51miz.com</t>
  </si>
  <si>
    <t>谷歌中国</t>
  </si>
  <si>
    <t>google.cn</t>
  </si>
  <si>
    <t>易车</t>
  </si>
  <si>
    <t>yiche.com</t>
  </si>
  <si>
    <t>光明网</t>
  </si>
  <si>
    <t>gmw.cn</t>
  </si>
  <si>
    <t>学习啦在线学习</t>
  </si>
  <si>
    <t>xuexila.com</t>
  </si>
  <si>
    <t>人人文库</t>
  </si>
  <si>
    <t>renrendoc.com</t>
  </si>
  <si>
    <t>中公教育网</t>
  </si>
  <si>
    <t>offcn.com</t>
  </si>
  <si>
    <t>Cambridge Dictionary</t>
  </si>
  <si>
    <t>dictionary.cambridge.org</t>
  </si>
  <si>
    <t>金价查询网</t>
  </si>
  <si>
    <t>huangjinjiage.cn</t>
  </si>
  <si>
    <t>多多软件站</t>
  </si>
  <si>
    <t>ddooo.com</t>
  </si>
  <si>
    <t>家庭医生在线</t>
  </si>
  <si>
    <t>familydoctor.com.cn</t>
  </si>
  <si>
    <t>历趣网</t>
  </si>
  <si>
    <t>liqucn.com</t>
  </si>
  <si>
    <t>中国大学网</t>
  </si>
  <si>
    <t>unjs.com</t>
  </si>
  <si>
    <t>中国日报网站</t>
  </si>
  <si>
    <t>chinadaily.com.cn</t>
  </si>
  <si>
    <t>华为</t>
  </si>
  <si>
    <t>huawei.com</t>
  </si>
  <si>
    <t>爱站</t>
  </si>
  <si>
    <t>aizhan.com</t>
  </si>
  <si>
    <t>QQ音乐</t>
  </si>
  <si>
    <t>y.qq.com</t>
  </si>
  <si>
    <t>QQ阅读网</t>
  </si>
  <si>
    <t>book.qq.com</t>
  </si>
  <si>
    <t>应用宝官网</t>
  </si>
  <si>
    <t>sj.qq.com</t>
  </si>
  <si>
    <t>有道首页</t>
  </si>
  <si>
    <t>youdao.com</t>
  </si>
  <si>
    <t>苏宁易购</t>
  </si>
  <si>
    <t>suning.com</t>
  </si>
  <si>
    <t>网易云音乐</t>
  </si>
  <si>
    <t>music.163.com</t>
  </si>
  <si>
    <t>虎扑体育</t>
  </si>
  <si>
    <t>hupu.com</t>
  </si>
  <si>
    <t>企查查网站</t>
  </si>
  <si>
    <t>qcc.com</t>
  </si>
  <si>
    <t>游民星空</t>
  </si>
  <si>
    <t>gamersky.com</t>
  </si>
  <si>
    <t>东方财富网股吧</t>
  </si>
  <si>
    <t>guba.eastmoney.com</t>
  </si>
  <si>
    <t>华图公务员考试网</t>
  </si>
  <si>
    <t>huatu.com</t>
  </si>
  <si>
    <t>搜搜</t>
  </si>
  <si>
    <t>soso.com</t>
  </si>
  <si>
    <t>快递100</t>
  </si>
  <si>
    <t>kuaidi100.com</t>
  </si>
  <si>
    <t>腾讯新闻</t>
  </si>
  <si>
    <t>news.qq.com</t>
  </si>
  <si>
    <t>齐家网</t>
  </si>
  <si>
    <t>jia.com</t>
  </si>
  <si>
    <t>CCTV</t>
  </si>
  <si>
    <t>news.cctv.com</t>
  </si>
  <si>
    <t>快手网站</t>
  </si>
  <si>
    <t>kuaishou.com</t>
  </si>
  <si>
    <t>PPS影音</t>
  </si>
  <si>
    <t>pps.tv</t>
  </si>
  <si>
    <t>新东方在线网站</t>
  </si>
  <si>
    <t>koolearn.com</t>
  </si>
  <si>
    <t>听力课堂在线翻译</t>
  </si>
  <si>
    <t>fy.tingclass.net</t>
  </si>
  <si>
    <t>中国教育在线</t>
  </si>
  <si>
    <t>eol.cn</t>
  </si>
  <si>
    <t>晋江文学城小说</t>
  </si>
  <si>
    <t>jjwxc.com</t>
  </si>
  <si>
    <t>新浪看点</t>
  </si>
  <si>
    <t>k.sina.com.cn</t>
  </si>
  <si>
    <t>巢内网</t>
  </si>
  <si>
    <t>chaonei.com</t>
  </si>
  <si>
    <t>中国天气站</t>
  </si>
  <si>
    <t>baidu.weather.com.cn</t>
  </si>
  <si>
    <t>潇湘书院</t>
  </si>
  <si>
    <t>xxsy.net</t>
  </si>
  <si>
    <t>中国知网</t>
  </si>
  <si>
    <t>cnki.net</t>
  </si>
  <si>
    <t>球探体育网</t>
  </si>
  <si>
    <t>titan007.com</t>
  </si>
  <si>
    <t>2345软件大全网站</t>
  </si>
  <si>
    <t>duote.com</t>
  </si>
  <si>
    <t>天极网</t>
  </si>
  <si>
    <t>yesky.com</t>
  </si>
  <si>
    <t>宁国在线</t>
  </si>
  <si>
    <t>ng114.net</t>
  </si>
  <si>
    <t>逗游网</t>
  </si>
  <si>
    <t>doyo.cn</t>
  </si>
  <si>
    <t>SIFIC感染网</t>
  </si>
  <si>
    <t>sific.com.cn</t>
  </si>
  <si>
    <t>云产品</t>
  </si>
  <si>
    <t>cloud.tencent.com</t>
  </si>
  <si>
    <t>搜狐新闻</t>
  </si>
  <si>
    <t>news.sohu.com</t>
  </si>
  <si>
    <t>寻医问药</t>
  </si>
  <si>
    <t>xywy.com</t>
  </si>
  <si>
    <t>闽南</t>
  </si>
  <si>
    <t>mnw.cn</t>
  </si>
  <si>
    <t>百分网</t>
  </si>
  <si>
    <t>oh100.com</t>
  </si>
  <si>
    <t>直播吧网站</t>
  </si>
  <si>
    <t>zhibo8.com</t>
  </si>
  <si>
    <t>小米</t>
  </si>
  <si>
    <t>mi.com</t>
  </si>
  <si>
    <t>飞卢网</t>
  </si>
  <si>
    <t>faloo.com</t>
  </si>
  <si>
    <t>猎聘网</t>
  </si>
  <si>
    <t>liepin.com</t>
  </si>
  <si>
    <t>欣欣旅游网</t>
  </si>
  <si>
    <t>cncn.com</t>
  </si>
  <si>
    <t>ZOL下载</t>
  </si>
  <si>
    <t>xiazai.zol.com.cn</t>
  </si>
  <si>
    <t>当易网</t>
  </si>
  <si>
    <t>downyi.com</t>
  </si>
  <si>
    <t>百度文库</t>
  </si>
  <si>
    <t>wenku.baidu.com</t>
  </si>
  <si>
    <t>爱站网站排行榜网</t>
  </si>
  <si>
    <t>mtop.aizhan.com</t>
  </si>
  <si>
    <t>火狐浏览器网</t>
  </si>
  <si>
    <t>firefox.com.cn</t>
  </si>
  <si>
    <t>w3school 在线教程</t>
  </si>
  <si>
    <t>SegmentFault</t>
  </si>
  <si>
    <t>菜鸟工具</t>
  </si>
  <si>
    <t>c.runoob.com</t>
  </si>
  <si>
    <t>编程中国</t>
  </si>
  <si>
    <t>bccn.net</t>
  </si>
  <si>
    <t>json在线解析和json格式化</t>
  </si>
  <si>
    <t>anjson.com</t>
  </si>
  <si>
    <t>W3Cschool</t>
  </si>
  <si>
    <t>拼多多</t>
  </si>
  <si>
    <t>pinduoduo.com</t>
  </si>
  <si>
    <t>Python基础教程</t>
  </si>
  <si>
    <t>python51.com</t>
  </si>
  <si>
    <t>cnpython.com</t>
  </si>
  <si>
    <t>Python中文学习网</t>
  </si>
  <si>
    <t>51python.com</t>
  </si>
  <si>
    <t>Docker 中文</t>
  </si>
  <si>
    <t>dockerworld.cn</t>
  </si>
  <si>
    <t>CodeIgniter中国</t>
  </si>
  <si>
    <t>codeigniter.org.cn</t>
  </si>
  <si>
    <t>redis/redis</t>
  </si>
  <si>
    <t>redisio.com</t>
  </si>
  <si>
    <t>Tailwind CSS</t>
  </si>
  <si>
    <t>tailwindcss.cn</t>
  </si>
  <si>
    <t>HBuilder</t>
  </si>
  <si>
    <t>至顶网站</t>
  </si>
  <si>
    <t>比特彗星</t>
  </si>
  <si>
    <t>软件自学网</t>
  </si>
  <si>
    <t>rjzxw.com</t>
  </si>
  <si>
    <t>wdlinux</t>
  </si>
  <si>
    <t>织梦吧</t>
  </si>
  <si>
    <t>dedecms8.com</t>
  </si>
  <si>
    <t>xfyun.cn</t>
  </si>
  <si>
    <t>武汉达梦数据库</t>
  </si>
  <si>
    <t>dameng.com</t>
  </si>
  <si>
    <t>md5在线查询</t>
  </si>
  <si>
    <t>86gis.com</t>
  </si>
  <si>
    <t>孔夫子旧书网</t>
  </si>
  <si>
    <t>kongfz.com</t>
  </si>
  <si>
    <t>观察者网</t>
  </si>
  <si>
    <t>guancha.cn</t>
  </si>
  <si>
    <t>中国移动</t>
  </si>
  <si>
    <t>10086.cn</t>
  </si>
  <si>
    <t>小红书</t>
  </si>
  <si>
    <t>xiaohongshu.com</t>
  </si>
  <si>
    <t>中国新闻网站</t>
  </si>
  <si>
    <t>chinanews.com</t>
  </si>
  <si>
    <t>微信</t>
  </si>
  <si>
    <t>weixin.qq.com</t>
  </si>
  <si>
    <t>eolink.com</t>
  </si>
  <si>
    <t>汉程网</t>
  </si>
  <si>
    <t>httpcn.com</t>
  </si>
  <si>
    <t>中国网</t>
  </si>
  <si>
    <t>china.com.cn</t>
  </si>
  <si>
    <t>语文迷</t>
  </si>
  <si>
    <t>yuwenmi.com</t>
  </si>
  <si>
    <t>QQ邮箱</t>
  </si>
  <si>
    <t>mail.qq.com</t>
  </si>
  <si>
    <t>下载之家</t>
  </si>
  <si>
    <t>downza.cn</t>
  </si>
  <si>
    <t>搜狗视频网</t>
  </si>
  <si>
    <t>waptv.sogou.com</t>
  </si>
  <si>
    <t>中华网平台</t>
  </si>
  <si>
    <t>3g.china.com</t>
  </si>
  <si>
    <t>马可波罗网</t>
  </si>
  <si>
    <t>makepolo.com</t>
  </si>
  <si>
    <t>共产党员网</t>
  </si>
  <si>
    <t>12371.cn</t>
  </si>
  <si>
    <t>新都网</t>
  </si>
  <si>
    <t>newdu.com</t>
  </si>
  <si>
    <t>下载吧</t>
  </si>
  <si>
    <t>xiazaiba.com</t>
  </si>
  <si>
    <t>新浪网新闻中心</t>
  </si>
  <si>
    <t>news.sina.com.cn</t>
  </si>
  <si>
    <t>央视影音</t>
  </si>
  <si>
    <t>tv.cntv.cn</t>
  </si>
  <si>
    <t>IP地址查询</t>
  </si>
  <si>
    <t>ip138.com</t>
  </si>
  <si>
    <t>蚂蜂窝</t>
  </si>
  <si>
    <t>mafengwo.cn</t>
  </si>
  <si>
    <t>城市吧网</t>
  </si>
  <si>
    <t>city8.com</t>
  </si>
  <si>
    <t>直播吧网</t>
  </si>
  <si>
    <t>zhibo8.cc</t>
  </si>
  <si>
    <t>八通网</t>
  </si>
  <si>
    <t>bato.cn</t>
  </si>
  <si>
    <t>豆瓣读书</t>
  </si>
  <si>
    <t>book.douban.com</t>
  </si>
  <si>
    <t>超星网</t>
  </si>
  <si>
    <t>chaoxing.com</t>
  </si>
  <si>
    <t>中国军网站</t>
  </si>
  <si>
    <t>81.cn</t>
  </si>
  <si>
    <t>大众点评网</t>
  </si>
  <si>
    <t>dianping.com</t>
  </si>
  <si>
    <t>QQ旋风下载官方网站</t>
  </si>
  <si>
    <t>xf.qq.com</t>
  </si>
  <si>
    <t>360软件宝库</t>
  </si>
  <si>
    <t>baoku.360.cn</t>
  </si>
  <si>
    <t>中国铁路客户服务中心</t>
  </si>
  <si>
    <t>12306.cn</t>
  </si>
  <si>
    <t>58车</t>
  </si>
  <si>
    <t>58che.com</t>
  </si>
  <si>
    <t>香哈网</t>
  </si>
  <si>
    <t>xiangha.com</t>
  </si>
  <si>
    <t>界面新闻</t>
  </si>
  <si>
    <t>jiemian.com</t>
  </si>
  <si>
    <t>站长之家网站排行榜</t>
  </si>
  <si>
    <t>top.chinaz.com</t>
  </si>
  <si>
    <t>澳客网</t>
  </si>
  <si>
    <t>okooo.com</t>
  </si>
  <si>
    <t>SiliconFlow</t>
  </si>
  <si>
    <t>siliconflow.com</t>
  </si>
  <si>
    <t>yibaixun.com</t>
  </si>
  <si>
    <t>电脑学习网</t>
  </si>
  <si>
    <t>yuucn.com</t>
  </si>
  <si>
    <t>邮编库</t>
  </si>
  <si>
    <t>youbianku.com</t>
  </si>
  <si>
    <t>天极下载</t>
  </si>
  <si>
    <t>mydown.com</t>
  </si>
  <si>
    <t>搜了网</t>
  </si>
  <si>
    <t>51sole.com</t>
  </si>
  <si>
    <t>中国青年网</t>
  </si>
  <si>
    <t>youth.cn</t>
  </si>
  <si>
    <t>国际在线网</t>
  </si>
  <si>
    <t>cri.cn</t>
  </si>
  <si>
    <t>阿里云</t>
  </si>
  <si>
    <t>aliyun.com</t>
  </si>
  <si>
    <t>中公网校</t>
  </si>
  <si>
    <t>eoffcn.com</t>
  </si>
  <si>
    <t>Hao123</t>
  </si>
  <si>
    <t>hao123.com</t>
  </si>
  <si>
    <t>全球加盟网</t>
  </si>
  <si>
    <t>jiameng.com</t>
  </si>
  <si>
    <t>新东方在线</t>
  </si>
  <si>
    <t>news.koolearn.com</t>
  </si>
  <si>
    <t>PC下载网</t>
  </si>
  <si>
    <t>pcsoft.com.cn</t>
  </si>
  <si>
    <t>乐视网站</t>
  </si>
  <si>
    <t>le.com</t>
  </si>
  <si>
    <t>携程</t>
  </si>
  <si>
    <t>you.ctrip.com</t>
  </si>
  <si>
    <t>支付宝</t>
  </si>
  <si>
    <t>alipay.com</t>
  </si>
  <si>
    <t>北京时间网站</t>
  </si>
  <si>
    <t>btime.com</t>
  </si>
  <si>
    <t>csharp开源大数据果糖网</t>
  </si>
  <si>
    <t>donet5.com</t>
  </si>
  <si>
    <t>天极网软件频道</t>
  </si>
  <si>
    <t>soft.yesky.com</t>
  </si>
  <si>
    <t>modbus.cn</t>
  </si>
  <si>
    <t>科讯CMS</t>
  </si>
  <si>
    <t>kesion.com</t>
  </si>
  <si>
    <t>OpenAnolis代码库</t>
  </si>
  <si>
    <t>openanolis.cn</t>
  </si>
  <si>
    <t>测速网</t>
  </si>
  <si>
    <t>speedtest.cn</t>
  </si>
  <si>
    <t>京东商城网</t>
  </si>
  <si>
    <t>item.m.jd.com</t>
  </si>
  <si>
    <t>中国电信</t>
  </si>
  <si>
    <t>189.cn</t>
  </si>
  <si>
    <t>ONES ISSUE</t>
  </si>
  <si>
    <t>ones.com.cn</t>
  </si>
  <si>
    <t>CurrentCAD</t>
  </si>
  <si>
    <t>currentcad.com</t>
  </si>
  <si>
    <t>wapi.cn</t>
  </si>
  <si>
    <t>知网空间</t>
  </si>
  <si>
    <t>cnki.com.cn</t>
  </si>
  <si>
    <t>颜色代码表</t>
  </si>
  <si>
    <t>ysdaima.com</t>
  </si>
  <si>
    <t>关注森林网</t>
  </si>
  <si>
    <t>isenlin.cn</t>
  </si>
  <si>
    <t>图吧电话查询网</t>
  </si>
  <si>
    <t>mdianhua.mapbar.com</t>
  </si>
  <si>
    <t>前程无忧</t>
  </si>
  <si>
    <t>51job.com</t>
  </si>
  <si>
    <t>全福fuphp网络技术服务</t>
  </si>
  <si>
    <t>fuphp.cn</t>
  </si>
  <si>
    <t>最代码</t>
  </si>
  <si>
    <t>zuidaima.com</t>
  </si>
  <si>
    <t>中钢集团检测机构</t>
  </si>
  <si>
    <t>zgzgtest.com</t>
  </si>
  <si>
    <t>正能量电子网</t>
  </si>
  <si>
    <t>bom.ai</t>
  </si>
  <si>
    <t>千图网</t>
  </si>
  <si>
    <t>58pic.com</t>
  </si>
  <si>
    <t>问答</t>
  </si>
  <si>
    <t>ask.zol.com.cn</t>
  </si>
  <si>
    <t>猎名门户网</t>
  </si>
  <si>
    <t>liemingwang.com</t>
  </si>
  <si>
    <t>网易邮箱网站</t>
  </si>
  <si>
    <t>email.163.com</t>
  </si>
  <si>
    <t>一路商机网</t>
  </si>
  <si>
    <t>1637.com</t>
  </si>
  <si>
    <t>ZNDS智能电视网</t>
  </si>
  <si>
    <t>znds.com</t>
  </si>
  <si>
    <t>CSDN下载</t>
  </si>
  <si>
    <t>download.csdn.net</t>
  </si>
  <si>
    <t>汽车之家论坛</t>
  </si>
  <si>
    <t>club.m.autohome.com.cn</t>
  </si>
  <si>
    <t>顺企网站</t>
  </si>
  <si>
    <t>product.11467.com</t>
  </si>
  <si>
    <t>作业帮</t>
  </si>
  <si>
    <t>zybang.com</t>
  </si>
  <si>
    <t>中国足彩网</t>
  </si>
  <si>
    <t>zgzcw.com</t>
  </si>
  <si>
    <t>捷报比分网</t>
  </si>
  <si>
    <t>nowscore.com</t>
  </si>
  <si>
    <t>前瞻网站</t>
  </si>
  <si>
    <t>qianzhan.com</t>
  </si>
  <si>
    <t>去哪儿网站</t>
  </si>
  <si>
    <t>qunar.com</t>
  </si>
  <si>
    <t>闪靓童网</t>
  </si>
  <si>
    <t>cnfla.com</t>
  </si>
  <si>
    <t>武汉丹橘科技</t>
  </si>
  <si>
    <t>danjutech.com.cn</t>
  </si>
  <si>
    <t>列表网</t>
  </si>
  <si>
    <t>liebiao.com</t>
  </si>
  <si>
    <t>吉屋网</t>
  </si>
  <si>
    <t>jiwu.com</t>
  </si>
  <si>
    <t>搜狐媒体平台</t>
  </si>
  <si>
    <t>mt.sohu.com</t>
  </si>
  <si>
    <t>新华网站</t>
  </si>
  <si>
    <t>news.cn</t>
  </si>
  <si>
    <t>xunruicms.com</t>
  </si>
  <si>
    <t>erweibanma</t>
  </si>
  <si>
    <t>erweibanma.cn</t>
  </si>
  <si>
    <t>智城外包网</t>
  </si>
  <si>
    <t>taskcity.com</t>
  </si>
  <si>
    <t>搜狐体育网站</t>
  </si>
  <si>
    <t>sports.sohu.com</t>
  </si>
  <si>
    <t>36氪</t>
  </si>
  <si>
    <t>36kr.com</t>
  </si>
  <si>
    <t>pingcap.com</t>
  </si>
  <si>
    <t>深港在线</t>
  </si>
  <si>
    <t>szhk.com</t>
  </si>
  <si>
    <t>当下软件园</t>
  </si>
  <si>
    <t>downxia.com</t>
  </si>
  <si>
    <t>中国收藏热线</t>
  </si>
  <si>
    <t>997788.com</t>
  </si>
  <si>
    <t>法律快车</t>
  </si>
  <si>
    <t>lawtime.cn</t>
  </si>
  <si>
    <t>TechWeb</t>
  </si>
  <si>
    <t>techweb.com.cn</t>
  </si>
  <si>
    <t>映象网</t>
  </si>
  <si>
    <t>hnr.cn</t>
  </si>
  <si>
    <t>新浪财经网</t>
  </si>
  <si>
    <t>cj.sina.com.cn</t>
  </si>
  <si>
    <t>花生壳网站</t>
  </si>
  <si>
    <t>oray.com</t>
  </si>
  <si>
    <t>凤凰娱乐</t>
  </si>
  <si>
    <t>ent.ifeng.com</t>
  </si>
  <si>
    <t>QQ浏览器</t>
  </si>
  <si>
    <t>browser.qq.com</t>
  </si>
  <si>
    <t>红网</t>
  </si>
  <si>
    <t>rednet.cn</t>
  </si>
  <si>
    <t>TP-LINK</t>
  </si>
  <si>
    <t>tp-link.com.cn</t>
  </si>
  <si>
    <t>土豆网</t>
  </si>
  <si>
    <t>tudou.com</t>
  </si>
  <si>
    <t>新工商名录</t>
  </si>
  <si>
    <t>gongshang.mingluji.com</t>
  </si>
  <si>
    <t>微信网页版</t>
  </si>
  <si>
    <t>wx.qq.com</t>
  </si>
  <si>
    <t>搜视网</t>
  </si>
  <si>
    <t>tvsou.com</t>
  </si>
  <si>
    <t>烟网</t>
  </si>
  <si>
    <t>yanpk.com</t>
  </si>
  <si>
    <t>花瓣网</t>
  </si>
  <si>
    <t>huaban.com</t>
  </si>
  <si>
    <t>阿里巴巴商务搜索</t>
  </si>
  <si>
    <t>s.1688.com</t>
  </si>
  <si>
    <t>看准网</t>
  </si>
  <si>
    <t>kanzhun.com</t>
  </si>
  <si>
    <t>郑州聚商网络科技</t>
  </si>
  <si>
    <t>zzjskj.net</t>
  </si>
  <si>
    <t>51Aspx</t>
  </si>
  <si>
    <t>51aspx.com</t>
  </si>
  <si>
    <t>酷壳</t>
  </si>
  <si>
    <t>coolshell.cn</t>
  </si>
  <si>
    <t>软件项目交易网</t>
  </si>
  <si>
    <t>sxsoft.com</t>
  </si>
  <si>
    <t>网页制作教程</t>
  </si>
  <si>
    <t>111cn.net</t>
  </si>
  <si>
    <t>WPYOU</t>
  </si>
  <si>
    <t>wpyou.com</t>
  </si>
  <si>
    <t>站长素材</t>
  </si>
  <si>
    <t>sc.chinaz.com</t>
  </si>
  <si>
    <t>东奥会计在线</t>
  </si>
  <si>
    <t>dongao.com</t>
  </si>
  <si>
    <t>猫眼专业版</t>
  </si>
  <si>
    <t>piaofang.maoyan.com</t>
  </si>
  <si>
    <t>刷机之家</t>
  </si>
  <si>
    <t>shuajizhijia.net</t>
  </si>
  <si>
    <t>车主指南资讯网</t>
  </si>
  <si>
    <t>icauto.com.cn</t>
  </si>
  <si>
    <t>中华网新闻频道</t>
  </si>
  <si>
    <t>news.china.com</t>
  </si>
  <si>
    <t>百姓网</t>
  </si>
  <si>
    <t>baixing.com</t>
  </si>
  <si>
    <t>迅雷看看网站</t>
  </si>
  <si>
    <t>xunlei.com</t>
  </si>
  <si>
    <t>亿软网</t>
  </si>
  <si>
    <t>yruan.com</t>
  </si>
  <si>
    <t>中国执行信息公开网</t>
  </si>
  <si>
    <t>zxgk.court.gov.cn</t>
  </si>
  <si>
    <t>钉钉</t>
  </si>
  <si>
    <t>dingtalk.com</t>
  </si>
  <si>
    <t>pingcode</t>
  </si>
  <si>
    <t>PingCode.com</t>
  </si>
  <si>
    <t>码农集市</t>
  </si>
  <si>
    <t>coder100.com</t>
  </si>
  <si>
    <t>Enjoying3D</t>
  </si>
  <si>
    <t>enjoying3d.com</t>
  </si>
  <si>
    <t>迅雷客户中心</t>
  </si>
  <si>
    <t>help.xunlei.com</t>
  </si>
  <si>
    <t>PublicCMS内容管理系统</t>
  </si>
  <si>
    <t>publiccms.com</t>
  </si>
  <si>
    <t>谷歌浏览器插件网</t>
  </si>
  <si>
    <t>chajian5.com</t>
  </si>
  <si>
    <t>kubernetes/kubernetes</t>
  </si>
  <si>
    <t>k8src.cn</t>
  </si>
  <si>
    <t>成都市锦图信息技术</t>
  </si>
  <si>
    <t>jetgis.com</t>
  </si>
  <si>
    <t>智慧眼</t>
  </si>
  <si>
    <t>a-eye.cn</t>
  </si>
  <si>
    <t>betterzip中文网站</t>
  </si>
  <si>
    <t>betterzipcn.com</t>
  </si>
  <si>
    <t>ps教程论坛</t>
  </si>
  <si>
    <t>bbs.16xx8.com</t>
  </si>
  <si>
    <t>成都生动网络科技</t>
  </si>
  <si>
    <t>sdcms.cn</t>
  </si>
  <si>
    <t>广州巨杉软件开发官方网站</t>
  </si>
  <si>
    <t>sequoiadb.com</t>
  </si>
  <si>
    <t>白鹭引擎</t>
  </si>
  <si>
    <t>egret.com</t>
  </si>
  <si>
    <t>上海司南卫星导航技术</t>
  </si>
  <si>
    <t>sinognss.com</t>
  </si>
  <si>
    <t>Betterzip中文网</t>
  </si>
  <si>
    <t>betterzip.net</t>
  </si>
  <si>
    <t>w3在线教程</t>
  </si>
  <si>
    <t>w3schools.cn</t>
  </si>
  <si>
    <t>网易网盘</t>
  </si>
  <si>
    <t>wp.163.com</t>
  </si>
  <si>
    <t>同信智维官网</t>
  </si>
  <si>
    <t>realxen.com</t>
  </si>
  <si>
    <t>WaytoAGI</t>
  </si>
  <si>
    <t>waytoagi.com</t>
  </si>
  <si>
    <t>地理遥感生态网</t>
  </si>
  <si>
    <t>gisrs.cn</t>
  </si>
  <si>
    <t>AutoRemove</t>
  </si>
  <si>
    <t>autodesk8.com</t>
  </si>
  <si>
    <t>微力同步官网</t>
  </si>
  <si>
    <t>verysync.com</t>
  </si>
  <si>
    <t>SUAPP插件库官方网站</t>
  </si>
  <si>
    <t>suapp.com</t>
  </si>
  <si>
    <t>乐调查</t>
  </si>
  <si>
    <t>lediaocha.com</t>
  </si>
  <si>
    <t>一行白鹭上青天</t>
  </si>
  <si>
    <t>codeun.com</t>
  </si>
  <si>
    <t>Postman</t>
  </si>
  <si>
    <t>postmanapi.com.cn</t>
  </si>
  <si>
    <t>DBeaver</t>
  </si>
  <si>
    <t>dbeaver.net.cn</t>
  </si>
  <si>
    <t>Navicat中文官网</t>
  </si>
  <si>
    <t>navicat.com.cn</t>
  </si>
  <si>
    <t>禅道开源项目管理软件</t>
  </si>
  <si>
    <t>zentao.net</t>
  </si>
  <si>
    <t>源代码教育</t>
  </si>
  <si>
    <t>dotcpp.com</t>
  </si>
  <si>
    <t>apispace.com</t>
  </si>
  <si>
    <t>LinuxTOY</t>
  </si>
  <si>
    <t>linuxtoy.org</t>
  </si>
  <si>
    <t>PHP菜鸟博客</t>
  </si>
  <si>
    <t>wlphp.com</t>
  </si>
  <si>
    <t>一曲源码站</t>
  </si>
  <si>
    <t>yiqucode.com</t>
  </si>
  <si>
    <t>AI工具集</t>
  </si>
  <si>
    <t>aitools.cc</t>
  </si>
  <si>
    <t>并发编程网</t>
  </si>
  <si>
    <t>ifeve.com</t>
  </si>
  <si>
    <t>卡码网KamaCoder</t>
  </si>
  <si>
    <t>kamacoder.com</t>
  </si>
  <si>
    <t>codetc</t>
  </si>
  <si>
    <t>codetc.com</t>
  </si>
  <si>
    <t>phpwind模板网</t>
  </si>
  <si>
    <t>phpwind.net.cn</t>
  </si>
  <si>
    <t>51CTO开发频道</t>
  </si>
  <si>
    <t>developer.51cto.com</t>
  </si>
  <si>
    <t>果创网络科技</t>
  </si>
  <si>
    <t>okayapi.com</t>
  </si>
  <si>
    <t>编程爱好者</t>
  </si>
  <si>
    <t>programfan.com</t>
  </si>
  <si>
    <t>LessCode.work</t>
  </si>
  <si>
    <t>lesscode.work</t>
  </si>
  <si>
    <t>OneAPI</t>
  </si>
  <si>
    <t>coderbox.cn</t>
  </si>
  <si>
    <t>CodeExpander</t>
  </si>
  <si>
    <t>codeexpander.com</t>
  </si>
  <si>
    <t>代码随想录</t>
  </si>
  <si>
    <t>programmercarl.com</t>
  </si>
  <si>
    <t>极客geekai.cn演示站</t>
  </si>
  <si>
    <t>geekai.cn</t>
  </si>
  <si>
    <t>LangChain中文社区</t>
  </si>
  <si>
    <t>langchain.cn</t>
  </si>
  <si>
    <t>SVN仓库</t>
  </si>
  <si>
    <t>svnbucket.cn</t>
  </si>
  <si>
    <t>ShengShu Technology</t>
  </si>
  <si>
    <t>shengshu-ai.com</t>
  </si>
  <si>
    <t>力扣 全球极客挚爱的技术成长平台</t>
  </si>
  <si>
    <t>leetcode.org.cn</t>
  </si>
  <si>
    <t>phpweb官网</t>
  </si>
  <si>
    <t>phpweb.com.cn</t>
  </si>
  <si>
    <t>UI动力网</t>
  </si>
  <si>
    <t>directui.com</t>
  </si>
  <si>
    <t>百舸莲藕代码网</t>
  </si>
  <si>
    <t>oucode.com</t>
  </si>
  <si>
    <t>lodash/lodash</t>
  </si>
  <si>
    <t>lodashrc.cn</t>
  </si>
  <si>
    <t>Sealos</t>
  </si>
  <si>
    <t>sealos.run</t>
  </si>
  <si>
    <t>Dawn Launcher</t>
  </si>
  <si>
    <t>dawnlauncher.com</t>
  </si>
  <si>
    <t>金投网行情中心</t>
  </si>
  <si>
    <t>quote.cngold.org</t>
  </si>
  <si>
    <t>莫烦Python网</t>
  </si>
  <si>
    <t>mofanpy.com</t>
  </si>
  <si>
    <t>SoringForAll社区</t>
  </si>
  <si>
    <t>spring4all.com</t>
  </si>
  <si>
    <t>模板王JS网页特效</t>
  </si>
  <si>
    <t>js.mobanwang.com</t>
  </si>
  <si>
    <t>python知识分享网</t>
  </si>
  <si>
    <t>python222.com</t>
  </si>
  <si>
    <t>源创VUE模板</t>
  </si>
  <si>
    <t>vuepress.cn</t>
  </si>
  <si>
    <t>php导航一个优秀收录网站</t>
  </si>
  <si>
    <t>phpdaohang.cn</t>
  </si>
  <si>
    <t>PostCSS</t>
  </si>
  <si>
    <t>postcss.com.cn</t>
  </si>
  <si>
    <t>Java 指引手册</t>
  </si>
  <si>
    <t>woshinlper.com</t>
  </si>
  <si>
    <t>在线JSON格式化校验工具</t>
  </si>
  <si>
    <t>1json.com</t>
  </si>
  <si>
    <t>LoadRunner</t>
  </si>
  <si>
    <t>loadrunner.cn</t>
  </si>
  <si>
    <t>Axure RP</t>
  </si>
  <si>
    <t>axurerp.com.cn</t>
  </si>
  <si>
    <t>WxBit图形化编程</t>
  </si>
  <si>
    <t>wxbit.com</t>
  </si>
  <si>
    <t>在线yaml转properties</t>
  </si>
  <si>
    <t>toyaml.com</t>
  </si>
  <si>
    <t>SVN配置与管理</t>
  </si>
  <si>
    <t>svnspot.com</t>
  </si>
  <si>
    <t>TikLab</t>
  </si>
  <si>
    <t>tiklab.net</t>
  </si>
  <si>
    <t>技术宅CN</t>
  </si>
  <si>
    <t>jishuzhai.cn</t>
  </si>
  <si>
    <t>LUPA开源社区</t>
  </si>
  <si>
    <t>lupaworld.com</t>
  </si>
  <si>
    <t>Panda软件公司</t>
  </si>
  <si>
    <t>pandasecurity.com</t>
  </si>
  <si>
    <t>在线工具箱</t>
  </si>
  <si>
    <t>codebest.cn</t>
  </si>
  <si>
    <t>大众点评开发者平台</t>
  </si>
  <si>
    <t>developer.dianping.com</t>
  </si>
  <si>
    <t>程序猿DD</t>
  </si>
  <si>
    <t>blog.didispace.com</t>
  </si>
  <si>
    <t>Android Open Source Projects</t>
  </si>
  <si>
    <t>codekk.com</t>
  </si>
  <si>
    <t>Axure中文网</t>
  </si>
  <si>
    <t>程序员官网</t>
  </si>
  <si>
    <t>programmer.com.cn</t>
  </si>
  <si>
    <t>新浪竞技风暴</t>
  </si>
  <si>
    <t>sports.sina.com.cn</t>
  </si>
  <si>
    <t>找DLL下载站</t>
  </si>
  <si>
    <t>zhaodll.com</t>
  </si>
  <si>
    <t>Fone平台</t>
  </si>
  <si>
    <t>foneplatform.com</t>
  </si>
  <si>
    <t>ruff主页</t>
  </si>
  <si>
    <t>ruff.io</t>
  </si>
  <si>
    <t>智能低码—腾讯无极 ( tds</t>
  </si>
  <si>
    <t>wujicode.cn</t>
  </si>
  <si>
    <t>星极客网络</t>
  </si>
  <si>
    <t>stgeek.cn</t>
  </si>
  <si>
    <t>OurPHP</t>
  </si>
  <si>
    <t>ourphp.net</t>
  </si>
  <si>
    <t>电子发烧友网站</t>
  </si>
  <si>
    <t>elecfans.com</t>
  </si>
  <si>
    <t>智联招聘</t>
  </si>
  <si>
    <t>zhaopin.com</t>
  </si>
  <si>
    <t>虎牙直播网站</t>
  </si>
  <si>
    <t>huya.com</t>
  </si>
  <si>
    <t>UC浏览器网站</t>
  </si>
  <si>
    <t>uc.cn</t>
  </si>
  <si>
    <t>腾讯视频</t>
  </si>
  <si>
    <t>熊猫办公</t>
  </si>
  <si>
    <t>tukuppt.com</t>
  </si>
  <si>
    <t>中国供应商网</t>
  </si>
  <si>
    <t>china.cn</t>
  </si>
  <si>
    <t>Spine软件</t>
  </si>
  <si>
    <t>spineapp.cn</t>
  </si>
  <si>
    <t>高德地图网站</t>
  </si>
  <si>
    <t>amap.com</t>
  </si>
  <si>
    <t>北京四维纵横数据技术</t>
  </si>
  <si>
    <t>ymatrix.cn</t>
  </si>
  <si>
    <t>BootstrapHTML模板库</t>
  </si>
  <si>
    <t>bootstraphtml.cn</t>
  </si>
  <si>
    <t>联想中国</t>
  </si>
  <si>
    <t>lenovo.com.cn</t>
  </si>
  <si>
    <t>gycharm.com</t>
  </si>
  <si>
    <t>链家网</t>
  </si>
  <si>
    <t>lianjia.com</t>
  </si>
  <si>
    <t>zcloud 微服务快速开发平台</t>
  </si>
  <si>
    <t>vttms.com</t>
  </si>
  <si>
    <t>新浪体育</t>
  </si>
  <si>
    <t>sports.sina.cn</t>
  </si>
  <si>
    <t>艾以思AI</t>
  </si>
  <si>
    <t>qiyuanai.com</t>
  </si>
  <si>
    <t>腾讯云 Cloud Studio</t>
  </si>
  <si>
    <t>cloudstudio.net</t>
  </si>
  <si>
    <t>网址目录－Ubuntu网站导航</t>
  </si>
  <si>
    <t>chinaubuntu.com</t>
  </si>
  <si>
    <t>PHPBE双驱框架</t>
  </si>
  <si>
    <t>phpbe.com</t>
  </si>
  <si>
    <t>纵横中文网</t>
  </si>
  <si>
    <t>zongheng.com</t>
  </si>
  <si>
    <t>EMQX中文官网</t>
  </si>
  <si>
    <t>emqx.cn</t>
  </si>
  <si>
    <t>infinity主页</t>
  </si>
  <si>
    <t>infinitytab.com</t>
  </si>
  <si>
    <t>kk下载站</t>
  </si>
  <si>
    <t>kkx.net</t>
  </si>
  <si>
    <t>51asp.net源码</t>
  </si>
  <si>
    <t>51asp.net</t>
  </si>
  <si>
    <t>聚生网管官网</t>
  </si>
  <si>
    <t>grabsun.com</t>
  </si>
  <si>
    <t>西安欧思奇软件</t>
  </si>
  <si>
    <t>360os.com</t>
  </si>
  <si>
    <t>tp-shop.cn</t>
  </si>
  <si>
    <t>北京云测信息技术</t>
  </si>
  <si>
    <t>ztestin.com</t>
  </si>
  <si>
    <t>深圳市三维云科技</t>
  </si>
  <si>
    <t>creo123.com</t>
  </si>
  <si>
    <t>武汉开目信息技术</t>
  </si>
  <si>
    <t>kmsoft.com.cn</t>
  </si>
  <si>
    <t>深圳市力隆科技官方网站</t>
  </si>
  <si>
    <t>turns.cn</t>
  </si>
  <si>
    <t>农政通科技</t>
  </si>
  <si>
    <t>nztsoft.com</t>
  </si>
  <si>
    <t>总管家</t>
  </si>
  <si>
    <t>oacrm.com</t>
  </si>
  <si>
    <t>厦门黑镜科技</t>
  </si>
  <si>
    <t>metamaker.cn</t>
  </si>
  <si>
    <t>合肥简沃科技</t>
  </si>
  <si>
    <t>jianwokeji.com</t>
  </si>
  <si>
    <t>神州网信技术支持网站</t>
  </si>
  <si>
    <t>cmgos.com</t>
  </si>
  <si>
    <t>郑州嘉之元计算机科技</t>
  </si>
  <si>
    <t>jzyyun.com</t>
  </si>
  <si>
    <t>成都四方伟业软件</t>
  </si>
  <si>
    <t>sefonsoft.com</t>
  </si>
  <si>
    <t>蜂助手</t>
  </si>
  <si>
    <t>phone580.com</t>
  </si>
  <si>
    <t>Minitab中文站</t>
  </si>
  <si>
    <t>6xigema.com</t>
  </si>
  <si>
    <t>米联客技术社区</t>
  </si>
  <si>
    <t>uisrc.com</t>
  </si>
  <si>
    <t>厦门佰马科技</t>
  </si>
  <si>
    <t>baimatech.com</t>
  </si>
  <si>
    <t>北京名流创世纪科技</t>
  </si>
  <si>
    <t>mingliusoft.com</t>
  </si>
  <si>
    <t>杭州雪橙网络科技</t>
  </si>
  <si>
    <t>doitim.com</t>
  </si>
  <si>
    <t>北京深度视觉科技</t>
  </si>
  <si>
    <t>deepvision-tech.com</t>
  </si>
  <si>
    <t>西安数据如金信息科技</t>
  </si>
  <si>
    <t>jsj.ink</t>
  </si>
  <si>
    <t>2345王牌技术员联盟</t>
  </si>
  <si>
    <t>jifen.2345.com</t>
  </si>
  <si>
    <t>cleanmymac官方网站</t>
  </si>
  <si>
    <t>mycleanmymac.com</t>
  </si>
  <si>
    <t>中国信鸽信息网</t>
  </si>
  <si>
    <t>chinaxinge.com</t>
  </si>
  <si>
    <t>CNPP品牌数据研究院</t>
  </si>
  <si>
    <t>cnpp.cn</t>
  </si>
  <si>
    <t>WPS Office</t>
  </si>
  <si>
    <t>wps.cn</t>
  </si>
  <si>
    <t>51CTO技术博客</t>
  </si>
  <si>
    <t>blog.51cto.com</t>
  </si>
  <si>
    <t>致力于进口连接器国产化</t>
  </si>
  <si>
    <t>cjt.cc</t>
  </si>
  <si>
    <t>江西爱伯特科技</t>
  </si>
  <si>
    <t>ai-bot.net</t>
  </si>
  <si>
    <t>RenPy中文空间</t>
  </si>
  <si>
    <t>renpy.cn</t>
  </si>
  <si>
    <t>有道</t>
  </si>
  <si>
    <t>fanyi.youdao.com</t>
  </si>
  <si>
    <t>bilibili哔哩哔哩B站下载助手</t>
  </si>
  <si>
    <t>csser.top</t>
  </si>
  <si>
    <t>深圳零点一娱乐科技</t>
  </si>
  <si>
    <t>pointone.tech</t>
  </si>
  <si>
    <t>群走网</t>
  </si>
  <si>
    <t>qunzou.com</t>
  </si>
  <si>
    <t>3322软件站</t>
  </si>
  <si>
    <t>32r.com</t>
  </si>
  <si>
    <t>中华人民共和国中央人民政府门户网站</t>
  </si>
  <si>
    <t>gov.cn</t>
  </si>
  <si>
    <t>中国上海</t>
  </si>
  <si>
    <t>sh.gov.cn</t>
  </si>
  <si>
    <t>千库网</t>
  </si>
  <si>
    <t>588ku.com</t>
  </si>
  <si>
    <t>360</t>
  </si>
  <si>
    <t>360.com</t>
  </si>
  <si>
    <t>勤学教育培训网</t>
  </si>
  <si>
    <t>qinxue365.com</t>
  </si>
  <si>
    <t>安心加盟网</t>
  </si>
  <si>
    <t>anxjm.com</t>
  </si>
  <si>
    <t>latexlive.com</t>
  </si>
  <si>
    <t>江苏东合南岩土科技</t>
  </si>
  <si>
    <t>geoseu.cn</t>
  </si>
  <si>
    <t>捷速ocr文字识别软件</t>
  </si>
  <si>
    <t>骏域网络</t>
  </si>
  <si>
    <t>gzjunyu.com</t>
  </si>
  <si>
    <t>广州君和信息技术</t>
  </si>
  <si>
    <t>i3vsoft.com</t>
  </si>
  <si>
    <t>广州海艺软件</t>
  </si>
  <si>
    <t>haiyisoft.com.cn</t>
  </si>
  <si>
    <t>北京君诺正信知识产权代理</t>
  </si>
  <si>
    <t>junuozx.com</t>
  </si>
  <si>
    <t>C4D模型网</t>
  </si>
  <si>
    <t>c4d6.com</t>
  </si>
  <si>
    <t>博奥</t>
  </si>
  <si>
    <t>boao.com.cn</t>
  </si>
  <si>
    <t>长扬科技官网</t>
  </si>
  <si>
    <t>cy-tech.net</t>
  </si>
  <si>
    <t>谷云科技产品网站</t>
  </si>
  <si>
    <t>restcloud.cn</t>
  </si>
  <si>
    <t>昆仑永通信息技术</t>
  </si>
  <si>
    <t>softwarechn.com</t>
  </si>
  <si>
    <t>迈格威科技</t>
  </si>
  <si>
    <t>robotics.megvii.com</t>
  </si>
  <si>
    <t>小猪CMS官网</t>
  </si>
  <si>
    <t>pigcms.com</t>
  </si>
  <si>
    <t>江苏隐石实验室科技</t>
  </si>
  <si>
    <t>ys-lab.com</t>
  </si>
  <si>
    <t>【求实软件】</t>
  </si>
  <si>
    <t>jlqssoft.cn</t>
  </si>
  <si>
    <t>上海灵动微电子</t>
  </si>
  <si>
    <t>mindmotion.com.cn</t>
  </si>
  <si>
    <t>笔.COOL</t>
  </si>
  <si>
    <t>bi.cool</t>
  </si>
  <si>
    <t>温州海帆网络科技</t>
  </si>
  <si>
    <t>rahfwlkj.com</t>
  </si>
  <si>
    <t>杭州远眺科技</t>
  </si>
  <si>
    <t>gemcoder.com</t>
  </si>
  <si>
    <t>浙江工业大学工程设计集团</t>
  </si>
  <si>
    <t>azut.cn</t>
  </si>
  <si>
    <t>深圳世纪恒宇通讯</t>
  </si>
  <si>
    <t>chy134.com</t>
  </si>
  <si>
    <t>三思永恒科技</t>
  </si>
  <si>
    <t>sansi-test.com</t>
  </si>
  <si>
    <t>深圳市家乐事科技</t>
  </si>
  <si>
    <t>clx360.cn</t>
  </si>
  <si>
    <t>美特软件官方网站</t>
  </si>
  <si>
    <t>metasoft.com.cn</t>
  </si>
  <si>
    <t>广州弥特智能科技</t>
  </si>
  <si>
    <t>mtscitech.com</t>
  </si>
  <si>
    <t>航天检测物联网平台</t>
  </si>
  <si>
    <t>aeroiot.cn</t>
  </si>
  <si>
    <t>极速数据网</t>
  </si>
  <si>
    <t>jisuapi.com</t>
  </si>
  <si>
    <t>纬衡浩建科技</t>
  </si>
  <si>
    <t>vhsoft.com.cn</t>
  </si>
  <si>
    <t>无极软件官网</t>
  </si>
  <si>
    <t>ipwuji.com</t>
  </si>
  <si>
    <t>深圳市思拓通信系统</t>
  </si>
  <si>
    <t>citops.cn</t>
  </si>
  <si>
    <t>云计算世界</t>
  </si>
  <si>
    <t>chinacloud.cn</t>
  </si>
  <si>
    <t>维康视界科技</t>
  </si>
  <si>
    <t>szwksj.com</t>
  </si>
  <si>
    <t>华数机器人官方网站</t>
  </si>
  <si>
    <t>hsrobotics.cn</t>
  </si>
  <si>
    <t>漏洞人生</t>
  </si>
  <si>
    <t>vuln.cn</t>
  </si>
  <si>
    <t>上海麦杰科技</t>
  </si>
  <si>
    <t>magustek.com</t>
  </si>
  <si>
    <t>科建科技</t>
  </si>
  <si>
    <t>kejian-tech.com</t>
  </si>
  <si>
    <t>浙江佳实智能科技</t>
  </si>
  <si>
    <t>zjjskj.net</t>
  </si>
  <si>
    <t>顺腾科技官方主页</t>
  </si>
  <si>
    <t>shuntengkeji.com</t>
  </si>
  <si>
    <t>山西科技报</t>
  </si>
  <si>
    <t>sxkjbs.com</t>
  </si>
  <si>
    <t>深圳市博易特智能科技定制服务站</t>
  </si>
  <si>
    <t>o1m.cn</t>
  </si>
  <si>
    <t>上海横空数码科技</t>
  </si>
  <si>
    <t>hksoftware.com.cn</t>
  </si>
  <si>
    <t>深圳软件开发公司</t>
  </si>
  <si>
    <t>bjzcsoft.cn</t>
  </si>
  <si>
    <t>易云同步分享盘 我的资料存储小站</t>
  </si>
  <si>
    <t>asytech.cn</t>
  </si>
  <si>
    <t>唐山用友软件</t>
  </si>
  <si>
    <t>ts-yongyou.com</t>
  </si>
  <si>
    <t>苏州竞予信息科技</t>
  </si>
  <si>
    <t>51glab.com</t>
  </si>
  <si>
    <t>奥尔特云智慧科技</t>
  </si>
  <si>
    <t>oortcloudsmart.com</t>
  </si>
  <si>
    <t>深圳市兴德台芯科技</t>
  </si>
  <si>
    <t>srl-tech.cn</t>
  </si>
  <si>
    <t>城通网盘</t>
  </si>
  <si>
    <t>ctdisk.com</t>
  </si>
  <si>
    <t>四川捷汇通信息技术</t>
  </si>
  <si>
    <t>lakalab.com</t>
  </si>
  <si>
    <t>安徽科迅教育装备集团官网</t>
  </si>
  <si>
    <t>ahkxsoft.com</t>
  </si>
  <si>
    <t>蚂蚁部落</t>
  </si>
  <si>
    <t>softwhy.com</t>
  </si>
  <si>
    <t>厂商联盟官方网站</t>
  </si>
  <si>
    <t>quickapp.cn</t>
  </si>
  <si>
    <t>绿色软件家园</t>
  </si>
  <si>
    <t>downg.com</t>
  </si>
  <si>
    <t>名师联智库</t>
  </si>
  <si>
    <t>360msl.com</t>
  </si>
  <si>
    <t>APUS</t>
  </si>
  <si>
    <t>apusapps.com</t>
  </si>
  <si>
    <t>北京优艺客文化传播</t>
  </si>
  <si>
    <t>uemo.net</t>
  </si>
  <si>
    <t>河北驰业网络科技</t>
  </si>
  <si>
    <t>chiyekeji.com</t>
  </si>
  <si>
    <t>北京天瑞恒安科技</t>
  </si>
  <si>
    <t>trhakj.com.cn</t>
  </si>
  <si>
    <t>电脑天空</t>
  </si>
  <si>
    <t>dntk.top</t>
  </si>
  <si>
    <t>安居客 - 网络门店管理系统</t>
  </si>
  <si>
    <t>mendian.anjuke.com</t>
  </si>
  <si>
    <t>触摸精灵</t>
  </si>
  <si>
    <t>touchelf.com</t>
  </si>
  <si>
    <t>阜宁县安顺房屋平移</t>
  </si>
  <si>
    <t>asfwpy.com</t>
  </si>
  <si>
    <t>期货直播间</t>
  </si>
  <si>
    <t>dgtanshua.com</t>
  </si>
  <si>
    <t>深圳图灵语音技术官网</t>
  </si>
  <si>
    <t>turingvoice.com</t>
  </si>
  <si>
    <t>北京瓷杰行汽车科技</t>
  </si>
  <si>
    <t>hd-performance.com</t>
  </si>
  <si>
    <t>汕头市云海网络科技</t>
  </si>
  <si>
    <t>soft0754.com</t>
  </si>
  <si>
    <t>科士达UPS电源</t>
  </si>
  <si>
    <t>jsttat.com</t>
  </si>
  <si>
    <t>鼎尖官网宣传</t>
  </si>
  <si>
    <t>dingjiansoft.cn</t>
  </si>
  <si>
    <t>郑州旗舰数码科技</t>
  </si>
  <si>
    <t>qijiankeji.com</t>
  </si>
  <si>
    <t>山东布谷鸟网络科技</t>
  </si>
  <si>
    <t>bogokj.com</t>
  </si>
  <si>
    <t>上海建文软件科技</t>
  </si>
  <si>
    <t>jwsoft.cn</t>
  </si>
  <si>
    <t>中新网络信息安全</t>
  </si>
  <si>
    <t>cnzxsoft.com</t>
  </si>
  <si>
    <t>博奥特科技</t>
  </si>
  <si>
    <t>botsoft.cn</t>
  </si>
  <si>
    <t>珠海信达九州</t>
  </si>
  <si>
    <t>cindasoft.com</t>
  </si>
  <si>
    <t>维斯塔科技</t>
  </si>
  <si>
    <t>vastaitech.com</t>
  </si>
  <si>
    <t>大连云行科技有限责任公司官方网站</t>
  </si>
  <si>
    <t>yunxing.tech</t>
  </si>
  <si>
    <t>爱思资源网</t>
  </si>
  <si>
    <t>aseoe.com</t>
  </si>
  <si>
    <t>ThinkJS</t>
  </si>
  <si>
    <t>thinkjs.org</t>
  </si>
  <si>
    <t>东莞市赛思检测设备</t>
  </si>
  <si>
    <t>sethtest.com</t>
  </si>
  <si>
    <t>魅族开发者中心</t>
  </si>
  <si>
    <t>developer.meizu.com</t>
  </si>
  <si>
    <t>AndReader</t>
  </si>
  <si>
    <t>andreader.com</t>
  </si>
  <si>
    <t>成都菲莱克斯科技</t>
  </si>
  <si>
    <t>feeldesk.cn</t>
  </si>
  <si>
    <t>超精密制造创新平台</t>
  </si>
  <si>
    <t>upmop.com</t>
  </si>
  <si>
    <t>图层云设计技巧</t>
  </si>
  <si>
    <t>tucengyun.com</t>
  </si>
  <si>
    <t>深圳市收收科技</t>
  </si>
  <si>
    <t>sosotec.com</t>
  </si>
  <si>
    <t>北京普利莱基因技术</t>
  </si>
  <si>
    <t>applygen.com</t>
  </si>
  <si>
    <t>孚地智能科技</t>
  </si>
  <si>
    <t>pix4d.com.cn</t>
  </si>
  <si>
    <t>多维云通信</t>
  </si>
  <si>
    <t>dowei.net</t>
  </si>
  <si>
    <t>远昔云验证服务</t>
  </si>
  <si>
    <t>da-jm.com</t>
  </si>
  <si>
    <t>上海新里程信息科技</t>
  </si>
  <si>
    <t>infocoding.cn</t>
  </si>
  <si>
    <t>重庆花千骨科技</t>
  </si>
  <si>
    <t>hqgkj.cn</t>
  </si>
  <si>
    <t>多特软件站</t>
  </si>
  <si>
    <t>duote.com.cn</t>
  </si>
  <si>
    <t>浙江铖昌科技</t>
  </si>
  <si>
    <t>zjcckj.com</t>
  </si>
  <si>
    <t>广州同鑫科技</t>
  </si>
  <si>
    <t>imswork.com</t>
  </si>
  <si>
    <t>北京中科斯麦实验室设备</t>
  </si>
  <si>
    <t>bjzklab.com</t>
  </si>
  <si>
    <t>北京赛可达信息技术</t>
  </si>
  <si>
    <t>skdlabs.com</t>
  </si>
  <si>
    <t>北京金管家软件科技</t>
  </si>
  <si>
    <t>jgjsoft.cn</t>
  </si>
  <si>
    <t>八度分享</t>
  </si>
  <si>
    <t>8dus.com</t>
  </si>
  <si>
    <t>合肥翼飞特无人机</t>
  </si>
  <si>
    <t>effort-tech.com</t>
  </si>
  <si>
    <t>鼎越天恒技术</t>
  </si>
  <si>
    <t>dythtech.com</t>
  </si>
  <si>
    <t>浙江中产科技</t>
  </si>
  <si>
    <t>jointtech.cn</t>
  </si>
  <si>
    <t>EasyBR</t>
  </si>
  <si>
    <t>ebrower.com</t>
  </si>
  <si>
    <t>北京马哥教育科技</t>
  </si>
  <si>
    <t>178linux.com</t>
  </si>
  <si>
    <t>梦想总是要有的万一实现了呢</t>
  </si>
  <si>
    <t>c1n.cn</t>
  </si>
  <si>
    <t>音频转换器</t>
  </si>
  <si>
    <t>audios-converter.com</t>
  </si>
  <si>
    <t>克隆声音官网</t>
  </si>
  <si>
    <t>clonevoice.net</t>
  </si>
  <si>
    <t>上海斯麦特无损检测技术咨询</t>
  </si>
  <si>
    <t>ndtsnt.com</t>
  </si>
  <si>
    <t>重庆天知软件</t>
  </si>
  <si>
    <t>roadflow.net</t>
  </si>
  <si>
    <t>管家婆软件官网</t>
  </si>
  <si>
    <t>gjprj.cn</t>
  </si>
  <si>
    <t>人工智能展览会</t>
  </si>
  <si>
    <t>gjgd-ai.com</t>
  </si>
  <si>
    <t>尼克地带－传播、沟通、分享。</t>
  </si>
  <si>
    <t>nickdd.cn</t>
  </si>
  <si>
    <t>武汉鸣鸾信息科技</t>
  </si>
  <si>
    <t>huisheng-ai.com</t>
  </si>
  <si>
    <t>成都小悍云计算</t>
  </si>
  <si>
    <t>goeasy.io</t>
  </si>
  <si>
    <t>苏州远鼎信息技术</t>
  </si>
  <si>
    <t>chinaodoo.com</t>
  </si>
  <si>
    <t>广州市唯耀皮具</t>
  </si>
  <si>
    <t>veryio.com</t>
  </si>
  <si>
    <t>至简天成开发人员工具</t>
  </si>
  <si>
    <t>showmebug.com</t>
  </si>
  <si>
    <t>it动力</t>
  </si>
  <si>
    <t>itokit.com</t>
  </si>
  <si>
    <t>深圳海威视讯技术</t>
  </si>
  <si>
    <t>hwsxtec.com</t>
  </si>
  <si>
    <t>风田集成灶官网</t>
  </si>
  <si>
    <t>fengt.net.cn</t>
  </si>
  <si>
    <t>深圳市视软科技</t>
  </si>
  <si>
    <t>srvision.cn</t>
  </si>
  <si>
    <t>劢微机器人科技</t>
  </si>
  <si>
    <t>mw-robot.com</t>
  </si>
  <si>
    <t>上海边界智能科技</t>
  </si>
  <si>
    <t>bianjie.ai</t>
  </si>
  <si>
    <t>东莞市本德机械电子贸易</t>
  </si>
  <si>
    <t>mastercamchina.com</t>
  </si>
  <si>
    <t>福建省勘察设计协会</t>
  </si>
  <si>
    <t>fjkcsj.com</t>
  </si>
  <si>
    <t>四川速宝网络科技</t>
  </si>
  <si>
    <t>netskyper.com</t>
  </si>
  <si>
    <t>九木家科技边缘计算</t>
  </si>
  <si>
    <t>phpts.com</t>
  </si>
  <si>
    <t>南京凡帝朗信息科技</t>
  </si>
  <si>
    <t>fdltec.com</t>
  </si>
  <si>
    <t>美承数码科技</t>
  </si>
  <si>
    <t>mc2.cn</t>
  </si>
  <si>
    <t>南京微测生物科技</t>
  </si>
  <si>
    <t>microdetection.com</t>
  </si>
  <si>
    <t>湖南大拓三维数字技术</t>
  </si>
  <si>
    <t>dt3d.cn</t>
  </si>
  <si>
    <t>艾逸小程序</t>
  </si>
  <si>
    <t>21xiaochengxu.com</t>
  </si>
  <si>
    <t>虹科云服务网站</t>
  </si>
  <si>
    <t>hongcloudtech.com</t>
  </si>
  <si>
    <t>CodePush热更新</t>
  </si>
  <si>
    <t>code-push.cn</t>
  </si>
  <si>
    <t>北京中犇科技</t>
  </si>
  <si>
    <t>zhongbenkeji.com</t>
  </si>
  <si>
    <t>互联网软件服务门户网</t>
  </si>
  <si>
    <t>aiadmin.com</t>
  </si>
  <si>
    <t>Codesoft官方产品销售及技术服务支持中心</t>
  </si>
  <si>
    <t>codesoft.hk</t>
  </si>
  <si>
    <t>郑州讯龙软件科技</t>
  </si>
  <si>
    <t>wudb.cn</t>
  </si>
  <si>
    <t>河南中之杰电子科技</t>
  </si>
  <si>
    <t>zzjkeji.com</t>
  </si>
  <si>
    <t>超声波发生器厂家</t>
  </si>
  <si>
    <t>sensogr.com</t>
  </si>
  <si>
    <t>盛安德物联网</t>
  </si>
  <si>
    <t>osvlabs.com</t>
  </si>
  <si>
    <t>罗拉智能科技</t>
  </si>
  <si>
    <t>szrona.com</t>
  </si>
  <si>
    <t>安徽恩派尔贸易</t>
  </si>
  <si>
    <t>hcltechsw.cn</t>
  </si>
  <si>
    <t>TextIn</t>
  </si>
  <si>
    <t>textin.com</t>
  </si>
  <si>
    <t>保定市龙腾开锁服务天津分公司</t>
  </si>
  <si>
    <t>jishikai.cn</t>
  </si>
  <si>
    <t>微擎官方网站</t>
  </si>
  <si>
    <t>we7.cc</t>
  </si>
  <si>
    <t>惠州莱弗码电子</t>
  </si>
  <si>
    <t>leffercode.com</t>
  </si>
  <si>
    <t>上海宸淼科技发展</t>
  </si>
  <si>
    <t>shcmtech.com</t>
  </si>
  <si>
    <t>中安消工业安全科技</t>
  </si>
  <si>
    <t>csf-tech.com</t>
  </si>
  <si>
    <t>金蝶发票云</t>
  </si>
  <si>
    <t>kdfpy.com</t>
  </si>
  <si>
    <t>南通时瑞塑胶制品</t>
  </si>
  <si>
    <t>siegrid.com</t>
  </si>
  <si>
    <t>北京申乾科技</t>
  </si>
  <si>
    <t>shenqiankeji.com</t>
  </si>
  <si>
    <t>上海颐泽信息技术</t>
  </si>
  <si>
    <t>easy-it.cn</t>
  </si>
  <si>
    <t>达索solidworks广州宇喜资讯科技</t>
  </si>
  <si>
    <t>yuxitech.com</t>
  </si>
  <si>
    <t>上海辉克信息科技</t>
  </si>
  <si>
    <t>softstation.cn</t>
  </si>
  <si>
    <t>上海金戈马软件</t>
  </si>
  <si>
    <t>kgmsoft.com.cn</t>
  </si>
  <si>
    <t>深圳市奥凯软件</t>
  </si>
  <si>
    <t>okisoft.com.cn</t>
  </si>
  <si>
    <t>江苏星韵软件科技</t>
  </si>
  <si>
    <t>amazeui.com.cn</t>
  </si>
  <si>
    <t>无锡斯柯特电力装备</t>
  </si>
  <si>
    <t>sicote.cn</t>
  </si>
  <si>
    <t>工之易3D协作平台evercraft</t>
  </si>
  <si>
    <t>evercraft.co</t>
  </si>
  <si>
    <t>铁将军汽车电子</t>
  </si>
  <si>
    <t>myiov.cc</t>
  </si>
  <si>
    <t>IT电脑持术站</t>
  </si>
  <si>
    <t>ititg.com</t>
  </si>
  <si>
    <t>武汉隽龙科技</t>
  </si>
  <si>
    <t>junnotech.com</t>
  </si>
  <si>
    <t>megvii.com</t>
  </si>
  <si>
    <t>2345天气王</t>
  </si>
  <si>
    <r>
      <rPr>
        <color theme="10"/>
        <rFont val="宋体"/>
        <u/>
        <sz val="11"/>
      </rPr>
      <t xml:space="preserve">2345.com/tianqi2345</t>
    </r>
  </si>
  <si>
    <t>广州金网安信息科技</t>
  </si>
  <si>
    <t>kingnettech.com</t>
  </si>
  <si>
    <t>摩机平板升级网</t>
  </si>
  <si>
    <t>moage.com</t>
  </si>
  <si>
    <t>上海华北科技</t>
  </si>
  <si>
    <t>anovotech.com</t>
  </si>
  <si>
    <t>华科技术</t>
  </si>
  <si>
    <t>hustech.net</t>
  </si>
  <si>
    <t>西瓜影视</t>
  </si>
  <si>
    <t>ixigua.com</t>
  </si>
  <si>
    <t>广州APP定制</t>
  </si>
  <si>
    <t>shzcsoft.cn</t>
  </si>
  <si>
    <t>深圳市深信信息技术</t>
  </si>
  <si>
    <t>sinxinit.com</t>
  </si>
  <si>
    <t>天津市恒兴化学试剂制造</t>
  </si>
  <si>
    <t>hxhxsj.com.cn</t>
  </si>
  <si>
    <t>浙江德励石科技</t>
  </si>
  <si>
    <t>delistech.com</t>
  </si>
  <si>
    <t>2345好压官方网站</t>
  </si>
  <si>
    <t>haozip.com</t>
  </si>
  <si>
    <t>系统部落</t>
  </si>
  <si>
    <t>xitongbuluo.com</t>
  </si>
  <si>
    <t>北京维诺康环境科技</t>
  </si>
  <si>
    <t>veinon.com</t>
  </si>
  <si>
    <t>创想数字技术</t>
  </si>
  <si>
    <t>cxshuzi.com</t>
  </si>
  <si>
    <t>广州匠芯创科技</t>
  </si>
  <si>
    <t>artinchip.com</t>
  </si>
  <si>
    <t>上海迪凯标识科技</t>
  </si>
  <si>
    <t>dkcoding.net</t>
  </si>
  <si>
    <t>堆糖</t>
  </si>
  <si>
    <t>duitang.com</t>
  </si>
  <si>
    <t>名站在线</t>
  </si>
  <si>
    <t>fwol.cn</t>
  </si>
  <si>
    <t>青云在线翻译网</t>
  </si>
  <si>
    <t>zaixian-fanyi.com</t>
  </si>
  <si>
    <t>126网易免费邮</t>
  </si>
  <si>
    <t>126.com</t>
  </si>
  <si>
    <t>精品源码论坛</t>
  </si>
  <si>
    <t>adminn.cn</t>
  </si>
  <si>
    <t>全球加盟平台</t>
  </si>
  <si>
    <t>wap.jiameng.com</t>
  </si>
  <si>
    <t>苏测检测技术</t>
  </si>
  <si>
    <t>sucetest.com</t>
  </si>
  <si>
    <t>机器学习笔记</t>
  </si>
  <si>
    <t>nopme.com</t>
  </si>
  <si>
    <t>西彭雅泰信息网</t>
  </si>
  <si>
    <t>xpren.net</t>
  </si>
  <si>
    <t>恒久尚品网络科技</t>
  </si>
  <si>
    <t>sino-web.cn</t>
  </si>
  <si>
    <t>深圳市深信信息技术官网</t>
  </si>
  <si>
    <t>sinxinit.com.cn</t>
  </si>
  <si>
    <t>Vben Admin</t>
  </si>
  <si>
    <t>vben.pro</t>
  </si>
  <si>
    <t>武汉和奇科技</t>
  </si>
  <si>
    <t>heqikeji.com</t>
  </si>
  <si>
    <t>大连丰德科技</t>
  </si>
  <si>
    <t>forwardsoft.com.cn</t>
  </si>
  <si>
    <t>地瓜软件分享网</t>
  </si>
  <si>
    <t>diguasoft.com</t>
  </si>
  <si>
    <t>花儿微信加</t>
  </si>
  <si>
    <t>weixinjia.net</t>
  </si>
  <si>
    <t>石城县鑫盛矿山机械制造</t>
  </si>
  <si>
    <t>gzxskj.com</t>
  </si>
  <si>
    <t>广州钛动科技官网</t>
  </si>
  <si>
    <t>tec-do.com</t>
  </si>
  <si>
    <t>北京翼辉信息技术官网</t>
  </si>
  <si>
    <t>sylixos.com</t>
  </si>
  <si>
    <t>苏州禾川化学技术服务</t>
  </si>
  <si>
    <t>hccjishu.com</t>
  </si>
  <si>
    <t>C盘清理精灵</t>
  </si>
  <si>
    <t>cleanupsys.com</t>
  </si>
  <si>
    <t>北京洛必德科技官网</t>
  </si>
  <si>
    <t>irobint.com</t>
  </si>
  <si>
    <t>北京索美科技</t>
  </si>
  <si>
    <t>sudas.cn</t>
  </si>
  <si>
    <t>易思维科技</t>
  </si>
  <si>
    <t>isv-tech.com</t>
  </si>
  <si>
    <t>原创摄影美术馆</t>
  </si>
  <si>
    <t>ppm2.com</t>
  </si>
  <si>
    <t>宏工科技官方网站——让物料处理更简单</t>
  </si>
  <si>
    <t>ongoaltech.com</t>
  </si>
  <si>
    <t>深圳市亚讯威视数字技术</t>
  </si>
  <si>
    <t>yxwstech.com</t>
  </si>
  <si>
    <t>深圳市中教文化传播</t>
  </si>
  <si>
    <t>tect365.cn</t>
  </si>
  <si>
    <t>qidiantu.com</t>
  </si>
  <si>
    <t>广州华遨软件科技</t>
  </si>
  <si>
    <t>cs-erp.com</t>
  </si>
  <si>
    <t>四方区艾佳信办公用品商店</t>
  </si>
  <si>
    <t>qdyonyou.com</t>
  </si>
  <si>
    <t>日历网</t>
  </si>
  <si>
    <t>rili.com.cn</t>
  </si>
  <si>
    <t>烟悦网</t>
  </si>
  <si>
    <t>yanyue.cn</t>
  </si>
  <si>
    <t>旋风下载站网</t>
  </si>
  <si>
    <t>xfdown.com</t>
  </si>
  <si>
    <t>北亚企安科技</t>
  </si>
  <si>
    <t>frombyte.com</t>
  </si>
  <si>
    <t>qzsystem</t>
  </si>
  <si>
    <t>qzsystem.com</t>
  </si>
  <si>
    <t>深圳市昂纬科技开发</t>
  </si>
  <si>
    <t>onwaytech.com</t>
  </si>
  <si>
    <t>北京翼辉信息技术</t>
  </si>
  <si>
    <t>edgeros.com</t>
  </si>
  <si>
    <t>锐道官方网站</t>
  </si>
  <si>
    <t>bstek.com</t>
  </si>
  <si>
    <t>西安凯锐测控科技官网</t>
  </si>
  <si>
    <t>chrtech.cn</t>
  </si>
  <si>
    <t>哲程公司官网</t>
  </si>
  <si>
    <t>hz-zcsoft.com</t>
  </si>
  <si>
    <t>rfid物联网</t>
  </si>
  <si>
    <t>rfid.team</t>
  </si>
  <si>
    <t>奇域智能技术</t>
  </si>
  <si>
    <t>curiy.com</t>
  </si>
  <si>
    <t>民康诊所管理软件</t>
  </si>
  <si>
    <t>zsglrj.cn</t>
  </si>
  <si>
    <t>成都德彩科技有限责任公司</t>
  </si>
  <si>
    <t>uets.com.cn</t>
  </si>
  <si>
    <t>合肥柒帮网络科技</t>
  </si>
  <si>
    <t>qibangkeji.com</t>
  </si>
  <si>
    <t>衡安称重软件</t>
  </si>
  <si>
    <t>hengansoft.com</t>
  </si>
  <si>
    <t>郑州顶秀科研科技</t>
  </si>
  <si>
    <t>zzdxtech.com</t>
  </si>
  <si>
    <t>零度软件园</t>
  </si>
  <si>
    <t>05sun.net</t>
  </si>
  <si>
    <t>众麦网络官网</t>
  </si>
  <si>
    <t>zonmind.com</t>
  </si>
  <si>
    <t>广州市峰火电子科技</t>
  </si>
  <si>
    <t>peakfire.net</t>
  </si>
  <si>
    <t>网站商务通</t>
  </si>
  <si>
    <t>zoossoft.net</t>
  </si>
  <si>
    <t>ecmsphp开发中心</t>
  </si>
  <si>
    <t>ecmsphp.com</t>
  </si>
  <si>
    <t>诺博特机器人</t>
  </si>
  <si>
    <t>norbote.com</t>
  </si>
  <si>
    <t>肇庆爱晟传感器技术</t>
  </si>
  <si>
    <t>exsense.net</t>
  </si>
  <si>
    <t>加叁科技官方网站</t>
  </si>
  <si>
    <t>microsoul.com</t>
  </si>
  <si>
    <t>无极软件</t>
  </si>
  <si>
    <t>58wuji.com</t>
  </si>
  <si>
    <t>湖南银宝科技发展</t>
  </si>
  <si>
    <t>hnybkj.cn</t>
  </si>
  <si>
    <t>highlander.com.cn</t>
  </si>
  <si>
    <t>潍坊市华炬新产品研究所</t>
  </si>
  <si>
    <t>jishu123.cn</t>
  </si>
  <si>
    <t>深圳市中易科技有限责任公司</t>
  </si>
  <si>
    <t>zhongyitech.com</t>
  </si>
  <si>
    <t>林鲲科技官网</t>
  </si>
  <si>
    <t>linkunst.cn</t>
  </si>
  <si>
    <t>思维立方大风车软件</t>
  </si>
  <si>
    <t>dfcsoft.com</t>
  </si>
  <si>
    <t>山东华云三维科技三维产品在线研发平台</t>
  </si>
  <si>
    <t>crowncad.com</t>
  </si>
  <si>
    <t>猫扑下载站</t>
  </si>
  <si>
    <t>apipost.cn</t>
  </si>
  <si>
    <t>大连百易软件</t>
  </si>
  <si>
    <t>presoft.com.cn</t>
  </si>
  <si>
    <t>上海幂远科技</t>
  </si>
  <si>
    <t>mefarsoft.com</t>
  </si>
  <si>
    <t>深圳市双芯科技</t>
  </si>
  <si>
    <t>otat.cn</t>
  </si>
  <si>
    <t>武汉中显科技</t>
  </si>
  <si>
    <t>viewtech.cn</t>
  </si>
  <si>
    <t>吴江市奥特精密弹簧五金厂网站</t>
  </si>
  <si>
    <t>aoteth.com</t>
  </si>
  <si>
    <t>物联网世界</t>
  </si>
  <si>
    <t>netofthings.cn</t>
  </si>
  <si>
    <t>LXCN</t>
  </si>
  <si>
    <t>lxcn.net</t>
  </si>
  <si>
    <t>KeyClone Ex</t>
  </si>
  <si>
    <t>keyclone.cn</t>
  </si>
  <si>
    <t>四川葛南仪器</t>
  </si>
  <si>
    <t>mcu3.com</t>
  </si>
  <si>
    <t>深圳市中质技术服务</t>
  </si>
  <si>
    <t>zts-test.com</t>
  </si>
  <si>
    <t>广东维络纳新材料</t>
  </si>
  <si>
    <t>veronait.cn</t>
  </si>
  <si>
    <t>智云通网网上商务记账</t>
  </si>
  <si>
    <t>hzhdsoft.com</t>
  </si>
  <si>
    <t>56网</t>
  </si>
  <si>
    <t>56.com</t>
  </si>
  <si>
    <t>沪江学习网</t>
  </si>
  <si>
    <t>hujiang.com</t>
  </si>
  <si>
    <t>秀友百科</t>
  </si>
  <si>
    <t>wwiki.cn</t>
  </si>
  <si>
    <t>文档赚钱网</t>
  </si>
  <si>
    <t>max.book118.com</t>
  </si>
  <si>
    <t>成都科来技术转移</t>
  </si>
  <si>
    <t>softyee.com</t>
  </si>
  <si>
    <t>南京云汉软件开发</t>
  </si>
  <si>
    <t>upskysoft.com</t>
  </si>
  <si>
    <t>广东工商职业学院</t>
  </si>
  <si>
    <t>zqtbu.com</t>
  </si>
  <si>
    <t>鑫宝软件广东鑫宝软件--专业物联网软件生产商</t>
  </si>
  <si>
    <t>xbsoft.cn</t>
  </si>
  <si>
    <t>深圳博英特科技</t>
  </si>
  <si>
    <t>point-tech.cn</t>
  </si>
  <si>
    <t>欧普科技</t>
  </si>
  <si>
    <t>oupukeji.com</t>
  </si>
  <si>
    <t>山东擎雷环境科技</t>
  </si>
  <si>
    <t>qingleikeji.com</t>
  </si>
  <si>
    <t>广州伊智科技</t>
  </si>
  <si>
    <t>yizhikeji.cn</t>
  </si>
  <si>
    <t>北京创佳益软件</t>
  </si>
  <si>
    <t>cjysoft.com</t>
  </si>
  <si>
    <t>中山市乐奇电子科技</t>
  </si>
  <si>
    <t>zslqtech.com</t>
  </si>
  <si>
    <t>湖南省人民政府</t>
  </si>
  <si>
    <t>hunan.gov.cn</t>
  </si>
  <si>
    <t>南方网</t>
  </si>
  <si>
    <t>southcn.com</t>
  </si>
  <si>
    <t>爱给网</t>
  </si>
  <si>
    <t>aigei.com</t>
  </si>
  <si>
    <t>GNSSer</t>
  </si>
  <si>
    <t>gnsser.com</t>
  </si>
  <si>
    <t>广州旻彩科技</t>
  </si>
  <si>
    <t>minckj.com</t>
  </si>
  <si>
    <t>昇腾社区官网</t>
  </si>
  <si>
    <t>hiascend.cn</t>
  </si>
  <si>
    <t>北方网站</t>
  </si>
  <si>
    <t>enorth.com.cn</t>
  </si>
  <si>
    <t>中国建设银行</t>
  </si>
  <si>
    <t>ccb.com</t>
  </si>
  <si>
    <t>学科网站</t>
  </si>
  <si>
    <t>zxxk.com</t>
  </si>
  <si>
    <t>青岛本原微电子</t>
  </si>
  <si>
    <t>fdmtek.com</t>
  </si>
  <si>
    <t>广州软件定制开发</t>
  </si>
  <si>
    <t>bigestsoft.cn</t>
  </si>
  <si>
    <t>湖北数能软件科技</t>
  </si>
  <si>
    <t>shunengsoft.com</t>
  </si>
  <si>
    <t>重庆市政府网</t>
  </si>
  <si>
    <t>cq.gov.cn</t>
  </si>
  <si>
    <t>网钛CMS系统</t>
  </si>
  <si>
    <t>otcms.com</t>
  </si>
  <si>
    <t>乾元坤和官网</t>
  </si>
  <si>
    <t>qykh2009.com</t>
  </si>
  <si>
    <t>ArcGIS</t>
  </si>
  <si>
    <t>arcgis.net.cn</t>
  </si>
  <si>
    <t>央视网体育</t>
  </si>
  <si>
    <t>sports.cctv.com</t>
  </si>
  <si>
    <t>中华养生网</t>
  </si>
  <si>
    <t>cnys.com</t>
  </si>
  <si>
    <t>豆果网</t>
  </si>
  <si>
    <t>douguo.com</t>
  </si>
  <si>
    <t>北京海易通文化传播</t>
  </si>
  <si>
    <t>feituyun.com</t>
  </si>
  <si>
    <t>重庆智泊惠</t>
  </si>
  <si>
    <t>cqyszn.com</t>
  </si>
  <si>
    <t>深圳市小科云科技</t>
  </si>
  <si>
    <t>k2soft.com.cn</t>
  </si>
  <si>
    <t>北京东方仿真软件技术主页</t>
  </si>
  <si>
    <t>besct.com</t>
  </si>
  <si>
    <t>锐思博创分析测试中心</t>
  </si>
  <si>
    <t>eceshi.cn</t>
  </si>
  <si>
    <t>北京应力分析科技</t>
  </si>
  <si>
    <t>ylfxkj.com</t>
  </si>
  <si>
    <t>海峡网</t>
  </si>
  <si>
    <t>hxnews.com</t>
  </si>
  <si>
    <t>静海人才信息网</t>
  </si>
  <si>
    <t>tjjhrc.com</t>
  </si>
  <si>
    <t>代码改变世界</t>
  </si>
  <si>
    <t>codingchangeworld.com</t>
  </si>
  <si>
    <t>珠海领翼无损检测科技</t>
  </si>
  <si>
    <t>ndtmasteroom.com</t>
  </si>
  <si>
    <t>太平洋亲子网</t>
  </si>
  <si>
    <t>pcbaby.com.cn</t>
  </si>
  <si>
    <t>顶互WebGL案例效果展示网站</t>
  </si>
  <si>
    <t>webglstudy.com</t>
  </si>
  <si>
    <t>永中优云</t>
  </si>
  <si>
    <t>yozocloud.cn</t>
  </si>
  <si>
    <t>北京柏树汇聚</t>
  </si>
  <si>
    <t>newduba.cn</t>
  </si>
  <si>
    <t>酷我音乐软件下载网站</t>
  </si>
  <si>
    <t>mbox.kuwo.cn</t>
  </si>
  <si>
    <t>凡科</t>
  </si>
  <si>
    <t>faisco.com</t>
  </si>
  <si>
    <t>上海信易信息科技</t>
  </si>
  <si>
    <t>shinnytech.com</t>
  </si>
  <si>
    <t>上海浦巍企业管理咨询</t>
  </si>
  <si>
    <t>puweizx.com</t>
  </si>
  <si>
    <t>宝润—让影像更简单</t>
  </si>
  <si>
    <t>browiner.cn</t>
  </si>
  <si>
    <t>永中云转换</t>
  </si>
  <si>
    <t>api.yozocloud.cn</t>
  </si>
  <si>
    <t>鹧应证件照</t>
  </si>
  <si>
    <t>zjzapi.com</t>
  </si>
  <si>
    <t>广州政府</t>
  </si>
  <si>
    <t>gz.gov.cn</t>
  </si>
  <si>
    <t>大众养生门户网</t>
  </si>
  <si>
    <t>cndzys.com</t>
  </si>
  <si>
    <t>黄页88网</t>
  </si>
  <si>
    <t>huangye88.com</t>
  </si>
  <si>
    <t>中通快递网</t>
  </si>
  <si>
    <t>zto.com</t>
  </si>
  <si>
    <t>南京枫准软件科技</t>
  </si>
  <si>
    <t>frsoft.net</t>
  </si>
  <si>
    <t>腾讯企业微信5星上门服务商·企业微信 企微管家 企微助手</t>
  </si>
  <si>
    <t>weixinmanager.com</t>
  </si>
  <si>
    <t>苏州中动机械科技</t>
  </si>
  <si>
    <t>zhongdong.tech</t>
  </si>
  <si>
    <t>成都手趣易指科技</t>
  </si>
  <si>
    <t>ezhisoft.com</t>
  </si>
  <si>
    <t>钛动官方网站</t>
  </si>
  <si>
    <t>tec-go.cn</t>
  </si>
  <si>
    <t>苏州英克莱电子</t>
  </si>
  <si>
    <t>icnips.com</t>
  </si>
  <si>
    <t>东莞市快狐网络科技</t>
  </si>
  <si>
    <t>kuaifox.com</t>
  </si>
  <si>
    <t>上海青翼工业软件</t>
  </si>
  <si>
    <t>qyisoft.cn</t>
  </si>
  <si>
    <t>华冶重科传动设备制造</t>
  </si>
  <si>
    <t>hyzkjs.com</t>
  </si>
  <si>
    <t>苏州思亿欧网络科技</t>
  </si>
  <si>
    <t>apklyg.com</t>
  </si>
  <si>
    <t>青山长源软件</t>
  </si>
  <si>
    <t>qssoft.cn</t>
  </si>
  <si>
    <t>百和软件官网</t>
  </si>
  <si>
    <t>baihesoft.com</t>
  </si>
  <si>
    <t>山东鸿软信息科技</t>
  </si>
  <si>
    <t>greatsoft.cc</t>
  </si>
  <si>
    <t>家家安科技JJAtech</t>
  </si>
  <si>
    <t>jjatech.com</t>
  </si>
  <si>
    <t>完美世界</t>
  </si>
  <si>
    <t>wanmei.com</t>
  </si>
  <si>
    <t>上海杉杉科技</t>
  </si>
  <si>
    <t>shanshantech.com</t>
  </si>
  <si>
    <t>新浪科技</t>
  </si>
  <si>
    <t>tech.sina.com.cn</t>
  </si>
  <si>
    <t>163网易免费邮</t>
  </si>
  <si>
    <t>mail.163.com</t>
  </si>
  <si>
    <t>CNTV新闻台</t>
  </si>
  <si>
    <t>news.cntv.cn</t>
  </si>
  <si>
    <t>找法网</t>
  </si>
  <si>
    <t>findlaw.cn</t>
  </si>
  <si>
    <t>柠檬爱美</t>
  </si>
  <si>
    <t>lemon.baidu.com</t>
  </si>
  <si>
    <t>x8管理系统</t>
  </si>
  <si>
    <t>x8soft.com</t>
  </si>
  <si>
    <t>苏州渠成易销网络科技</t>
  </si>
  <si>
    <t>clickpaas.com</t>
  </si>
  <si>
    <t>苏州祥隆认证咨询</t>
  </si>
  <si>
    <t>xliso.com</t>
  </si>
  <si>
    <t>合肥厂房装修</t>
  </si>
  <si>
    <t>apkcz.com</t>
  </si>
  <si>
    <t>专利翻译网</t>
  </si>
  <si>
    <t>wipleader.com</t>
  </si>
  <si>
    <t>郑州深度软件科技</t>
  </si>
  <si>
    <t>zzsdrj.com</t>
  </si>
  <si>
    <t>喵呜实验室MiaowLabs</t>
  </si>
  <si>
    <t>miaowlabs.com</t>
  </si>
  <si>
    <t>MKLab在线工具</t>
  </si>
  <si>
    <t>mkweb.cc</t>
  </si>
  <si>
    <t>成都网狐科技</t>
  </si>
  <si>
    <t>erpfox.cn</t>
  </si>
  <si>
    <t>南京市明高电子自动化系统</t>
  </si>
  <si>
    <t>mingit.com</t>
  </si>
  <si>
    <t>重庆软件产业综合服务平台 丨 重庆市软件行业协会</t>
  </si>
  <si>
    <t>cqsoft.org.cn</t>
  </si>
  <si>
    <t>山东耀智信息科技</t>
  </si>
  <si>
    <t>get-lighthouse.com</t>
  </si>
  <si>
    <t>洛阳市睿智科技</t>
  </si>
  <si>
    <t>lyrzkjsoft.com</t>
  </si>
  <si>
    <t>德常科技官网</t>
  </si>
  <si>
    <t>taosung.tech</t>
  </si>
  <si>
    <t>九九久科技</t>
  </si>
  <si>
    <t>jjjkj.com</t>
  </si>
  <si>
    <t>杭州为尔学术网络科技</t>
  </si>
  <si>
    <t>latexstudio.net</t>
  </si>
  <si>
    <t>山东凯斯锐智能装备</t>
  </si>
  <si>
    <t>kasry.net</t>
  </si>
  <si>
    <t>厦门市大寻网络科技</t>
  </si>
  <si>
    <t>xmappkf.com</t>
  </si>
  <si>
    <t>精英家教网</t>
  </si>
  <si>
    <t>1010jiajiao.com</t>
  </si>
  <si>
    <t>淘知学堂</t>
  </si>
  <si>
    <t>taozhi.cn</t>
  </si>
  <si>
    <t>招商银行</t>
  </si>
  <si>
    <t>cmbchina.com</t>
  </si>
  <si>
    <t>phytec官网</t>
  </si>
  <si>
    <t>phytec.cn</t>
  </si>
  <si>
    <t>东莞市喆堃五金科技</t>
  </si>
  <si>
    <t>zhekunkeji.com</t>
  </si>
  <si>
    <t>牛芯半导体</t>
  </si>
  <si>
    <t>kniulink.com</t>
  </si>
  <si>
    <t>智时空科技</t>
  </si>
  <si>
    <t>ellipspace.com</t>
  </si>
  <si>
    <t>深圳市览众科技</t>
  </si>
  <si>
    <t>legion-tech.net</t>
  </si>
  <si>
    <t>Math3D三维几何画板</t>
  </si>
  <si>
    <t>math3d.cn</t>
  </si>
  <si>
    <t>北京小筑未来教育科技</t>
  </si>
  <si>
    <t>ifbim.com</t>
  </si>
  <si>
    <t>广州虚拟动力网络技术</t>
  </si>
  <si>
    <t>virdync.com</t>
  </si>
  <si>
    <t>邢台用友软件</t>
  </si>
  <si>
    <t>bdufida.com</t>
  </si>
  <si>
    <t>服务器管理软件</t>
  </si>
  <si>
    <t>appnode.com</t>
  </si>
  <si>
    <t>深圳鼎芯无限科技官网</t>
  </si>
  <si>
    <t>dxytech.com</t>
  </si>
  <si>
    <t>郑州莲石信息科技</t>
  </si>
  <si>
    <t>lianshikeji.com.cn</t>
  </si>
  <si>
    <t>优友网科官网</t>
  </si>
  <si>
    <t>uyoutech.com</t>
  </si>
  <si>
    <t>马托邦网络</t>
  </si>
  <si>
    <t>matopia.cn</t>
  </si>
  <si>
    <t>厦门创易网</t>
  </si>
  <si>
    <t>0592ui.com</t>
  </si>
  <si>
    <t>云南天畅科技官网</t>
  </si>
  <si>
    <t>tianchangkeji.cn</t>
  </si>
  <si>
    <t>广州正穗软件科技</t>
  </si>
  <si>
    <t>gzzsrj.com</t>
  </si>
  <si>
    <t>和谐万维软件</t>
  </si>
  <si>
    <t>unison-web.com</t>
  </si>
  <si>
    <t>优链云食品科技</t>
  </si>
  <si>
    <t>ulianyun.cn</t>
  </si>
  <si>
    <t>黑龙江国旭建设工程有限责任公司</t>
  </si>
  <si>
    <t>hljgxjs.com</t>
  </si>
  <si>
    <t>合肥天帆医药科技</t>
  </si>
  <si>
    <t>tfyykj.com</t>
  </si>
  <si>
    <t>北京App开发</t>
  </si>
  <si>
    <t>bjappkf.cn</t>
  </si>
  <si>
    <t>Geekon 官方网站</t>
  </si>
  <si>
    <t>geekon-studio.com</t>
  </si>
  <si>
    <t>上海助通信息科技</t>
  </si>
  <si>
    <t>ztinfo.cn</t>
  </si>
  <si>
    <t>项目实战网</t>
  </si>
  <si>
    <t>javaxmsz.com</t>
  </si>
  <si>
    <t>珠海四为信息技术</t>
  </si>
  <si>
    <t>siwis.cn</t>
  </si>
  <si>
    <t>无损检测咨询网</t>
  </si>
  <si>
    <t>ndtok.com</t>
  </si>
  <si>
    <t>康飞新能源</t>
  </si>
  <si>
    <t>kangfeitech.com</t>
  </si>
  <si>
    <t>中国词曲</t>
  </si>
  <si>
    <t>ktvc8.com</t>
  </si>
  <si>
    <t>湖北省人民政府门户网站</t>
  </si>
  <si>
    <t>hubei.gov.cn</t>
  </si>
  <si>
    <t>2345电视剧大全</t>
  </si>
  <si>
    <t>tv.2345.com</t>
  </si>
  <si>
    <t>新片场</t>
  </si>
  <si>
    <t>xinpianchang.com</t>
  </si>
  <si>
    <t>安徽本凡信息科技</t>
  </si>
  <si>
    <t>njsoftgs.cn</t>
  </si>
  <si>
    <t>短美文网</t>
  </si>
  <si>
    <t>duanmeiwen.com</t>
  </si>
  <si>
    <t>斗鱼直播</t>
  </si>
  <si>
    <t>douyu.com</t>
  </si>
  <si>
    <t>我图网</t>
  </si>
  <si>
    <t>ooopic.com</t>
  </si>
  <si>
    <t>飞姆科技</t>
  </si>
  <si>
    <t>feelmtech.cn</t>
  </si>
  <si>
    <t>厦门易景软件工程</t>
  </si>
  <si>
    <t>eginsoft.cn</t>
  </si>
  <si>
    <t>东莞慧尔智能软件科技</t>
  </si>
  <si>
    <t>huiersoft.cn</t>
  </si>
  <si>
    <t>汇为热管理技术</t>
  </si>
  <si>
    <t>huiwelltech.com</t>
  </si>
  <si>
    <t>株洲田心信息技术</t>
  </si>
  <si>
    <t>gofront.cn</t>
  </si>
  <si>
    <t>深圳市国天电子</t>
  </si>
  <si>
    <t>growtech.cn</t>
  </si>
  <si>
    <t>环测威检测网站</t>
  </si>
  <si>
    <t>emc12.com</t>
  </si>
  <si>
    <t>北京优信蔚来科技</t>
  </si>
  <si>
    <t>guanyisoft.cn</t>
  </si>
  <si>
    <t>成都无糖信息技术官方网站</t>
  </si>
  <si>
    <t>nosugartech.com</t>
  </si>
  <si>
    <t>米兔源码</t>
  </si>
  <si>
    <t>mitusky.com</t>
  </si>
  <si>
    <t>成都潜在人工智能科技</t>
  </si>
  <si>
    <t>xingzheai.cn</t>
  </si>
  <si>
    <t>葡萄城控件</t>
  </si>
  <si>
    <t>gcpowertools.com.cn</t>
  </si>
  <si>
    <t>DeepModeling</t>
  </si>
  <si>
    <t>deepmodeling.com</t>
  </si>
  <si>
    <t>康曼德控制台</t>
  </si>
  <si>
    <t>conmand.com</t>
  </si>
  <si>
    <t>二维码自动生成</t>
  </si>
  <si>
    <t>qrcode.js.cn</t>
  </si>
  <si>
    <t>RecurDyn官网</t>
  </si>
  <si>
    <t>recurdyn.cn</t>
  </si>
  <si>
    <t>CodeGize</t>
  </si>
  <si>
    <t>codegize.com</t>
  </si>
  <si>
    <t>河北多特科技</t>
  </si>
  <si>
    <t>duote106.com</t>
  </si>
  <si>
    <t>爪哇的风 · 唧唧的博客</t>
  </si>
  <si>
    <t>javawind.com</t>
  </si>
  <si>
    <t>天讯通官方网站</t>
  </si>
  <si>
    <t>txtkj.com</t>
  </si>
  <si>
    <t>几米物联企业官网</t>
  </si>
  <si>
    <t>jimiiot.com</t>
  </si>
  <si>
    <t>秦皇岛市协力科技开发</t>
  </si>
  <si>
    <t>xielikeji.com</t>
  </si>
  <si>
    <t>翌视智能科技</t>
  </si>
  <si>
    <t>nextvision-tech.com</t>
  </si>
  <si>
    <t>BETTERLIFE</t>
  </si>
  <si>
    <t>chinahighsoft.com</t>
  </si>
  <si>
    <t>济宁新玛超声科技</t>
  </si>
  <si>
    <t>jnxmkj.com</t>
  </si>
  <si>
    <t>成都川大众信科技发展</t>
  </si>
  <si>
    <t>zxkj.com</t>
  </si>
  <si>
    <t>北京软体机器人科技</t>
  </si>
  <si>
    <t>softrobottech.com</t>
  </si>
  <si>
    <t>无锡灵犀科技</t>
  </si>
  <si>
    <t>lingsee.com</t>
  </si>
  <si>
    <t>pdfexpert中文网站</t>
  </si>
  <si>
    <t>pdfexpert.cc</t>
  </si>
  <si>
    <t>深圳市高素科技</t>
  </si>
  <si>
    <t>gaosutech.com</t>
  </si>
  <si>
    <t>深圳市君时达科技</t>
  </si>
  <si>
    <t>genstar-tech.com</t>
  </si>
  <si>
    <t>杭州APP开发公司</t>
  </si>
  <si>
    <t>playsoftware.cn</t>
  </si>
  <si>
    <t>河北赛盛新材料科技</t>
  </si>
  <si>
    <t>saishengcms.com</t>
  </si>
  <si>
    <t>河南隆鑫机车</t>
  </si>
  <si>
    <t>henanloncin.com</t>
  </si>
  <si>
    <t>山东新蓝环保科技</t>
  </si>
  <si>
    <t>new-blue.net</t>
  </si>
  <si>
    <t>北京赞联科技</t>
  </si>
  <si>
    <t>zanliantech.com</t>
  </si>
  <si>
    <t>DMXAPI官网：中国人工智能AI多模态大模型API聚合平台</t>
  </si>
  <si>
    <t>dmxapi.cn</t>
  </si>
  <si>
    <t>数峦云科技</t>
  </si>
  <si>
    <t>solanyun.com</t>
  </si>
  <si>
    <t>XGRIDS其域创新</t>
  </si>
  <si>
    <t>xgrids.cn</t>
  </si>
  <si>
    <t>北京叩丁科技</t>
  </si>
  <si>
    <t>xkidcode.com</t>
  </si>
  <si>
    <t>深圳市帝国科技</t>
  </si>
  <si>
    <t>32768k.net</t>
  </si>
  <si>
    <t>图片压缩在线处理无损压缩90%</t>
  </si>
  <si>
    <t>yasuoyu.com</t>
  </si>
  <si>
    <t>深圳市中航睿智科技</t>
  </si>
  <si>
    <t>zhrzsoft.com.cn</t>
  </si>
  <si>
    <t>成都良田科技官网</t>
  </si>
  <si>
    <t>liangtiankeji.cn</t>
  </si>
  <si>
    <t>易保网络技术</t>
  </si>
  <si>
    <t>ebaotech.com</t>
  </si>
  <si>
    <t>上海聊之科技有限公司</t>
  </si>
  <si>
    <t>wpsppt.com</t>
  </si>
  <si>
    <t>北京同尔科技</t>
  </si>
  <si>
    <t>toertech.com</t>
  </si>
  <si>
    <t>黄山软件</t>
  </si>
  <si>
    <t>znmq.com</t>
  </si>
  <si>
    <t>微单智能软件</t>
  </si>
  <si>
    <t>77de.com</t>
  </si>
  <si>
    <t>西安知行软件网站</t>
  </si>
  <si>
    <t>kasoftware.com</t>
  </si>
  <si>
    <t>深圳点开智能科技</t>
  </si>
  <si>
    <t>dk-ai.com</t>
  </si>
  <si>
    <t>润乾公司集算报表产品</t>
  </si>
  <si>
    <t>raqsoft.com.cn</t>
  </si>
  <si>
    <t>上海佳武自动化科技</t>
  </si>
  <si>
    <t>jiawutech.com</t>
  </si>
  <si>
    <t>深圳市施罗德工业集团</t>
  </si>
  <si>
    <t>srodcn.com</t>
  </si>
  <si>
    <t>无锡乐尔科技</t>
  </si>
  <si>
    <t>lertech.com</t>
  </si>
  <si>
    <t>深圳智能思创科技门户网站</t>
  </si>
  <si>
    <t>ai-strong.com</t>
  </si>
  <si>
    <t>鲁软智能科技</t>
  </si>
  <si>
    <t>softlu.com</t>
  </si>
  <si>
    <t>云加速</t>
  </si>
  <si>
    <t>yunjiasu.cc</t>
  </si>
  <si>
    <t>柜谷科技发展</t>
  </si>
  <si>
    <t>gui-gu.cn</t>
  </si>
  <si>
    <t>华晟众测测试检测平台</t>
  </si>
  <si>
    <t>ittsc.cn</t>
  </si>
  <si>
    <t>武汉华工智云科技官网</t>
  </si>
  <si>
    <t>hgcitech.com</t>
  </si>
  <si>
    <t>Coolmuster</t>
  </si>
  <si>
    <t>coolmuster.com.cn</t>
  </si>
  <si>
    <t>大连智海高科</t>
  </si>
  <si>
    <t>dlzhihai-tech.com</t>
  </si>
  <si>
    <t>EasyAdmin8 官网</t>
  </si>
  <si>
    <t>easyadmin.vip</t>
  </si>
  <si>
    <t>长沙市海图科技</t>
  </si>
  <si>
    <t>htmap.com</t>
  </si>
  <si>
    <t>紫光通执法办案管理系统</t>
  </si>
  <si>
    <t>bananxitong.com</t>
  </si>
  <si>
    <t>汇数测试域名</t>
  </si>
  <si>
    <t>huifutest.com</t>
  </si>
  <si>
    <t>天津同阳科技发展</t>
  </si>
  <si>
    <t>tjtongyangkeji.com</t>
  </si>
  <si>
    <t>AcFun弹幕</t>
  </si>
  <si>
    <t>acfun.cn</t>
  </si>
  <si>
    <t>北京徕达泰科科技</t>
  </si>
  <si>
    <t>ladartek.com</t>
  </si>
  <si>
    <t>极速下载站</t>
  </si>
  <si>
    <t>jisuxz.com</t>
  </si>
  <si>
    <t>北京赛洛菲</t>
  </si>
  <si>
    <t>sarofi.com</t>
  </si>
  <si>
    <t>发现好用的Ai网站和Ai工具</t>
  </si>
  <si>
    <t>toolifyai.cn</t>
  </si>
  <si>
    <t>深圳市元道通信技术</t>
  </si>
  <si>
    <t>wintaosaas.com</t>
  </si>
  <si>
    <t>杭州拓数派科技发展</t>
  </si>
  <si>
    <t>openpie.com</t>
  </si>
  <si>
    <t>外刊IT评论</t>
  </si>
  <si>
    <t>aqee.net</t>
  </si>
  <si>
    <t>北京蓝旷科技</t>
  </si>
  <si>
    <t>bluemineai.com</t>
  </si>
  <si>
    <t>SWMM模型中文网</t>
  </si>
  <si>
    <t>swmm.cn</t>
  </si>
  <si>
    <t>Vertex软件系统</t>
  </si>
  <si>
    <t>vertexcad.com.cn</t>
  </si>
  <si>
    <t>广联达斑马进度计划软件</t>
  </si>
  <si>
    <t>zpert.cc</t>
  </si>
  <si>
    <t>视源电子网</t>
  </si>
  <si>
    <t>cvtapi.com</t>
  </si>
  <si>
    <t>陕西长安计算科技</t>
  </si>
  <si>
    <t>cajskj.cn</t>
  </si>
  <si>
    <t>大连飞程科技</t>
  </si>
  <si>
    <t>feicheng.tech</t>
  </si>
  <si>
    <t>河北高达电子科技</t>
  </si>
  <si>
    <t>gaodakj.com</t>
  </si>
  <si>
    <t>上海极商软件</t>
  </si>
  <si>
    <t>jishangsoft.com</t>
  </si>
  <si>
    <t>潍坊东方软件</t>
  </si>
  <si>
    <t>wfesoft.com</t>
  </si>
  <si>
    <t>Xinstall网站</t>
  </si>
  <si>
    <t>xinstall.net</t>
  </si>
  <si>
    <t>深圳市什方智造科技</t>
  </si>
  <si>
    <t>shifang-tech.com</t>
  </si>
  <si>
    <t>中科逸视科技官网</t>
  </si>
  <si>
    <t>easingvision.com</t>
  </si>
  <si>
    <t>一起买买买官网</t>
  </si>
  <si>
    <t>gogoh5.com</t>
  </si>
  <si>
    <t>天津领宇科技</t>
  </si>
  <si>
    <t>lingyukeji.com</t>
  </si>
  <si>
    <t>上海义化文化传媒</t>
  </si>
  <si>
    <t>mayisaas.com</t>
  </si>
  <si>
    <t>安徽麦斯达软件</t>
  </si>
  <si>
    <t>mestarsoft.com</t>
  </si>
  <si>
    <t>山东南华科技</t>
  </si>
  <si>
    <t>sdnhkj.com</t>
  </si>
  <si>
    <t>铁岭市银州区世新软件开发</t>
  </si>
  <si>
    <t>softrm.com</t>
  </si>
  <si>
    <t>上海瀚裕科技</t>
  </si>
  <si>
    <t>hanyukeji.com.cn</t>
  </si>
  <si>
    <t>雷技信息科技匡腾官网</t>
  </si>
  <si>
    <t>usequantum.com.cn</t>
  </si>
  <si>
    <t>上海抗码芯瑞生物科技</t>
  </si>
  <si>
    <t>abcodearray.com</t>
  </si>
  <si>
    <t>深圳并发科技</t>
  </si>
  <si>
    <t>bingfakeji.com</t>
  </si>
  <si>
    <t>大连伟岸纵横科技</t>
  </si>
  <si>
    <t>vrgvtech.com</t>
  </si>
  <si>
    <t>Unfold3D</t>
  </si>
  <si>
    <t>unfold3d.cn</t>
  </si>
  <si>
    <t>中控研究院</t>
  </si>
  <si>
    <t>z-control.cn</t>
  </si>
  <si>
    <t>南方工业技术研究院</t>
  </si>
  <si>
    <t>siitsz.cn</t>
  </si>
  <si>
    <t>Vue Shop Vite 官网</t>
  </si>
  <si>
    <t>vue-admin-beautiful.com</t>
  </si>
  <si>
    <t>广州凯德信息技术</t>
  </si>
  <si>
    <t>itcad.com.cn</t>
  </si>
  <si>
    <t>上海智简信息科技</t>
  </si>
  <si>
    <t>zjian.net</t>
  </si>
  <si>
    <t>北京无双科技官网</t>
  </si>
  <si>
    <t>wushuangkeji.cn</t>
  </si>
  <si>
    <t>江软科技官网</t>
  </si>
  <si>
    <t>js-soft.cn</t>
  </si>
  <si>
    <t>安徽熙泰智能科技</t>
  </si>
  <si>
    <t>sidtek.com.cn</t>
  </si>
  <si>
    <t>深圳市空游科技官网</t>
  </si>
  <si>
    <t>szkongyoukj.com</t>
  </si>
  <si>
    <t>山东高软科技</t>
  </si>
  <si>
    <t>gaoruankeji.com</t>
  </si>
  <si>
    <t>开源项目管理系统</t>
  </si>
  <si>
    <t>project-open.cn</t>
  </si>
  <si>
    <t>Labelsoft多功能条码标签编辑软件</t>
  </si>
  <si>
    <t>labelsoft.com.cn</t>
  </si>
  <si>
    <t>先智后台管理网站</t>
  </si>
  <si>
    <t>sageres.com</t>
  </si>
  <si>
    <t>北京仨兄弟科技</t>
  </si>
  <si>
    <t>sxdkcapp.com</t>
  </si>
  <si>
    <t>英特韦特公司</t>
  </si>
  <si>
    <t>integrated.com.cn</t>
  </si>
  <si>
    <t>安拓盈智能科技</t>
  </si>
  <si>
    <t>atyzn.com</t>
  </si>
  <si>
    <t>北京步峰信息技术</t>
  </si>
  <si>
    <t>bufengsoft.com</t>
  </si>
  <si>
    <t>北京峰渡微波科技</t>
  </si>
  <si>
    <t>fdwbtest.com</t>
  </si>
  <si>
    <t>湖北金高工程技术服务</t>
  </si>
  <si>
    <t>jingaojishu.cn</t>
  </si>
  <si>
    <t>石家庄尚太科技</t>
  </si>
  <si>
    <t>shangtaitech.com</t>
  </si>
  <si>
    <t>中国工商银行</t>
  </si>
  <si>
    <t>icbc.com.cn</t>
  </si>
  <si>
    <t>广州健新科技有限责任公司</t>
  </si>
  <si>
    <t>jxtech.net</t>
  </si>
  <si>
    <t>洛阳万泰智能科技</t>
  </si>
  <si>
    <t>lywtznkj.com</t>
  </si>
  <si>
    <t>上海摩马智能科技</t>
  </si>
  <si>
    <t>moomaaitech.com</t>
  </si>
  <si>
    <t>武汉市博思特电脑科技</t>
  </si>
  <si>
    <t>whbestsoft.com</t>
  </si>
  <si>
    <t>陕西艾利克斯光电科技</t>
  </si>
  <si>
    <t>alaxytech.com</t>
  </si>
  <si>
    <t>北京国信冠群技术</t>
  </si>
  <si>
    <t>cwindow.net</t>
  </si>
  <si>
    <t>广东福驰科技</t>
  </si>
  <si>
    <t>forth-tech.com</t>
  </si>
  <si>
    <t>广州柏杰电子科技</t>
  </si>
  <si>
    <t>itpako.com</t>
  </si>
  <si>
    <t>宁波联虹工业科技</t>
  </si>
  <si>
    <t>nblhkj.com</t>
  </si>
  <si>
    <t>快速工发开发框架</t>
  </si>
  <si>
    <t>rdiframework.net</t>
  </si>
  <si>
    <t>顺景科技后端云</t>
  </si>
  <si>
    <t>tinywebdb.cn</t>
  </si>
  <si>
    <t>趋势软件</t>
  </si>
  <si>
    <t>trendsoft.cn</t>
  </si>
  <si>
    <t>构建你自己的组件库</t>
  </si>
  <si>
    <t>shadcn-ui.cn</t>
  </si>
  <si>
    <t>上海循态信息科技网站</t>
  </si>
  <si>
    <t>xtquantech.com</t>
  </si>
  <si>
    <t>爱诗科技AIsphere</t>
  </si>
  <si>
    <t>aishikeji.com</t>
  </si>
  <si>
    <t>最佳PDF工具平台</t>
  </si>
  <si>
    <t>bestpdf.cn</t>
  </si>
  <si>
    <t>LOOK: AI 服装设计</t>
  </si>
  <si>
    <t>bootingai.cn</t>
  </si>
  <si>
    <t>成都源码标识技术</t>
  </si>
  <si>
    <t>cdyuanma.com</t>
  </si>
  <si>
    <t>天津畅读天下科技</t>
  </si>
  <si>
    <t>changdutec.cn</t>
  </si>
  <si>
    <t>浙江依网科技</t>
  </si>
  <si>
    <t>invtek.com</t>
  </si>
  <si>
    <t>富联芯官网</t>
  </si>
  <si>
    <t>iotflx.com</t>
  </si>
  <si>
    <t>安硕德软件</t>
  </si>
  <si>
    <t>isosoft.cn</t>
  </si>
  <si>
    <t>北京蓝途智程交通科技</t>
  </si>
  <si>
    <t>lantudev.com</t>
  </si>
  <si>
    <t>媒体管家官网</t>
  </si>
  <si>
    <t>meitiguanjia.net</t>
  </si>
  <si>
    <t>上海宁童环保科技服务</t>
  </si>
  <si>
    <t>ningtongtech.com</t>
  </si>
  <si>
    <t>齐齐哈尔强石科技</t>
  </si>
  <si>
    <t>qiangshikeji.cn</t>
  </si>
  <si>
    <t>希瑞斯视觉科技</t>
  </si>
  <si>
    <t>siriusvision.com.cn</t>
  </si>
  <si>
    <t>汇亨管道检修安装工程</t>
  </si>
  <si>
    <t>techo888.com</t>
  </si>
  <si>
    <t>FRIDAY官网</t>
  </si>
  <si>
    <t>friday.tech</t>
  </si>
  <si>
    <t>东莞市中易网络科技</t>
  </si>
  <si>
    <t>zyiit.com</t>
  </si>
  <si>
    <t>标旗精密技术</t>
  </si>
  <si>
    <t>bq-js.cn</t>
  </si>
  <si>
    <t>DOClever 移动时代首选接口管理平台！</t>
  </si>
  <si>
    <t>doclever.cn</t>
  </si>
  <si>
    <t>黑小马电商</t>
  </si>
  <si>
    <t>hxmdssoft.cn</t>
  </si>
  <si>
    <t>Fours情绪星球</t>
  </si>
  <si>
    <t>imfours.com</t>
  </si>
  <si>
    <t>首页 财扳</t>
  </si>
  <si>
    <t>l5k.cn</t>
  </si>
  <si>
    <t>苏州市苏软信息科技官网</t>
  </si>
  <si>
    <t>susoftcn.com</t>
  </si>
  <si>
    <t>深圳市瑞驰信息技术</t>
  </si>
  <si>
    <t>vclusters.com.cn</t>
  </si>
  <si>
    <t>武汉艾斯欧科技</t>
  </si>
  <si>
    <t>whasokj.com</t>
  </si>
  <si>
    <t>Coverity</t>
  </si>
  <si>
    <t>coverity.com.cn</t>
  </si>
  <si>
    <t>英方软件官网</t>
  </si>
  <si>
    <t>info2soft.cn</t>
  </si>
  <si>
    <t>xtcz.360.cn</t>
  </si>
  <si>
    <t>徐州珂尔玛科技</t>
  </si>
  <si>
    <t>xzcmtech.com</t>
  </si>
  <si>
    <t>应用多多官方网站</t>
  </si>
  <si>
    <t>yingyongduoduo.com</t>
  </si>
  <si>
    <t>wetry来试</t>
  </si>
  <si>
    <t>alittletechnology.com</t>
  </si>
  <si>
    <t>武汉蚁图时空科技</t>
  </si>
  <si>
    <t>antgis.net</t>
  </si>
  <si>
    <t>博测达电子科技</t>
  </si>
  <si>
    <t>boostertech.cn</t>
  </si>
  <si>
    <t>LabNext智慧实验室管理系统</t>
  </si>
  <si>
    <t>labnext.cn</t>
  </si>
  <si>
    <t>Zendesk服务与支持</t>
  </si>
  <si>
    <t>qiyuntech.com.cn</t>
  </si>
  <si>
    <t>上海语鸽智能科技</t>
  </si>
  <si>
    <t>uxait.com</t>
  </si>
  <si>
    <t>广东云天智能科技</t>
  </si>
  <si>
    <t>gdwindtech.com</t>
  </si>
  <si>
    <t>极客空间站</t>
  </si>
  <si>
    <t>geekone.cc</t>
  </si>
  <si>
    <t>南昌知沃信息技术</t>
  </si>
  <si>
    <t>kiivo.net</t>
  </si>
  <si>
    <t>上海析牛莱伯仪器</t>
  </si>
  <si>
    <t>xiuilab.com</t>
  </si>
  <si>
    <t>株洲市众普森技术</t>
  </si>
  <si>
    <t>zopoisetech.cn</t>
  </si>
  <si>
    <t>广州众亿鑫信息科技</t>
  </si>
  <si>
    <t>zyxsi.com</t>
  </si>
  <si>
    <t>中科融合感知智能研究院</t>
  </si>
  <si>
    <t>ainstec.cn</t>
  </si>
  <si>
    <t>Altium 365</t>
  </si>
  <si>
    <t>altium365.com.cn</t>
  </si>
  <si>
    <t>成都天软信息技术</t>
  </si>
  <si>
    <t>cdskysoft.com</t>
  </si>
  <si>
    <t>东莞市云触智能科技</t>
  </si>
  <si>
    <t>dgctit.com</t>
  </si>
  <si>
    <t>星空文档恢复</t>
  </si>
  <si>
    <t>istarpdf.cn</t>
  </si>
  <si>
    <t>北京沐融信息科技官网</t>
  </si>
  <si>
    <t>murongtech.com</t>
  </si>
  <si>
    <t>般若计算机</t>
  </si>
  <si>
    <t>prajnasys.net</t>
  </si>
  <si>
    <t>淄博洛克网络科技官方网站</t>
  </si>
  <si>
    <t>rockbrain.net</t>
  </si>
  <si>
    <t>天津简仪科技</t>
  </si>
  <si>
    <t>tjeasytech.cn</t>
  </si>
  <si>
    <t>维特科技官网</t>
  </si>
  <si>
    <t>victor-soft.com</t>
  </si>
  <si>
    <t>图像大厨imgcook</t>
  </si>
  <si>
    <t>imgcook.com</t>
  </si>
  <si>
    <t>小咖知识分享</t>
  </si>
  <si>
    <t>nxtui.com</t>
  </si>
  <si>
    <t>奥比应用网站</t>
  </si>
  <si>
    <t>orbbec.com</t>
  </si>
  <si>
    <t>济宁远联化工技术</t>
  </si>
  <si>
    <t>yuanlianjishu.com</t>
  </si>
  <si>
    <t>中仿智能科技网站</t>
  </si>
  <si>
    <t>adinasoft.cn</t>
  </si>
  <si>
    <t>苏州蚂蚁人网络科技</t>
  </si>
  <si>
    <t>antmantech.com</t>
  </si>
  <si>
    <t>安庆立信软件</t>
  </si>
  <si>
    <t>aqlxsoft.com</t>
  </si>
  <si>
    <t>深圳百川智科科技</t>
  </si>
  <si>
    <t>bczktech.cn</t>
  </si>
  <si>
    <t>杭州比吉软件</t>
  </si>
  <si>
    <t>bijisoft.com</t>
  </si>
  <si>
    <t>blenderit资源网</t>
  </si>
  <si>
    <t>blenderit.cn</t>
  </si>
  <si>
    <t>元桌多开浏览器</t>
  </si>
  <si>
    <t>desktxp.cn</t>
  </si>
  <si>
    <t>辽宁聚焦科技</t>
  </si>
  <si>
    <t>focusva.com</t>
  </si>
  <si>
    <t>青岛艾迪尔信息技术</t>
  </si>
  <si>
    <t>idealsoft.cn</t>
  </si>
  <si>
    <t>深圳市捷高软件信息</t>
  </si>
  <si>
    <t>jcosoftware.com</t>
  </si>
  <si>
    <t>西安美冠计算科技智能产品</t>
  </si>
  <si>
    <t>meiguansoft.cn</t>
  </si>
  <si>
    <t>橙色魔方公司首页</t>
  </si>
  <si>
    <t>omcube.com</t>
  </si>
  <si>
    <t>杭州睿达汽车科技</t>
  </si>
  <si>
    <t>rdatech.com.cn</t>
  </si>
  <si>
    <t>天津润金科技发展</t>
  </si>
  <si>
    <t>runjintec.com</t>
  </si>
  <si>
    <t>上海熵智信息科技</t>
  </si>
  <si>
    <t>senseprocess.com</t>
  </si>
  <si>
    <t>江苏东南智能科技集团</t>
  </si>
  <si>
    <t>seuits.com</t>
  </si>
  <si>
    <t>北京拓川科研设备</t>
  </si>
  <si>
    <t>terchnet.com</t>
  </si>
  <si>
    <t>重庆摇橹船科技官网</t>
  </si>
  <si>
    <t>theseustech.cn</t>
  </si>
  <si>
    <t>深圳商通在线科技官方网站</t>
  </si>
  <si>
    <t>vekinerp.com</t>
  </si>
  <si>
    <t>无锡芯享信息科技</t>
  </si>
  <si>
    <t>xnebula.com</t>
  </si>
  <si>
    <t>微信支付宝小程序 公众号 网站定制开发 深圳鑫至诚网络科技</t>
  </si>
  <si>
    <t>xzc1024.com</t>
  </si>
  <si>
    <t>广州优质信息科技有限责任公司</t>
  </si>
  <si>
    <t>youzhikeji.cn</t>
  </si>
  <si>
    <t>深圳指北科技</t>
  </si>
  <si>
    <t>zhibeikeji.com</t>
  </si>
  <si>
    <t>合肥顺驰电子科技</t>
  </si>
  <si>
    <t>0551soft.com</t>
  </si>
  <si>
    <t>For XX</t>
  </si>
  <si>
    <t>4xx.me</t>
  </si>
  <si>
    <t>金闪PDF</t>
  </si>
  <si>
    <t>amindpdf.cn</t>
  </si>
  <si>
    <t>江西省盎赛电子科技</t>
  </si>
  <si>
    <t>angsai.net</t>
  </si>
  <si>
    <t>ApkParse</t>
  </si>
  <si>
    <t>apkparse.com</t>
  </si>
  <si>
    <t>深圳市极速应用科技官方网站</t>
  </si>
  <si>
    <t>app2006.com</t>
  </si>
  <si>
    <t>徐州市荣大通讯设备</t>
  </si>
  <si>
    <t>applexz.com</t>
  </si>
  <si>
    <t>日照大师官方网站</t>
  </si>
  <si>
    <t>arcdot.com</t>
  </si>
  <si>
    <t>中仿智能科技C919产品网站</t>
  </si>
  <si>
    <t>c919sim.cn</t>
  </si>
  <si>
    <t>Ceva: Empowering Smart Edge with Silicon &amp; Software IP</t>
  </si>
  <si>
    <t>ceva-dsp.cn</t>
  </si>
  <si>
    <t>2345加速浏览器</t>
  </si>
  <si>
    <t>chrome.2345.com</t>
  </si>
  <si>
    <t>学生发展服务平台</t>
  </si>
  <si>
    <t>cscd-sys.com</t>
  </si>
  <si>
    <t>CYTOCH世途科</t>
  </si>
  <si>
    <t>cytoch.com</t>
  </si>
  <si>
    <t>深圳市大伦科技</t>
  </si>
  <si>
    <t>dalun-tech.com</t>
  </si>
  <si>
    <t>天河道云科技</t>
  </si>
  <si>
    <t>daoyuntech.com</t>
  </si>
  <si>
    <t>小红书号购买渠道</t>
  </si>
  <si>
    <t>ddphp.cn</t>
  </si>
  <si>
    <t>Devart中文官方网站</t>
  </si>
  <si>
    <t>devart.com.cn</t>
  </si>
  <si>
    <t>太平洋软件下载中心</t>
  </si>
  <si>
    <t>dl.pconline.com.cn</t>
  </si>
  <si>
    <t>Net分享</t>
  </si>
  <si>
    <t>dotnetshare.com</t>
  </si>
  <si>
    <t>上海亿阁教育科技</t>
  </si>
  <si>
    <t>eagersoft.cn</t>
  </si>
  <si>
    <t>仪生仪世官网</t>
  </si>
  <si>
    <t>esoeasy.com</t>
  </si>
  <si>
    <t>广州纬纶信息科技</t>
  </si>
  <si>
    <t>finchinasoft.com</t>
  </si>
  <si>
    <t>北京广联达金融信息服务</t>
  </si>
  <si>
    <t>finglodon.com</t>
  </si>
  <si>
    <t>火元素网络</t>
  </si>
  <si>
    <t>firsoo.com</t>
  </si>
  <si>
    <t>FlinkAi</t>
  </si>
  <si>
    <t>flinkai.cn</t>
  </si>
  <si>
    <t>北京华盾峻达机电工程</t>
  </si>
  <si>
    <t>gensoftsystems.com</t>
  </si>
  <si>
    <t>上海全球卫星导航</t>
  </si>
  <si>
    <t>gsntec.com.cn</t>
  </si>
  <si>
    <t>上海歌尔泰克机器人官网</t>
  </si>
  <si>
    <t>gtkrobotics.net</t>
  </si>
  <si>
    <t>远扬挂靠管理系统</t>
  </si>
  <si>
    <t>guakaosoft.com</t>
  </si>
  <si>
    <t>清远市汉诺生物科技</t>
  </si>
  <si>
    <t>hannuosw.com</t>
  </si>
  <si>
    <t>湖南雷诺科技发展</t>
  </si>
  <si>
    <t>hnlnkj.cn</t>
  </si>
  <si>
    <t>湖南天功测控科技</t>
  </si>
  <si>
    <t>hntgtest.com</t>
  </si>
  <si>
    <t>镇江宏祥自动化科技</t>
  </si>
  <si>
    <t>hongxiang-tech.cn</t>
  </si>
  <si>
    <t>和众科技企业官网</t>
  </si>
  <si>
    <t>hoorii.tech</t>
  </si>
  <si>
    <t>中科智云科技</t>
  </si>
  <si>
    <t>intellicloudai.cn</t>
  </si>
  <si>
    <t>英特工程仿真技术</t>
  </si>
  <si>
    <t>intesim.com</t>
  </si>
  <si>
    <t>魔方网络科技</t>
  </si>
  <si>
    <t>ios-open.com</t>
  </si>
  <si>
    <t>数岩科技北京分公司</t>
  </si>
  <si>
    <t>irocktech.cn</t>
  </si>
  <si>
    <t>爱看网</t>
  </si>
  <si>
    <t>iseeclan.com</t>
  </si>
  <si>
    <t>JDDTECH</t>
  </si>
  <si>
    <t>jddtech.com</t>
  </si>
  <si>
    <t>深圳市既明科技</t>
  </si>
  <si>
    <t>jimingkeji.com.cn</t>
  </si>
  <si>
    <t>黑龙江锦青科技</t>
  </si>
  <si>
    <t>jinqingtech.com</t>
  </si>
  <si>
    <t>深圳市网元科技</t>
  </si>
  <si>
    <t>jtagscan.com</t>
  </si>
  <si>
    <t>JUDGER</t>
  </si>
  <si>
    <t>judger.cn</t>
  </si>
  <si>
    <t>江西吉为科技</t>
  </si>
  <si>
    <t>jxjwtech.com</t>
  </si>
  <si>
    <t>南昌市瑞友科技</t>
  </si>
  <si>
    <t>jxrysoft.com</t>
  </si>
  <si>
    <t>杭州今奥信息科技</t>
  </si>
  <si>
    <t>kingoit.com</t>
  </si>
  <si>
    <t>酷盘网盘</t>
  </si>
  <si>
    <t>kupan.cc</t>
  </si>
  <si>
    <t>成都棱镜泰克生物科技</t>
  </si>
  <si>
    <t>legend-teck.com</t>
  </si>
  <si>
    <t>深圳市铭昌源科技官方网站</t>
  </si>
  <si>
    <t>mcytech.cn</t>
  </si>
  <si>
    <t>安徽奥马智能科技</t>
  </si>
  <si>
    <t>omsmart.tech</t>
  </si>
  <si>
    <t>北京遨奇思特文化有限责任公司</t>
  </si>
  <si>
    <t>orchestra-technology.com</t>
  </si>
  <si>
    <t>电脑爱好者之家</t>
  </si>
  <si>
    <t>pc360.net</t>
  </si>
  <si>
    <t>点测网络应用平台</t>
  </si>
  <si>
    <t>pgyerapp.com</t>
  </si>
  <si>
    <t>喜悦国际村</t>
  </si>
  <si>
    <t>phpx.com</t>
  </si>
  <si>
    <t>普发科技</t>
  </si>
  <si>
    <t>pufakeji.com.cn</t>
  </si>
  <si>
    <t>青山四纪官网</t>
  </si>
  <si>
    <t>qssjtech.com</t>
  </si>
  <si>
    <t>上海如乐建筑科技</t>
  </si>
  <si>
    <t>ruletech.cn</t>
  </si>
  <si>
    <t>四川三思德科技</t>
  </si>
  <si>
    <t>sanside.net</t>
  </si>
  <si>
    <t>河北世童智能科技官网</t>
  </si>
  <si>
    <t>shitongkeji.com</t>
  </si>
  <si>
    <t>济南翔鹏科技</t>
  </si>
  <si>
    <t>shnsoft.com</t>
  </si>
  <si>
    <t>深圳市顺畅声学科技</t>
  </si>
  <si>
    <t>shunchang-tech.com</t>
  </si>
  <si>
    <t>思脉得医疗科技</t>
  </si>
  <si>
    <t>smartvein.net</t>
  </si>
  <si>
    <t>安平县松森丝网制造</t>
  </si>
  <si>
    <t>songsensw.com</t>
  </si>
  <si>
    <t>深圳市思泰佳电子</t>
  </si>
  <si>
    <t>stgprg.com</t>
  </si>
  <si>
    <t>SUIOT神由物联</t>
  </si>
  <si>
    <t>suiot.cn</t>
  </si>
  <si>
    <t>深圳HTML</t>
  </si>
  <si>
    <t>szhtml.com</t>
  </si>
  <si>
    <t>广州市信晨软件科技</t>
  </si>
  <si>
    <t>thincent.com</t>
  </si>
  <si>
    <t>天津市捷士通科技</t>
  </si>
  <si>
    <t>tjsjstkj.com</t>
  </si>
  <si>
    <t>真软中心</t>
  </si>
  <si>
    <t>truesoftcenter.com</t>
  </si>
  <si>
    <t>腾盛网络科技</t>
  </si>
  <si>
    <t>tsara-ipfs.com</t>
  </si>
  <si>
    <t>Tensor.Art</t>
  </si>
  <si>
    <t>tusi.run</t>
  </si>
  <si>
    <t>深圳联纳科技</t>
  </si>
  <si>
    <t>unt-nanolab.com</t>
  </si>
  <si>
    <t>智慧升力科技</t>
  </si>
  <si>
    <t>upapis.com</t>
  </si>
  <si>
    <t>常州威斯双联科技</t>
  </si>
  <si>
    <t>vsi-tech.com</t>
  </si>
  <si>
    <t>上海文洲信息科技官网</t>
  </si>
  <si>
    <t>wenzhouteck.net</t>
  </si>
  <si>
    <t>武汉星之雨科技</t>
  </si>
  <si>
    <t>whxzy-tech.com</t>
  </si>
  <si>
    <t>深圳市胜达威电子</t>
  </si>
  <si>
    <t>wintrendtech.com</t>
  </si>
  <si>
    <t>WowRobo机器人官网</t>
  </si>
  <si>
    <t>wowrobo.com</t>
  </si>
  <si>
    <t>南京麦豆健康管理</t>
  </si>
  <si>
    <t>wrightin.com</t>
  </si>
  <si>
    <t>3DMGAME</t>
  </si>
  <si>
    <t>3dmgame.com</t>
  </si>
  <si>
    <t>期货自动化交易</t>
  </si>
  <si>
    <t>autojiaoyi.com</t>
  </si>
  <si>
    <t>深圳市小溪流科技</t>
  </si>
  <si>
    <t>cloudstream-tech.com</t>
  </si>
  <si>
    <t>CSUNITEC工具网</t>
  </si>
  <si>
    <t>csunitec.cn</t>
  </si>
  <si>
    <t>法思丽官方网站</t>
  </si>
  <si>
    <t>facille.cn</t>
  </si>
  <si>
    <t>四川随客信息技术</t>
  </si>
  <si>
    <t>funcdn.com</t>
  </si>
  <si>
    <t>成都北亿纤通科技</t>
  </si>
  <si>
    <t>keansi.com</t>
  </si>
  <si>
    <t>扬讯科技</t>
  </si>
  <si>
    <t>me-game.com</t>
  </si>
  <si>
    <t>ngapi接口</t>
  </si>
  <si>
    <t>neapi.com</t>
  </si>
  <si>
    <t>内存溢出</t>
  </si>
  <si>
    <t>outofmemory.cn</t>
  </si>
  <si>
    <t>合肥尚谷智能科技</t>
  </si>
  <si>
    <t>sgkeji.net</t>
  </si>
  <si>
    <t>深圳酷梦网络科技</t>
  </si>
  <si>
    <t>szkmkj.cn</t>
  </si>
  <si>
    <t>星多月明</t>
  </si>
  <si>
    <t>xingduoyueming.com</t>
  </si>
  <si>
    <t>广州贝应网络科技</t>
  </si>
  <si>
    <t>zpysoft.com</t>
  </si>
  <si>
    <t>万信达软件</t>
  </si>
  <si>
    <t>wxdsoft.com</t>
  </si>
  <si>
    <t>雪飞翔软件</t>
  </si>
  <si>
    <t>xfxsoft.cn</t>
  </si>
  <si>
    <t>合肥熙宝软件科技</t>
  </si>
  <si>
    <t>xibaosoft.com</t>
  </si>
  <si>
    <t>旭旦科技官网</t>
  </si>
  <si>
    <t>xudankeji.cn</t>
  </si>
  <si>
    <t>上海燕石自控设备</t>
  </si>
  <si>
    <t>yanshizikong.com</t>
  </si>
  <si>
    <t>盐城市天行软件</t>
  </si>
  <si>
    <t>yonyou580.com</t>
  </si>
  <si>
    <t>北京东软越通软件技术</t>
  </si>
  <si>
    <t>ytneusoft.com</t>
  </si>
  <si>
    <t>云炬智能科技</t>
  </si>
  <si>
    <t>yuntorch.com</t>
  </si>
  <si>
    <t>株洲市驭胜科技</t>
  </si>
  <si>
    <t>yusvn.com</t>
  </si>
  <si>
    <t>北京九章云极科技</t>
  </si>
  <si>
    <t>zetyun.cn</t>
  </si>
  <si>
    <t>数字人源码</t>
  </si>
  <si>
    <t>zhibodev.cn</t>
  </si>
  <si>
    <t>河南中联高科科技鉴定集团</t>
  </si>
  <si>
    <t>zlgkjdjt.cn</t>
  </si>
  <si>
    <t>茂名周周数据科技</t>
  </si>
  <si>
    <t>zzsjkj.cn</t>
  </si>
  <si>
    <t>文山市众梓园科技</t>
  </si>
  <si>
    <t>zzykj.net</t>
  </si>
  <si>
    <t>球迷屋</t>
  </si>
  <si>
    <t>qiumiwu.com</t>
  </si>
  <si>
    <t>算命先生网</t>
  </si>
  <si>
    <t>smxs.com</t>
  </si>
  <si>
    <t>欲思博客</t>
  </si>
  <si>
    <t>yusi123.com</t>
  </si>
  <si>
    <t>美食天下</t>
  </si>
  <si>
    <t>meishichina.com</t>
  </si>
  <si>
    <t>虎扑体育论坛</t>
  </si>
  <si>
    <t>bbs.hupu.com</t>
  </si>
  <si>
    <t>北京时间</t>
  </si>
  <si>
    <t>beijing-time.org</t>
  </si>
  <si>
    <t>腾讯体育</t>
  </si>
  <si>
    <t>sports.qq.com</t>
  </si>
  <si>
    <t>就要加盟网</t>
  </si>
  <si>
    <t>91jm.com</t>
  </si>
  <si>
    <t>三九养生堂</t>
  </si>
  <si>
    <t>39yst.com</t>
  </si>
  <si>
    <t>骑士助手</t>
  </si>
  <si>
    <t>vqs.com</t>
  </si>
  <si>
    <t>中青在线</t>
  </si>
  <si>
    <t>cyol.com</t>
  </si>
  <si>
    <t>便民查询工具</t>
  </si>
  <si>
    <t>gj.aizhan.com</t>
  </si>
  <si>
    <t>淘豆</t>
  </si>
  <si>
    <t>taodocs.com</t>
  </si>
  <si>
    <t>汇率网</t>
  </si>
  <si>
    <t>huilv.cc</t>
  </si>
  <si>
    <t>中国共产党新闻网</t>
  </si>
  <si>
    <t>cpc.people.com.cn</t>
  </si>
  <si>
    <t>智慧山</t>
  </si>
  <si>
    <t>zhihuishan.com</t>
  </si>
  <si>
    <t>凤凰视频</t>
  </si>
  <si>
    <t>v.ifeng.com</t>
  </si>
  <si>
    <t>价格网</t>
  </si>
  <si>
    <t>myprice.com.cn</t>
  </si>
  <si>
    <t>球探网</t>
  </si>
  <si>
    <t>bet007.com</t>
  </si>
  <si>
    <t>河源下载站</t>
  </si>
  <si>
    <t>xz7.com</t>
  </si>
  <si>
    <t>中国邮政速递物流</t>
  </si>
  <si>
    <t>ems.com.cn</t>
  </si>
  <si>
    <t>蒲城教育文学网</t>
  </si>
  <si>
    <t>puchedu.cn</t>
  </si>
  <si>
    <t>英语免费学习网</t>
  </si>
  <si>
    <t>yingyuw.cn</t>
  </si>
  <si>
    <t>一起词典</t>
  </si>
  <si>
    <t>1qi.cn</t>
  </si>
  <si>
    <t>给力在线英汉词典</t>
  </si>
  <si>
    <t>danci.gei6.com</t>
  </si>
  <si>
    <t>英语听力课堂</t>
  </si>
  <si>
    <t>tingclass.net</t>
  </si>
  <si>
    <t>99学术网</t>
  </si>
  <si>
    <t>99xueshu.com</t>
  </si>
  <si>
    <t>汉辞宝</t>
  </si>
  <si>
    <t>hancibao.com</t>
  </si>
  <si>
    <t>欧路词典</t>
  </si>
  <si>
    <t>dict.eudic.net</t>
  </si>
  <si>
    <t>MBA智库</t>
  </si>
  <si>
    <t>mbalib.com</t>
  </si>
  <si>
    <t>幼儿学习网</t>
  </si>
  <si>
    <t>jy135.com</t>
  </si>
  <si>
    <t>给力在线词典</t>
  </si>
  <si>
    <t>zidian.gei6.com</t>
  </si>
  <si>
    <t>好工具学习工具</t>
  </si>
  <si>
    <t>hao86.com</t>
  </si>
  <si>
    <t>新东方网</t>
  </si>
  <si>
    <t>xdf.cn</t>
  </si>
  <si>
    <t>小站备考</t>
  </si>
  <si>
    <t>top.zhan.com</t>
  </si>
  <si>
    <t>古诗文大全网</t>
  </si>
  <si>
    <t>gushiwen.cn</t>
  </si>
  <si>
    <t>中国研究生招生信息网</t>
  </si>
  <si>
    <t>yz.chsi.com.cn</t>
  </si>
  <si>
    <t>孔夫子旧书</t>
  </si>
  <si>
    <t>mbook.kongfz.com</t>
  </si>
  <si>
    <t>高考100网</t>
  </si>
  <si>
    <t>gk100.com</t>
  </si>
  <si>
    <t>中国人大网</t>
  </si>
  <si>
    <t>npc.gov.cn</t>
  </si>
  <si>
    <t>小站教育</t>
  </si>
  <si>
    <t>zhan.com</t>
  </si>
  <si>
    <t>当当网</t>
  </si>
  <si>
    <t>dangdang.com</t>
  </si>
  <si>
    <t>言情小说吧</t>
  </si>
  <si>
    <t>xs8.cn</t>
  </si>
  <si>
    <t>话本小说</t>
  </si>
  <si>
    <t>ihuaben.com</t>
  </si>
  <si>
    <t>燃文小说网</t>
  </si>
  <si>
    <t>52ranwen.net</t>
  </si>
  <si>
    <t>起点女性小说</t>
  </si>
  <si>
    <t>qdmm.com</t>
  </si>
  <si>
    <t>顶点小说阅读网站</t>
  </si>
  <si>
    <t>xbooktxt.net</t>
  </si>
  <si>
    <t>yy233影院</t>
  </si>
  <si>
    <t>yy233.com</t>
  </si>
  <si>
    <t>快看漫画</t>
  </si>
  <si>
    <t>kuaikanmanhua.com</t>
  </si>
  <si>
    <t>腾讯动漫</t>
  </si>
  <si>
    <t>ac.qq.com</t>
  </si>
  <si>
    <t>极速漫画</t>
  </si>
  <si>
    <t>1kkk.com</t>
  </si>
  <si>
    <t>江苏网络电视台</t>
  </si>
  <si>
    <t>jstv.com</t>
  </si>
  <si>
    <t>新航道</t>
  </si>
  <si>
    <t>xhd.cn</t>
  </si>
  <si>
    <t>华声在线</t>
  </si>
  <si>
    <t>voc.com.cn</t>
  </si>
  <si>
    <t>天猫网站</t>
  </si>
  <si>
    <t>tmall.com</t>
  </si>
  <si>
    <t>中国曲谱网</t>
  </si>
  <si>
    <t>qupu123.com</t>
  </si>
  <si>
    <t>楼盘网</t>
  </si>
  <si>
    <t>loupan.com</t>
  </si>
  <si>
    <t>律图</t>
  </si>
  <si>
    <t>mip.64365.com</t>
  </si>
  <si>
    <t>可可英语</t>
  </si>
  <si>
    <t>kekenet.com</t>
  </si>
  <si>
    <t>豆瓣音乐</t>
  </si>
  <si>
    <t>music.douban.com</t>
  </si>
  <si>
    <t>8684公交网</t>
  </si>
  <si>
    <t>8684.cn</t>
  </si>
  <si>
    <t>分析测试百科网</t>
  </si>
  <si>
    <t>antpedia.com</t>
  </si>
  <si>
    <t>365易贷</t>
  </si>
  <si>
    <t>365edai.cn</t>
  </si>
  <si>
    <t>驱动人生下载</t>
  </si>
  <si>
    <t>160.com</t>
  </si>
  <si>
    <t>在线汉语字典</t>
  </si>
  <si>
    <t>zidian.gjcha.com</t>
  </si>
  <si>
    <t>青云英语翻译网</t>
  </si>
  <si>
    <t>eyu.zaixian-fanyi.com</t>
  </si>
  <si>
    <t>中国专业素材网</t>
  </si>
  <si>
    <t>tooopen.com</t>
  </si>
  <si>
    <t>花百科</t>
  </si>
  <si>
    <t>huabaike.com</t>
  </si>
  <si>
    <t>河北新闻网</t>
  </si>
  <si>
    <t>hebnews.cn</t>
  </si>
  <si>
    <t>腾飞网</t>
  </si>
  <si>
    <t>qqtf.com</t>
  </si>
  <si>
    <t>青岛新闻网</t>
  </si>
  <si>
    <t>qingdaonews.com</t>
  </si>
  <si>
    <t>中华康网站</t>
  </si>
  <si>
    <t>cnkang.com</t>
  </si>
  <si>
    <t>昵图网站</t>
  </si>
  <si>
    <t>nipic.com</t>
  </si>
  <si>
    <t>有赞网站</t>
  </si>
  <si>
    <t>youzan.com</t>
  </si>
  <si>
    <t>四川在线</t>
  </si>
  <si>
    <t>scol.com.cn</t>
  </si>
  <si>
    <t>盛火数据</t>
  </si>
  <si>
    <t>5v55.com</t>
  </si>
  <si>
    <t>第一财经</t>
  </si>
  <si>
    <t>yicai.com</t>
  </si>
  <si>
    <t>证券时报网</t>
  </si>
  <si>
    <t>stcn.com</t>
  </si>
  <si>
    <t>财政部会计资格评价中心</t>
  </si>
  <si>
    <t>kzp.mof.gov.cn</t>
  </si>
  <si>
    <t>浙江在线</t>
  </si>
  <si>
    <t>zjol.com.cn</t>
  </si>
  <si>
    <t>IT之家</t>
  </si>
  <si>
    <t>ithome.com</t>
  </si>
  <si>
    <t>创世中文网</t>
  </si>
  <si>
    <t>chuangshi.qq.com</t>
  </si>
  <si>
    <t>高顿网校</t>
  </si>
  <si>
    <t>gaodun.com</t>
  </si>
  <si>
    <t>新浪博客首页</t>
  </si>
  <si>
    <t>blog.sina.com.cn</t>
  </si>
  <si>
    <t>启信宝</t>
  </si>
  <si>
    <t>qixin.com</t>
  </si>
  <si>
    <t>向日葵</t>
  </si>
  <si>
    <t>sunlogin.oray.com</t>
  </si>
  <si>
    <t>平安银行</t>
  </si>
  <si>
    <t>stock.quote.stockstar.com</t>
  </si>
  <si>
    <t>中国400电话网</t>
  </si>
  <si>
    <t>chahaoba.com</t>
  </si>
  <si>
    <t>凤凰网时尚</t>
  </si>
  <si>
    <t>fashion.ifeng.com</t>
  </si>
  <si>
    <t>车主之家</t>
  </si>
  <si>
    <t>16888.com</t>
  </si>
  <si>
    <t>教育资源库</t>
  </si>
  <si>
    <t>chinesejy.com</t>
  </si>
  <si>
    <t>焦点房地产网</t>
  </si>
  <si>
    <t>focus.cn</t>
  </si>
  <si>
    <t>搜狐时尚频道</t>
  </si>
  <si>
    <t>fashion.sohu.com</t>
  </si>
  <si>
    <t>美团</t>
  </si>
  <si>
    <t>meituan.com</t>
  </si>
  <si>
    <t>39就医助手</t>
  </si>
  <si>
    <t>wapyyk.39.net</t>
  </si>
  <si>
    <t>IT168</t>
  </si>
  <si>
    <t>it168.com</t>
  </si>
  <si>
    <t>迅捷PDF</t>
  </si>
  <si>
    <t>app.xunjiepdf.com</t>
  </si>
  <si>
    <t>会计网</t>
  </si>
  <si>
    <t>kuaiji.com</t>
  </si>
  <si>
    <t>游迅网</t>
  </si>
  <si>
    <t>yxdown.com</t>
  </si>
  <si>
    <t>时尚妆点网</t>
  </si>
  <si>
    <t>zdface.com</t>
  </si>
  <si>
    <t>红动网</t>
  </si>
  <si>
    <t>redocn.com</t>
  </si>
  <si>
    <t>灰机wiki</t>
  </si>
  <si>
    <t>huijiwiki.com</t>
  </si>
  <si>
    <t>穷游网</t>
  </si>
  <si>
    <t>qyer.com</t>
  </si>
  <si>
    <t>艾泽拉斯国家地理</t>
  </si>
  <si>
    <t>nga.cn</t>
  </si>
  <si>
    <t>微信读书</t>
  </si>
  <si>
    <t>weread.qq.com</t>
  </si>
  <si>
    <t>紫一健康保健品商城</t>
  </si>
  <si>
    <t>ziyimall.com</t>
  </si>
  <si>
    <t>大河票务网</t>
  </si>
  <si>
    <t>dahepiao.com</t>
  </si>
  <si>
    <t>项目网</t>
  </si>
  <si>
    <t>xiangmu.com</t>
  </si>
  <si>
    <t>高考网</t>
  </si>
  <si>
    <t>gaokao.com</t>
  </si>
  <si>
    <t>新闻</t>
  </si>
  <si>
    <t>news.cri.cn</t>
  </si>
  <si>
    <t>富途牛牛</t>
  </si>
  <si>
    <t>futunn.com</t>
  </si>
  <si>
    <t>懂球帝App</t>
  </si>
  <si>
    <t>dongqiudi.com</t>
  </si>
  <si>
    <t>腾讯证券行情中心频道</t>
  </si>
  <si>
    <t>gu.qq.com</t>
  </si>
  <si>
    <t>考研秘籍</t>
  </si>
  <si>
    <t>kaoyanmiji.com</t>
  </si>
  <si>
    <t>39问医生</t>
  </si>
  <si>
    <t>ask.39.net</t>
  </si>
  <si>
    <t>597人才网</t>
  </si>
  <si>
    <t>597.com</t>
  </si>
  <si>
    <t>健客网</t>
  </si>
  <si>
    <t>jianke.com</t>
  </si>
  <si>
    <t>阿里巴巴国际交易市场</t>
  </si>
  <si>
    <t>alibaba.com</t>
  </si>
  <si>
    <t>快科技</t>
  </si>
  <si>
    <t>mydrivers.com</t>
  </si>
  <si>
    <t>东坡下载</t>
  </si>
  <si>
    <t>uzzf.com</t>
  </si>
  <si>
    <t>新浪女性</t>
  </si>
  <si>
    <t>eladies.sina.com.cn</t>
  </si>
  <si>
    <t>太平洋汽车网汽车百科</t>
  </si>
  <si>
    <t>baike.pcauto.com.cn</t>
  </si>
  <si>
    <t>51苹果助手</t>
  </si>
  <si>
    <t>51pgzs.com</t>
  </si>
  <si>
    <t>中国法院网</t>
  </si>
  <si>
    <t>chinacourt.org</t>
  </si>
  <si>
    <t>携程酒店</t>
  </si>
  <si>
    <t>hotels.ctrip.com</t>
  </si>
  <si>
    <t>乐文在线小说网</t>
  </si>
  <si>
    <t>xlewen.com</t>
  </si>
  <si>
    <t>脉脉</t>
  </si>
  <si>
    <t>maimai.cn</t>
  </si>
  <si>
    <t>腕表之家</t>
  </si>
  <si>
    <t>xbiao.com</t>
  </si>
  <si>
    <t>映象网新闻频道</t>
  </si>
  <si>
    <t>news.hnr.cn</t>
  </si>
  <si>
    <t>台海网</t>
  </si>
  <si>
    <t>taihainet.com</t>
  </si>
  <si>
    <t>台风路径</t>
  </si>
  <si>
    <t>typhoon.zjwater.gov.cn</t>
  </si>
  <si>
    <t>华为商城</t>
  </si>
  <si>
    <t>vmall.com</t>
  </si>
  <si>
    <t>卡车之家</t>
  </si>
  <si>
    <t>360che.com</t>
  </si>
  <si>
    <t>中国美容美体网</t>
  </si>
  <si>
    <t>ilife.cn</t>
  </si>
  <si>
    <t>博雅地名网</t>
  </si>
  <si>
    <t>tcmap.com.cn</t>
  </si>
  <si>
    <t>搜狗翻译</t>
  </si>
  <si>
    <t>fanyi.sogou.com</t>
  </si>
  <si>
    <t>吉他社区</t>
  </si>
  <si>
    <t>jitashe.org</t>
  </si>
  <si>
    <t>虎嗅网</t>
  </si>
  <si>
    <t>huxiu.com</t>
  </si>
  <si>
    <t>太平洋家居网</t>
  </si>
  <si>
    <t>pchouse.com.cn</t>
  </si>
  <si>
    <t>网易大神</t>
  </si>
  <si>
    <t>ds.163.com</t>
  </si>
  <si>
    <t>19楼</t>
  </si>
  <si>
    <t>19lou.com</t>
  </si>
  <si>
    <t>飞卢小说</t>
  </si>
  <si>
    <t>b.faloo.com</t>
  </si>
  <si>
    <t>育路教育网</t>
  </si>
  <si>
    <t>yuloo.com</t>
  </si>
  <si>
    <t>NVIDIA公司</t>
  </si>
  <si>
    <t>nvidia.cn</t>
  </si>
  <si>
    <t>中国联通网上营业厅</t>
  </si>
  <si>
    <t>10010.com</t>
  </si>
  <si>
    <t>千千简笔画网</t>
  </si>
  <si>
    <t>jianbihua.com</t>
  </si>
  <si>
    <t>oppo</t>
  </si>
  <si>
    <t>oppo.com</t>
  </si>
  <si>
    <t>广西壮族自治区人民政府网</t>
  </si>
  <si>
    <t>gxzf.gov.cn</t>
  </si>
  <si>
    <t>环球网社会</t>
  </si>
  <si>
    <t>society.huanqiu.com</t>
  </si>
  <si>
    <t>觅元素</t>
  </si>
  <si>
    <t>51yuansu.com</t>
  </si>
  <si>
    <t>复旦大学</t>
  </si>
  <si>
    <t>fudan.edu.cn</t>
  </si>
  <si>
    <t>品善网</t>
  </si>
  <si>
    <t>pinshan.com</t>
  </si>
  <si>
    <t>中国文明网</t>
  </si>
  <si>
    <t>wenming.cn</t>
  </si>
  <si>
    <t>风行网</t>
  </si>
  <si>
    <t>fun.tv</t>
  </si>
  <si>
    <t>天天基金网</t>
  </si>
  <si>
    <t>fund.eastmoney.com</t>
  </si>
  <si>
    <t>各地赛鸽公棚</t>
  </si>
  <si>
    <t>gdgp.chinaxinge.com</t>
  </si>
  <si>
    <t>中国娱乐网</t>
  </si>
  <si>
    <t>yule.com.cn</t>
  </si>
  <si>
    <t>金羊网</t>
  </si>
  <si>
    <t>ycwb.com</t>
  </si>
  <si>
    <t>亚马逊中国网</t>
  </si>
  <si>
    <t>amazon.cn</t>
  </si>
  <si>
    <t>动漫屋</t>
  </si>
  <si>
    <t>dm5.com</t>
  </si>
  <si>
    <t>法师兄</t>
  </si>
  <si>
    <t>110ask.com</t>
  </si>
  <si>
    <t>中国物通网</t>
  </si>
  <si>
    <t>chinawutong.com</t>
  </si>
  <si>
    <t>经管之家校园聚合频道</t>
  </si>
  <si>
    <t>pinggu.org</t>
  </si>
  <si>
    <t>韵达快递</t>
  </si>
  <si>
    <t>yundaex.com</t>
  </si>
  <si>
    <t>我爱卡</t>
  </si>
  <si>
    <t>51credit.com</t>
  </si>
  <si>
    <t>6617网址导航</t>
  </si>
  <si>
    <t>6617.com</t>
  </si>
  <si>
    <t>中医世家</t>
  </si>
  <si>
    <t>zysj.com.cn</t>
  </si>
  <si>
    <t>在线新华字典网站</t>
  </si>
  <si>
    <t>zidian.aies.cn</t>
  </si>
  <si>
    <t>光环助手网</t>
  </si>
  <si>
    <t>ghzs.com</t>
  </si>
  <si>
    <t>网易体育</t>
  </si>
  <si>
    <t>sports.163.com</t>
  </si>
  <si>
    <t>中国网河南</t>
  </si>
  <si>
    <t>henan.china.com.cn</t>
  </si>
  <si>
    <t>中国校园网</t>
  </si>
  <si>
    <t>cnxiaoyuan.com</t>
  </si>
  <si>
    <t>我卖我车网</t>
  </si>
  <si>
    <t>55usedcar.com</t>
  </si>
  <si>
    <t>上海市政府</t>
  </si>
  <si>
    <t>shanghai.gov.cn</t>
  </si>
  <si>
    <t>天籁免费小说网</t>
  </si>
  <si>
    <t>tzkczc.com</t>
  </si>
  <si>
    <t>本地宝</t>
  </si>
  <si>
    <t>bj.bendibao.com</t>
  </si>
  <si>
    <t>爱奇艺网</t>
  </si>
  <si>
    <t>list.iqiyi.com</t>
  </si>
  <si>
    <t>雷速体育网</t>
  </si>
  <si>
    <t>leisu.com</t>
  </si>
  <si>
    <t>中国科学技术大学</t>
  </si>
  <si>
    <t>ustc.edu.cn</t>
  </si>
  <si>
    <t>北方网</t>
  </si>
  <si>
    <t>news.enorth.com.cn</t>
  </si>
  <si>
    <t>大道家园</t>
  </si>
  <si>
    <t>dadaojiayuan.com</t>
  </si>
  <si>
    <t>土木在线</t>
  </si>
  <si>
    <t>co188.com</t>
  </si>
  <si>
    <t>小燕文学</t>
  </si>
  <si>
    <t>xiaoyanwenxue.com</t>
  </si>
  <si>
    <t>万方数据</t>
  </si>
  <si>
    <t>wanfangdata.com.cn</t>
  </si>
  <si>
    <t>云南省人民政府门户网站</t>
  </si>
  <si>
    <t>yn.gov.cn</t>
  </si>
  <si>
    <t>包图网</t>
  </si>
  <si>
    <t>ibaotu.com</t>
  </si>
  <si>
    <t>新日电动车</t>
  </si>
  <si>
    <t>xinri.com</t>
  </si>
  <si>
    <t>中国经济网地方经济频道</t>
  </si>
  <si>
    <t>district.ce.cn</t>
  </si>
  <si>
    <t>订阅</t>
  </si>
  <si>
    <t>dy.163.com</t>
  </si>
  <si>
    <t>美图M4</t>
  </si>
  <si>
    <t>meitu.com</t>
  </si>
  <si>
    <t>海尔集团</t>
  </si>
  <si>
    <t>haier.com</t>
  </si>
  <si>
    <t>高铁网</t>
  </si>
  <si>
    <t>gaotie.cn</t>
  </si>
  <si>
    <t>新笔趣阁在线小说网</t>
  </si>
  <si>
    <t>xbiquge.la</t>
  </si>
  <si>
    <t>西子美发网</t>
  </si>
  <si>
    <t>xiziwang.net</t>
  </si>
  <si>
    <t>一汽-大众奥迪</t>
  </si>
  <si>
    <t>audi.cn</t>
  </si>
  <si>
    <t>我的世界Minecraft 中国版</t>
  </si>
  <si>
    <t>mc.163.com</t>
  </si>
  <si>
    <t>火车票网站</t>
  </si>
  <si>
    <t>114piaowu.com</t>
  </si>
  <si>
    <t>第一PPT</t>
  </si>
  <si>
    <t>1ppt.com</t>
  </si>
  <si>
    <t>新民网</t>
  </si>
  <si>
    <t>xinmin.cn</t>
  </si>
  <si>
    <t>全本小说书屋</t>
  </si>
  <si>
    <t>qb5.io</t>
  </si>
  <si>
    <t>北极星电力网</t>
  </si>
  <si>
    <t>bjx.com.cn</t>
  </si>
  <si>
    <t>医学百科知识</t>
  </si>
  <si>
    <t>yixue.com</t>
  </si>
  <si>
    <t>企业微信网</t>
  </si>
  <si>
    <t>work.weixin.qq.com</t>
  </si>
  <si>
    <t>求是网</t>
  </si>
  <si>
    <t>qstheory.cn</t>
  </si>
  <si>
    <t>科技 全球视角_环球网</t>
  </si>
  <si>
    <t>tech.huanqiu.com</t>
  </si>
  <si>
    <t>中华人民共和国人力资源和社会保障部</t>
  </si>
  <si>
    <t>12333.gov.cn</t>
  </si>
  <si>
    <t>初三网</t>
  </si>
  <si>
    <t>chusan.com</t>
  </si>
  <si>
    <t>荔枝网</t>
  </si>
  <si>
    <t>gdtv.cn</t>
  </si>
  <si>
    <t>神巴巴测试</t>
  </si>
  <si>
    <t>services.shen88.cn</t>
  </si>
  <si>
    <t>360星座网</t>
  </si>
  <si>
    <t>xingzuo360.cn</t>
  </si>
  <si>
    <t>我爱钢铁网</t>
  </si>
  <si>
    <t>52steel.com</t>
  </si>
  <si>
    <t>荔枝新闻</t>
  </si>
  <si>
    <t>news.jstv.com</t>
  </si>
  <si>
    <t>妈妈网</t>
  </si>
  <si>
    <t>mama.cn</t>
  </si>
  <si>
    <t>应届生求职网</t>
  </si>
  <si>
    <t>yingjiesheng.com</t>
  </si>
  <si>
    <t>大疆创新科技有限公司</t>
  </si>
  <si>
    <t>dji.com</t>
  </si>
  <si>
    <t>图行天下图库</t>
  </si>
  <si>
    <t>photophoto.cn</t>
  </si>
  <si>
    <t>公务员之家</t>
  </si>
  <si>
    <t>gwyoo.com</t>
  </si>
  <si>
    <t>安徽华图</t>
  </si>
  <si>
    <t>ah.huatu.com</t>
  </si>
  <si>
    <t>芒果TV</t>
  </si>
  <si>
    <t>hunantv.com</t>
  </si>
  <si>
    <t>查电话网</t>
  </si>
  <si>
    <t>chadianhua.net</t>
  </si>
  <si>
    <t>人大经济论坛</t>
  </si>
  <si>
    <t>bbs.pinggu.org</t>
  </si>
  <si>
    <t>三掌门小说</t>
  </si>
  <si>
    <t>3zm.la</t>
  </si>
  <si>
    <t>吞噬小说免费阅读网</t>
  </si>
  <si>
    <t>tsxsw.net</t>
  </si>
  <si>
    <t>云服务器</t>
  </si>
  <si>
    <t>ctyun.cn</t>
  </si>
  <si>
    <t>江淮汽车</t>
  </si>
  <si>
    <t>jac.com.cn</t>
  </si>
  <si>
    <t>六图网</t>
  </si>
  <si>
    <t>16pic.com</t>
  </si>
  <si>
    <t>聊城新闻网</t>
  </si>
  <si>
    <t>lcxw.cn</t>
  </si>
  <si>
    <t>加盟费查询网</t>
  </si>
  <si>
    <t>jiamengfei.com</t>
  </si>
  <si>
    <t>保研论坛</t>
  </si>
  <si>
    <t>eeban.com</t>
  </si>
  <si>
    <t>申通快递</t>
  </si>
  <si>
    <t>sto.cn</t>
  </si>
  <si>
    <t>爱思助手</t>
  </si>
  <si>
    <t>i4.cn</t>
  </si>
  <si>
    <t>Tesla</t>
  </si>
  <si>
    <t>tesla.cn</t>
  </si>
  <si>
    <t>丁香园</t>
  </si>
  <si>
    <t>dxy.cn</t>
  </si>
  <si>
    <t>中国时尚网</t>
  </si>
  <si>
    <t>mshishang.com</t>
  </si>
  <si>
    <t>电影大全</t>
  </si>
  <si>
    <t>dianying.2345.com</t>
  </si>
  <si>
    <t>我图网素材搜索</t>
  </si>
  <si>
    <t>so.ooopic.com</t>
  </si>
  <si>
    <t>看看新闻网</t>
  </si>
  <si>
    <t>kankanews.com</t>
  </si>
  <si>
    <t>中国江西省人民政府</t>
  </si>
  <si>
    <t>jiangxi.gov.cn</t>
  </si>
  <si>
    <t>Agoda</t>
  </si>
  <si>
    <t>agoda.com</t>
  </si>
  <si>
    <t>Bangumi 番组计划</t>
  </si>
  <si>
    <t>bgm.tv</t>
  </si>
  <si>
    <t>中国建材网站</t>
  </si>
  <si>
    <t>bmlink.com</t>
  </si>
  <si>
    <t>NBA</t>
  </si>
  <si>
    <t>nba.com</t>
  </si>
  <si>
    <t>民福康健康</t>
  </si>
  <si>
    <t>mip.39yst.com</t>
  </si>
  <si>
    <t>携程火车票</t>
  </si>
  <si>
    <t>trains.ctrip.com</t>
  </si>
  <si>
    <t>Minecraft中文下载站</t>
  </si>
  <si>
    <t>minecraftxz.com</t>
  </si>
  <si>
    <t>梅赛德斯-奔驰</t>
  </si>
  <si>
    <t>mercedes-benz.com.cn</t>
  </si>
  <si>
    <t>地球在线</t>
  </si>
  <si>
    <t>earthol.com</t>
  </si>
  <si>
    <t>四川大学亿邮电子邮件系统</t>
  </si>
  <si>
    <t>scu.edu.cn</t>
  </si>
  <si>
    <t>深蓝保网</t>
  </si>
  <si>
    <t>shenlanbao.com</t>
  </si>
  <si>
    <t>周新春易学文化网</t>
  </si>
  <si>
    <t>d5168.com</t>
  </si>
  <si>
    <t>新视听网</t>
  </si>
  <si>
    <t>jnnc.com</t>
  </si>
  <si>
    <t>代练通</t>
  </si>
  <si>
    <t>dailiantong.com</t>
  </si>
  <si>
    <t>广西新闻网</t>
  </si>
  <si>
    <t>gxnews.com.cn</t>
  </si>
  <si>
    <t>233网校</t>
  </si>
  <si>
    <t>233.com</t>
  </si>
  <si>
    <t>黄南州政务在线</t>
  </si>
  <si>
    <t>huangnan.gov.cn</t>
  </si>
  <si>
    <t>作文吧</t>
  </si>
  <si>
    <t>zuowen8.com</t>
  </si>
  <si>
    <t>虎扑NBA网</t>
  </si>
  <si>
    <t>nba.hupu.com</t>
  </si>
  <si>
    <t>中国原创音乐基地</t>
  </si>
  <si>
    <t>5sing.kugou.com</t>
  </si>
  <si>
    <t>下厨房网</t>
  </si>
  <si>
    <t>hanwuji.xiachufang.com</t>
  </si>
  <si>
    <t>药品查询</t>
  </si>
  <si>
    <t>ypk.39.net</t>
  </si>
  <si>
    <t>实用工具查询</t>
  </si>
  <si>
    <t>tool.httpcn.com</t>
  </si>
  <si>
    <t>赶集网</t>
  </si>
  <si>
    <t>ganji.com</t>
  </si>
  <si>
    <t>沃保保险网</t>
  </si>
  <si>
    <t>vobao.com</t>
  </si>
  <si>
    <t>ProcessOn绘图平台</t>
  </si>
  <si>
    <t>processon.com</t>
  </si>
  <si>
    <t>软件下载之家</t>
  </si>
  <si>
    <t>mip.downza.cn</t>
  </si>
  <si>
    <t>世纪天成</t>
  </si>
  <si>
    <t>tiancity.com</t>
  </si>
  <si>
    <t>租租车_世界天气预报</t>
  </si>
  <si>
    <t>weather.zuzuche.com</t>
  </si>
  <si>
    <t>智学</t>
  </si>
  <si>
    <t>zhixue.com</t>
  </si>
  <si>
    <t>环球网校在线教育</t>
  </si>
  <si>
    <t>hqwx.com</t>
  </si>
  <si>
    <t>三星电子</t>
  </si>
  <si>
    <t>samsung.com</t>
  </si>
  <si>
    <t>非常运势网</t>
  </si>
  <si>
    <t>99166.com</t>
  </si>
  <si>
    <t>医学教育网</t>
  </si>
  <si>
    <t>med66.com</t>
  </si>
  <si>
    <t>吉林省人民政府门户网站</t>
  </si>
  <si>
    <t>jl.gov.cn</t>
  </si>
  <si>
    <t>WeChat</t>
  </si>
  <si>
    <t>wechat.com</t>
  </si>
  <si>
    <t>世纪秘书网</t>
  </si>
  <si>
    <t>1mishu.com</t>
  </si>
  <si>
    <t>全景图片</t>
  </si>
  <si>
    <t>quanjing.com</t>
  </si>
  <si>
    <t>Dell</t>
  </si>
  <si>
    <t>dell.com</t>
  </si>
  <si>
    <t>三明广播电视大学</t>
  </si>
  <si>
    <t>smrtvu.com</t>
  </si>
  <si>
    <t>创客贴</t>
  </si>
  <si>
    <t>chuangkit.com</t>
  </si>
  <si>
    <t>中华万年历</t>
  </si>
  <si>
    <t>zhwnl.cn</t>
  </si>
  <si>
    <t>56114物流查询网</t>
  </si>
  <si>
    <t>56114.net.cn</t>
  </si>
  <si>
    <t>中考网</t>
  </si>
  <si>
    <t>zhongkao.com</t>
  </si>
  <si>
    <t>九正建材网</t>
  </si>
  <si>
    <t>jc001.cn</t>
  </si>
  <si>
    <t>京东网上商城门户网站</t>
  </si>
  <si>
    <t>item.jd.com</t>
  </si>
  <si>
    <t>穿越火线</t>
  </si>
  <si>
    <t>cf.qq.com</t>
  </si>
  <si>
    <t>长江有色金属网站</t>
  </si>
  <si>
    <t>ccmn.cn</t>
  </si>
  <si>
    <t>SOOGIF网</t>
  </si>
  <si>
    <t>soogif.com</t>
  </si>
  <si>
    <t>全本无弹窗小说网</t>
  </si>
  <si>
    <t>qb5.tw</t>
  </si>
  <si>
    <t>城市吧</t>
  </si>
  <si>
    <t>ditu.city8.com</t>
  </si>
  <si>
    <t>中国制造</t>
  </si>
  <si>
    <t>made-in-china.com</t>
  </si>
  <si>
    <t>中国化工仪器网站</t>
  </si>
  <si>
    <t>chem17.com</t>
  </si>
  <si>
    <t>中国东莞政府门户网站</t>
  </si>
  <si>
    <t>dg.gov.cn</t>
  </si>
  <si>
    <t>燃文网络小说库</t>
  </si>
  <si>
    <t>ranwena.net</t>
  </si>
  <si>
    <t>京华日报数字报</t>
  </si>
  <si>
    <t>epaper.jinghua.cn</t>
  </si>
  <si>
    <t>央视网娱乐频道</t>
  </si>
  <si>
    <t>ent.cctv.com</t>
  </si>
  <si>
    <t>蜻蜓fm在线收听</t>
  </si>
  <si>
    <t>qingting.fm</t>
  </si>
  <si>
    <t>国家应急广播网</t>
  </si>
  <si>
    <t>cneb.gov.cn</t>
  </si>
  <si>
    <t>4399在线玩</t>
  </si>
  <si>
    <t>h.4399.com</t>
  </si>
  <si>
    <t>Linguee</t>
  </si>
  <si>
    <t>cn.linguee.com</t>
  </si>
  <si>
    <t>携程机票</t>
  </si>
  <si>
    <t>flights.ctrip.com</t>
  </si>
  <si>
    <t>NGA玩家社区</t>
  </si>
  <si>
    <t>bbs.nga.cn</t>
  </si>
  <si>
    <t>就医助手</t>
  </si>
  <si>
    <t>yyk.39.net</t>
  </si>
  <si>
    <t>希赛网</t>
  </si>
  <si>
    <t>educity.cn</t>
  </si>
  <si>
    <t>凯威欧威</t>
  </si>
  <si>
    <t>kvov.com</t>
  </si>
  <si>
    <t>腾讯电脑管家</t>
  </si>
  <si>
    <t>guanjia.qq.com</t>
  </si>
  <si>
    <t>华军下载</t>
  </si>
  <si>
    <t>huajunxiazai.com</t>
  </si>
  <si>
    <t>文档</t>
  </si>
  <si>
    <t>wendangwang.com</t>
  </si>
  <si>
    <t>吾读小说网</t>
  </si>
  <si>
    <t>dijiuzww.com</t>
  </si>
  <si>
    <t>食品伙伴网</t>
  </si>
  <si>
    <t>foodmate.net</t>
  </si>
  <si>
    <t>中公考研网</t>
  </si>
  <si>
    <t>kaoyan365.cn</t>
  </si>
  <si>
    <t>维普期刊资源整合服务平台</t>
  </si>
  <si>
    <t>cqvip.com</t>
  </si>
  <si>
    <t>快递网</t>
  </si>
  <si>
    <t>kuaidi.com</t>
  </si>
  <si>
    <t>网易娱乐</t>
  </si>
  <si>
    <t>ent.163.com</t>
  </si>
  <si>
    <t>3D溜溜网</t>
  </si>
  <si>
    <t>3d66.com</t>
  </si>
  <si>
    <t>财新网</t>
  </si>
  <si>
    <t>caixin.com</t>
  </si>
  <si>
    <t>中国南方航空</t>
  </si>
  <si>
    <t>csair.com</t>
  </si>
  <si>
    <t>济南市政府门户网站</t>
  </si>
  <si>
    <t>jinan.gov.cn</t>
  </si>
  <si>
    <t>问卷星问卷调查</t>
  </si>
  <si>
    <t>wjx.cn</t>
  </si>
  <si>
    <t>杭州网</t>
  </si>
  <si>
    <t>hangzhou.com.cn</t>
  </si>
  <si>
    <t>艾艾软件园</t>
  </si>
  <si>
    <t>qh24.com</t>
  </si>
  <si>
    <t>中工网站</t>
  </si>
  <si>
    <t>workercn.cn</t>
  </si>
  <si>
    <t>三国杀官方网</t>
  </si>
  <si>
    <t>sanguosha.com</t>
  </si>
  <si>
    <t>工具书</t>
  </si>
  <si>
    <t>shubang.net</t>
  </si>
  <si>
    <t>学参网</t>
  </si>
  <si>
    <t>xuecan.net</t>
  </si>
  <si>
    <t>万书楼小说网</t>
  </si>
  <si>
    <t>wshulou.com</t>
  </si>
  <si>
    <t>弹吧</t>
  </si>
  <si>
    <t>tan8.com</t>
  </si>
  <si>
    <t>我爱我家网</t>
  </si>
  <si>
    <t>5i5j.com</t>
  </si>
  <si>
    <t>Worktile 让工作更简单</t>
  </si>
  <si>
    <t>worktile.com</t>
  </si>
  <si>
    <t>wifi万能钥匙</t>
  </si>
  <si>
    <t>wifi.com</t>
  </si>
  <si>
    <t>千龙网</t>
  </si>
  <si>
    <t>qianlong.com</t>
  </si>
  <si>
    <t>笔下文学书屋</t>
  </si>
  <si>
    <t>bxwx7.com</t>
  </si>
  <si>
    <t>完结小说吧网站</t>
  </si>
  <si>
    <t>wanjie8.com</t>
  </si>
  <si>
    <t>应用汇</t>
  </si>
  <si>
    <t>appchina.com</t>
  </si>
  <si>
    <t>坦途教育网</t>
  </si>
  <si>
    <t>tantuw.com</t>
  </si>
  <si>
    <t>水木社区</t>
  </si>
  <si>
    <t>newsmth.net</t>
  </si>
  <si>
    <t>YY直播</t>
  </si>
  <si>
    <t>yy.com</t>
  </si>
  <si>
    <t>看书阅读阁</t>
  </si>
  <si>
    <t>kanshuge.org</t>
  </si>
  <si>
    <t>交通银行</t>
  </si>
  <si>
    <t>bankcomm.com</t>
  </si>
  <si>
    <t>比地招标网</t>
  </si>
  <si>
    <t>bidizhaobiao.com</t>
  </si>
  <si>
    <t>名字吧</t>
  </si>
  <si>
    <t>mzi8.com</t>
  </si>
  <si>
    <t>搜狗输入法</t>
  </si>
  <si>
    <t>shurufa.sogou.com</t>
  </si>
  <si>
    <t>途牛旅游网</t>
  </si>
  <si>
    <t>tuniu.com</t>
  </si>
  <si>
    <t>搜狐财经</t>
  </si>
  <si>
    <t>business.sohu.com</t>
  </si>
  <si>
    <t>中国日报网</t>
  </si>
  <si>
    <t>cn.chinadaily.com.cn</t>
  </si>
  <si>
    <t>设计本</t>
  </si>
  <si>
    <t>shejiben.com</t>
  </si>
  <si>
    <t>党员网党建频道</t>
  </si>
  <si>
    <t>news.12371.cn</t>
  </si>
  <si>
    <t>美佳</t>
  </si>
  <si>
    <t>236z.com</t>
  </si>
  <si>
    <t>国美电器网上商城</t>
  </si>
  <si>
    <t>gome.com.cn</t>
  </si>
  <si>
    <t>交易猫</t>
  </si>
  <si>
    <t>jiaoyimao.com</t>
  </si>
  <si>
    <t>中国采招网站</t>
  </si>
  <si>
    <t>bidcenter.com.cn</t>
  </si>
  <si>
    <t>拉磨人分类信息网</t>
  </si>
  <si>
    <t>lamoren.com</t>
  </si>
  <si>
    <t>电话号码查询网</t>
  </si>
  <si>
    <t>114best.com</t>
  </si>
  <si>
    <t>歌词千寻网</t>
  </si>
  <si>
    <t>lrcgc.com</t>
  </si>
  <si>
    <t>梦幻西游</t>
  </si>
  <si>
    <t>xyq.163.com</t>
  </si>
  <si>
    <t>奇缘阁</t>
  </si>
  <si>
    <t>qiyuange.com</t>
  </si>
  <si>
    <t>六间房</t>
  </si>
  <si>
    <t>6.cn</t>
  </si>
  <si>
    <t>上海本地宝网</t>
  </si>
  <si>
    <t>sh.bendibao.com</t>
  </si>
  <si>
    <t>伙伴云</t>
  </si>
  <si>
    <t>huoban.com</t>
  </si>
  <si>
    <t>淮北人网</t>
  </si>
  <si>
    <t>huaibei.com</t>
  </si>
  <si>
    <t>金锄头文库</t>
  </si>
  <si>
    <t>jinchutou.com</t>
  </si>
  <si>
    <t>X-MOL平台</t>
  </si>
  <si>
    <t>x-mol.com</t>
  </si>
  <si>
    <t>苗疆蛊事</t>
  </si>
  <si>
    <t>513gp.org</t>
  </si>
  <si>
    <t>青岛杜美新材料科技有限公司</t>
  </si>
  <si>
    <t>qddumay.com</t>
  </si>
  <si>
    <t>新网游频道</t>
  </si>
  <si>
    <t>newgame.17173.com</t>
  </si>
  <si>
    <t>电脑之家</t>
  </si>
  <si>
    <t>pchome.net</t>
  </si>
  <si>
    <t>上海有色网站</t>
  </si>
  <si>
    <t>smm.cn</t>
  </si>
  <si>
    <t>选校帝</t>
  </si>
  <si>
    <t>xuanxiaodi.com</t>
  </si>
  <si>
    <t>网易UU网游加速器</t>
  </si>
  <si>
    <t>uu.163.com</t>
  </si>
  <si>
    <t>17TRACK</t>
  </si>
  <si>
    <t>17track.net</t>
  </si>
  <si>
    <t>乌有之乡网刊</t>
  </si>
  <si>
    <t>wyzxwk.com</t>
  </si>
  <si>
    <t>千家网</t>
  </si>
  <si>
    <t>qianjia.com</t>
  </si>
  <si>
    <t>好学校</t>
  </si>
  <si>
    <t>91goodschool.com</t>
  </si>
  <si>
    <t>饿了么</t>
  </si>
  <si>
    <t>ele.me</t>
  </si>
  <si>
    <t>星月书吧网站</t>
  </si>
  <si>
    <t>xyshu8.com</t>
  </si>
  <si>
    <t>站酷网</t>
  </si>
  <si>
    <t>zcool.com.cn</t>
  </si>
  <si>
    <t>第一小说阅读网</t>
  </si>
  <si>
    <t>01xs.com</t>
  </si>
  <si>
    <t>药品价格315</t>
  </si>
  <si>
    <t>315jiage.cn</t>
  </si>
  <si>
    <t>中国台湾网</t>
  </si>
  <si>
    <t>taiwan.cn</t>
  </si>
  <si>
    <t>北京旅游网</t>
  </si>
  <si>
    <t>visitbeijing.com.cn</t>
  </si>
  <si>
    <t>仪器信息网</t>
  </si>
  <si>
    <t>instrument.com.cn</t>
  </si>
  <si>
    <t>雨果网</t>
  </si>
  <si>
    <t>cifnews.com</t>
  </si>
  <si>
    <t>中山大学重点大学</t>
  </si>
  <si>
    <t>sysu.edu.cn</t>
  </si>
  <si>
    <t>TP-LINK服务支持</t>
  </si>
  <si>
    <t>service.tp-link.com.cn</t>
  </si>
  <si>
    <t>非常运势</t>
  </si>
  <si>
    <t>wap.99166.com</t>
  </si>
  <si>
    <t>山西招生考试网</t>
  </si>
  <si>
    <t>sxkszx.cn</t>
  </si>
  <si>
    <t>会计百科</t>
  </si>
  <si>
    <t>baike.kuaiji.com</t>
  </si>
  <si>
    <t>中国房产超市网</t>
  </si>
  <si>
    <t>fccs.com</t>
  </si>
  <si>
    <t>深圳新闻网</t>
  </si>
  <si>
    <t>sznews.com</t>
  </si>
  <si>
    <t>中国会计网</t>
  </si>
  <si>
    <t>canet.com.cn</t>
  </si>
  <si>
    <t>中国服装网</t>
  </si>
  <si>
    <t>efu.com.cn</t>
  </si>
  <si>
    <t>与非网</t>
  </si>
  <si>
    <t>eefocus.com</t>
  </si>
  <si>
    <t>中华人民共和国国家邮政局</t>
  </si>
  <si>
    <t>spb.gov.cn</t>
  </si>
  <si>
    <t>缤客网</t>
  </si>
  <si>
    <t>booking.com</t>
  </si>
  <si>
    <t>京东优评</t>
  </si>
  <si>
    <t>yp.m.jd.com</t>
  </si>
  <si>
    <t>火爆餐饮</t>
  </si>
  <si>
    <t>xiuxianshipin.com</t>
  </si>
  <si>
    <t>21世纪教育网</t>
  </si>
  <si>
    <t>21cnjy.com</t>
  </si>
  <si>
    <t>中国天气</t>
  </si>
  <si>
    <t>wx.weather.com.cn</t>
  </si>
  <si>
    <t>考研网</t>
  </si>
  <si>
    <t>kaoyan.com</t>
  </si>
  <si>
    <t>搜狐历史</t>
  </si>
  <si>
    <t>history.sohu.com</t>
  </si>
  <si>
    <t>7788商城</t>
  </si>
  <si>
    <t>7788.com</t>
  </si>
  <si>
    <t>黄页88公司名录网</t>
  </si>
  <si>
    <t>b2b.huangye88.com</t>
  </si>
  <si>
    <t>爱站网站排行榜</t>
  </si>
  <si>
    <t>top.aizhan.com</t>
  </si>
  <si>
    <t>鲁大师</t>
  </si>
  <si>
    <t>ludashi.com</t>
  </si>
  <si>
    <t>笔下屋网站</t>
  </si>
  <si>
    <t>heiyan.la</t>
  </si>
  <si>
    <t>16757网址导航</t>
  </si>
  <si>
    <t>16757.com</t>
  </si>
  <si>
    <t>最需网校</t>
  </si>
  <si>
    <t>zuixu.com</t>
  </si>
  <si>
    <t>菜鸟网络</t>
  </si>
  <si>
    <t>cainiao.com</t>
  </si>
  <si>
    <t>华硕</t>
  </si>
  <si>
    <t>asus.com.cn</t>
  </si>
  <si>
    <t>泡泡网</t>
  </si>
  <si>
    <t>pcpop.com</t>
  </si>
  <si>
    <t>投资界</t>
  </si>
  <si>
    <t>pedaily.cn</t>
  </si>
  <si>
    <t>央视网电视剧</t>
  </si>
  <si>
    <t>dianshiju.cctv.com</t>
  </si>
  <si>
    <t>小说旗</t>
  </si>
  <si>
    <t>xs7.com</t>
  </si>
  <si>
    <t>亚马逊中国</t>
  </si>
  <si>
    <t>amazon.com</t>
  </si>
  <si>
    <t>广州天气</t>
  </si>
  <si>
    <t>tqyb.com.cn</t>
  </si>
  <si>
    <t>马可波罗</t>
  </si>
  <si>
    <t>china.makepolo.com</t>
  </si>
  <si>
    <t>懒人图库</t>
  </si>
  <si>
    <t>lanrentuku.com</t>
  </si>
  <si>
    <t>中关村在线论坛</t>
  </si>
  <si>
    <t>bbs.zol.com.cn</t>
  </si>
  <si>
    <t>美健品联盟</t>
  </si>
  <si>
    <t>meijianpin.com</t>
  </si>
  <si>
    <t>搜狗软件下载</t>
  </si>
  <si>
    <t>xiazai.sogou.com</t>
  </si>
  <si>
    <t>厚学网</t>
  </si>
  <si>
    <t>houxue.com</t>
  </si>
  <si>
    <t>中国招标与采购网站</t>
  </si>
  <si>
    <t>zbytb.com</t>
  </si>
  <si>
    <t>小学语文教育网</t>
  </si>
  <si>
    <t>xiaoxue.ruiwen.com</t>
  </si>
  <si>
    <t>鬼大爷鬼故事</t>
  </si>
  <si>
    <t>guidaye.com</t>
  </si>
  <si>
    <t>梨树文学</t>
  </si>
  <si>
    <t>lishu123.com</t>
  </si>
  <si>
    <t>Veer图库</t>
  </si>
  <si>
    <t>veer.com</t>
  </si>
  <si>
    <t>药房网商城</t>
  </si>
  <si>
    <t>yaofangwang.com</t>
  </si>
  <si>
    <t>宝马</t>
  </si>
  <si>
    <t>bmw.com.cn</t>
  </si>
  <si>
    <t>三九小说网</t>
  </si>
  <si>
    <t>xyshuk.com</t>
  </si>
  <si>
    <t>火狐浏览器</t>
  </si>
  <si>
    <t>mozilla.org</t>
  </si>
  <si>
    <t>畅捷通</t>
  </si>
  <si>
    <t>chanjet.com</t>
  </si>
  <si>
    <t>美图秀秀PC端</t>
  </si>
  <si>
    <t>pc.meitu.com</t>
  </si>
  <si>
    <t>木木不哭_LOL视频</t>
  </si>
  <si>
    <t>lolbuku.com</t>
  </si>
  <si>
    <t>中国日报网英语点津</t>
  </si>
  <si>
    <t>language.chinadaily.com.cn</t>
  </si>
  <si>
    <t>钛媒体</t>
  </si>
  <si>
    <t>tmtpost.com</t>
  </si>
  <si>
    <t>20小说网</t>
  </si>
  <si>
    <t>20xs.org</t>
  </si>
  <si>
    <t>网易新闻</t>
  </si>
  <si>
    <t>news.163.com</t>
  </si>
  <si>
    <t>辽宁招生考试之窗</t>
  </si>
  <si>
    <t>lnzsks.com</t>
  </si>
  <si>
    <t>网易邮箱</t>
  </si>
  <si>
    <t>ipad.mail.163.com</t>
  </si>
  <si>
    <t>同程旅游</t>
  </si>
  <si>
    <t>ly.com</t>
  </si>
  <si>
    <t>易车网车型大全频道</t>
  </si>
  <si>
    <t>car.yiche.com</t>
  </si>
  <si>
    <t>山西省政府门户网</t>
  </si>
  <si>
    <t>shanxi.gov.cn</t>
  </si>
  <si>
    <t>中国考研网</t>
  </si>
  <si>
    <t>chinakaoyan.com</t>
  </si>
  <si>
    <t>科普中国站</t>
  </si>
  <si>
    <t>kepuchina.cn</t>
  </si>
  <si>
    <t>960化工网站</t>
  </si>
  <si>
    <t>chem960.com</t>
  </si>
  <si>
    <t>爱奇艺APP专区</t>
  </si>
  <si>
    <t>app.iqiyi.com</t>
  </si>
  <si>
    <t>乐居购房网</t>
  </si>
  <si>
    <t>leju.com</t>
  </si>
  <si>
    <t>3Q中文阅读网</t>
  </si>
  <si>
    <t>3qdu.net</t>
  </si>
  <si>
    <t>大学生网</t>
  </si>
  <si>
    <t>daxues.cn</t>
  </si>
  <si>
    <t>百修网</t>
  </si>
  <si>
    <t>baixiu.org</t>
  </si>
  <si>
    <t>地下城与勇士</t>
  </si>
  <si>
    <t>dnf.17173.com</t>
  </si>
  <si>
    <t>搜房网</t>
  </si>
  <si>
    <t>soufun.com</t>
  </si>
  <si>
    <t>七匣子</t>
  </si>
  <si>
    <t>7xz.com</t>
  </si>
  <si>
    <t>爱基金网</t>
  </si>
  <si>
    <t>fund.10jqka.com.cn</t>
  </si>
  <si>
    <t>健康界</t>
  </si>
  <si>
    <t>cn-healthcare.com</t>
  </si>
  <si>
    <t>择城网站</t>
  </si>
  <si>
    <t>hotelaah.com</t>
  </si>
  <si>
    <t>一亩田</t>
  </si>
  <si>
    <t>ymt.com</t>
  </si>
  <si>
    <t>图吧电话查询</t>
  </si>
  <si>
    <t>dianhua.mapbar.com</t>
  </si>
  <si>
    <t>反恐精英</t>
  </si>
  <si>
    <t>csol.tiancity.com</t>
  </si>
  <si>
    <t>北京理工大学邮件系统</t>
  </si>
  <si>
    <t>bit.edu.cn</t>
  </si>
  <si>
    <t>彩客网</t>
  </si>
  <si>
    <t>310win.com</t>
  </si>
  <si>
    <t>中研网</t>
  </si>
  <si>
    <t>chinairn.com</t>
  </si>
  <si>
    <t>360文秘网</t>
  </si>
  <si>
    <t>360wenmi.com</t>
  </si>
  <si>
    <t>言情小说阅读网站</t>
  </si>
  <si>
    <t>yqtxt.cc</t>
  </si>
  <si>
    <t>搜狐军事</t>
  </si>
  <si>
    <t>mil.sohu.com</t>
  </si>
  <si>
    <t>齐鲁晚报网</t>
  </si>
  <si>
    <t>qlwb.com.cn</t>
  </si>
  <si>
    <t>智通人才网</t>
  </si>
  <si>
    <t>job5156.com</t>
  </si>
  <si>
    <t>舜网</t>
  </si>
  <si>
    <t>e23.cn</t>
  </si>
  <si>
    <t>新浪视频</t>
  </si>
  <si>
    <t>video.sina.com.cn</t>
  </si>
  <si>
    <t>查号吧查询网</t>
  </si>
  <si>
    <t>cn.m.chahaoba.com</t>
  </si>
  <si>
    <t>城兴股份</t>
  </si>
  <si>
    <t>cxszdi.com</t>
  </si>
  <si>
    <t>蜂鸟网</t>
  </si>
  <si>
    <t>fengniao.com</t>
  </si>
  <si>
    <t>北京地铁网</t>
  </si>
  <si>
    <t>bjsubway.com</t>
  </si>
  <si>
    <t>上海天气预报网站</t>
  </si>
  <si>
    <t>sh.weather.com.cn</t>
  </si>
  <si>
    <t>中文期刊</t>
  </si>
  <si>
    <t>baywatch.cn</t>
  </si>
  <si>
    <t>东北大学</t>
  </si>
  <si>
    <t>neu.edu.cn</t>
  </si>
  <si>
    <t>中国江苏网</t>
  </si>
  <si>
    <t>jschina.com.cn</t>
  </si>
  <si>
    <t>华为云网</t>
  </si>
  <si>
    <t>huaweicloud.com</t>
  </si>
  <si>
    <t>二九文学网</t>
  </si>
  <si>
    <t>29wx.com</t>
  </si>
  <si>
    <t>币界网</t>
  </si>
  <si>
    <t>528btc.com</t>
  </si>
  <si>
    <t>艺龙旅行网</t>
  </si>
  <si>
    <t>elong.com</t>
  </si>
  <si>
    <t>中国品牌服装网</t>
  </si>
  <si>
    <t>china-ef.com</t>
  </si>
  <si>
    <t>药家网</t>
  </si>
  <si>
    <t>yaojia.org</t>
  </si>
  <si>
    <t>阿里巴巴集团</t>
  </si>
  <si>
    <t>alibabagroup.com</t>
  </si>
  <si>
    <t>中央气象台台风网</t>
  </si>
  <si>
    <t>typhoon.nmc.cn</t>
  </si>
  <si>
    <t>珍爱网</t>
  </si>
  <si>
    <t>zhenai.com</t>
  </si>
  <si>
    <t>安丘信息网</t>
  </si>
  <si>
    <t>anqiu123.com</t>
  </si>
  <si>
    <t>数英网</t>
  </si>
  <si>
    <t>digitaling.com</t>
  </si>
  <si>
    <t>太平洋保险</t>
  </si>
  <si>
    <t>cpic.com.cn</t>
  </si>
  <si>
    <t>M站网</t>
  </si>
  <si>
    <t>missevan.com</t>
  </si>
  <si>
    <t>中公教师网</t>
  </si>
  <si>
    <t>zgjsks.com</t>
  </si>
  <si>
    <t>人民网党史频道</t>
  </si>
  <si>
    <t>dangshi.people.com.cn</t>
  </si>
  <si>
    <t>114电话查询名录</t>
  </si>
  <si>
    <t>114.mingluji.com</t>
  </si>
  <si>
    <t>爱上本地宝</t>
  </si>
  <si>
    <t>sz.bendibao.com</t>
  </si>
  <si>
    <t>快易理财资讯网</t>
  </si>
  <si>
    <t>kylc.com</t>
  </si>
  <si>
    <t>成都理工大学</t>
  </si>
  <si>
    <t>cdut.edu.cn</t>
  </si>
  <si>
    <t>新浪财经上证指数</t>
  </si>
  <si>
    <t>stocks.sina.cn</t>
  </si>
  <si>
    <t>逍遥网</t>
  </si>
  <si>
    <t>xoyo.com</t>
  </si>
  <si>
    <t>魔兽世界</t>
  </si>
  <si>
    <t>wow.17173.com</t>
  </si>
  <si>
    <t>中国网新闻</t>
  </si>
  <si>
    <t>news.china.com.cn</t>
  </si>
  <si>
    <t>网易汽车</t>
  </si>
  <si>
    <t>product.auto.163.com</t>
  </si>
  <si>
    <t>久游网</t>
  </si>
  <si>
    <t>9you.com</t>
  </si>
  <si>
    <t>百度开放云平台</t>
  </si>
  <si>
    <t>developer.baidu.com</t>
  </si>
  <si>
    <t>学术之家</t>
  </si>
  <si>
    <t>xueshu.com</t>
  </si>
  <si>
    <t>金山网络</t>
  </si>
  <si>
    <t>ijinshan.com</t>
  </si>
  <si>
    <t>英特尔</t>
  </si>
  <si>
    <t>intel.com</t>
  </si>
  <si>
    <t>格力</t>
  </si>
  <si>
    <t>gree.com</t>
  </si>
  <si>
    <t>DS足球</t>
  </si>
  <si>
    <t>dszuqiu.com</t>
  </si>
  <si>
    <t>E信使</t>
  </si>
  <si>
    <t>exinshi.com</t>
  </si>
  <si>
    <t>上海热线网</t>
  </si>
  <si>
    <t>online.sh.cn</t>
  </si>
  <si>
    <t>学信档案</t>
  </si>
  <si>
    <t>my.chsi.com.cn</t>
  </si>
  <si>
    <t>品牌世家</t>
  </si>
  <si>
    <t>ppsj.com.cn</t>
  </si>
  <si>
    <t>Outlook</t>
  </si>
  <si>
    <t>outlook.live.com</t>
  </si>
  <si>
    <t>洛阳网</t>
  </si>
  <si>
    <t>lyd.com.cn</t>
  </si>
  <si>
    <t>时光网发现频道</t>
  </si>
  <si>
    <t>movie.mtime.com</t>
  </si>
  <si>
    <t>指南针</t>
  </si>
  <si>
    <t>compass.cn</t>
  </si>
  <si>
    <t>乐视网</t>
  </si>
  <si>
    <t>letv.com</t>
  </si>
  <si>
    <t>中国招标网</t>
  </si>
  <si>
    <t>bidchance.com</t>
  </si>
  <si>
    <t>95书包网</t>
  </si>
  <si>
    <t>xfjxs.com</t>
  </si>
  <si>
    <t>glosbe在线词典</t>
  </si>
  <si>
    <t>glosbe.com</t>
  </si>
  <si>
    <t>东南网</t>
  </si>
  <si>
    <t>fjsen.com</t>
  </si>
  <si>
    <t>北京城市吧街景地图</t>
  </si>
  <si>
    <t>bj.city8.com</t>
  </si>
  <si>
    <t>592职业圈</t>
  </si>
  <si>
    <t>job592.com</t>
  </si>
  <si>
    <t>华商网</t>
  </si>
  <si>
    <t>hsw.cn</t>
  </si>
  <si>
    <t>长景园林</t>
  </si>
  <si>
    <t>cmeii.com</t>
  </si>
  <si>
    <t>拓者设计吧</t>
  </si>
  <si>
    <t>tuozhe8.com</t>
  </si>
  <si>
    <t>MIUI</t>
  </si>
  <si>
    <t>miui.com</t>
  </si>
  <si>
    <t>三菱重工空调</t>
  </si>
  <si>
    <t>mhi-ac.com</t>
  </si>
  <si>
    <t>接亲网</t>
  </si>
  <si>
    <t>jieqinwang.com</t>
  </si>
  <si>
    <t>丰田中国</t>
  </si>
  <si>
    <t>toyota.com.cn</t>
  </si>
  <si>
    <t>联想服务网</t>
  </si>
  <si>
    <t>newsupport.lenovo.com.cn</t>
  </si>
  <si>
    <t>播视网</t>
  </si>
  <si>
    <t>boosj.com</t>
  </si>
  <si>
    <t>中国扬州网站群</t>
  </si>
  <si>
    <t>yangzhou.gov.cn</t>
  </si>
  <si>
    <t>车次网</t>
  </si>
  <si>
    <t>checi.cn</t>
  </si>
  <si>
    <t>88读书小说网</t>
  </si>
  <si>
    <t>88dushw.com</t>
  </si>
  <si>
    <t>食品商务网</t>
  </si>
  <si>
    <t>21food.cn</t>
  </si>
  <si>
    <t>教育频道</t>
  </si>
  <si>
    <t>edu.sina.com.cn</t>
  </si>
  <si>
    <t>豆瓣阅读</t>
  </si>
  <si>
    <t>read.douban.com</t>
  </si>
  <si>
    <t>重庆大学</t>
  </si>
  <si>
    <t>cqu.edu.cn</t>
  </si>
  <si>
    <t>电玩之家</t>
  </si>
  <si>
    <t>gamehome.tv</t>
  </si>
  <si>
    <t>博搜索</t>
  </si>
  <si>
    <t>s.weibo.com</t>
  </si>
  <si>
    <t>小熊下载</t>
  </si>
  <si>
    <t>bear20.com</t>
  </si>
  <si>
    <t>全国建筑市场监管公共服务平台</t>
  </si>
  <si>
    <t>jzsc.mohurd.gov.cn</t>
  </si>
  <si>
    <t>北京大学口腔医院</t>
  </si>
  <si>
    <t>ss.bjmu.edu.cn</t>
  </si>
  <si>
    <t>万国企业</t>
  </si>
  <si>
    <t>trustexporter.com</t>
  </si>
  <si>
    <t>THE FACE SHOP</t>
  </si>
  <si>
    <t>thefaceshop.cc</t>
  </si>
  <si>
    <t>立创商城网</t>
  </si>
  <si>
    <t>szlcsc.com</t>
  </si>
  <si>
    <t>华龙网</t>
  </si>
  <si>
    <t>cqnews.net</t>
  </si>
  <si>
    <t>英文缩写大全查询</t>
  </si>
  <si>
    <t>suoxie.gjcha.com</t>
  </si>
  <si>
    <t>国际在线娱乐频道</t>
  </si>
  <si>
    <t>ent.cri.cn</t>
  </si>
  <si>
    <t>光明日报报业集团数字报</t>
  </si>
  <si>
    <t>epaper.gmw.cn</t>
  </si>
  <si>
    <t>新华报业网站</t>
  </si>
  <si>
    <t>xhby.net</t>
  </si>
  <si>
    <t>三一</t>
  </si>
  <si>
    <t>sanygroup.com</t>
  </si>
  <si>
    <t>星座乐</t>
  </si>
  <si>
    <t>1212.com</t>
  </si>
  <si>
    <t>中国会计视野</t>
  </si>
  <si>
    <t>esnai.com</t>
  </si>
  <si>
    <t>人民网国际版</t>
  </si>
  <si>
    <t>world.people.com.cn</t>
  </si>
  <si>
    <t>挂号网</t>
  </si>
  <si>
    <t>guahao.com</t>
  </si>
  <si>
    <t>网易财经</t>
  </si>
  <si>
    <t>money.163.com</t>
  </si>
  <si>
    <t>全民K歌</t>
  </si>
  <si>
    <t>kg.qq.com</t>
  </si>
  <si>
    <t>中国宁波网</t>
  </si>
  <si>
    <t>cnnb.com.cn</t>
  </si>
  <si>
    <t>360文档中心</t>
  </si>
  <si>
    <t>360docs.net</t>
  </si>
  <si>
    <t>搜狐文化</t>
  </si>
  <si>
    <t>cul.sohu.com</t>
  </si>
  <si>
    <t>DiskGenius</t>
  </si>
  <si>
    <t>diskgenius.cn</t>
  </si>
  <si>
    <t>长安汽车</t>
  </si>
  <si>
    <t>changan.com.cn</t>
  </si>
  <si>
    <t>零五网</t>
  </si>
  <si>
    <t>05wang.com</t>
  </si>
  <si>
    <t>黑龙江新闻网</t>
  </si>
  <si>
    <t>hljnews.cn</t>
  </si>
  <si>
    <t>拔草哦</t>
  </si>
  <si>
    <t>bacaoo.com</t>
  </si>
  <si>
    <t>中国领事服务网</t>
  </si>
  <si>
    <t>cs.mfa.gov.cn</t>
  </si>
  <si>
    <t>中国婚博会</t>
  </si>
  <si>
    <t>jiehun.com.cn</t>
  </si>
  <si>
    <t>QNZZ公务员论坛</t>
  </si>
  <si>
    <t>bbs.qzzn.com</t>
  </si>
  <si>
    <t>爱普生中国</t>
  </si>
  <si>
    <t>epson.com.cn</t>
  </si>
  <si>
    <t>翻译</t>
  </si>
  <si>
    <t>tran.httpcn.com</t>
  </si>
  <si>
    <t>和图书网</t>
  </si>
  <si>
    <t>hetushu.com</t>
  </si>
  <si>
    <t>99.com数字娱乐门户</t>
  </si>
  <si>
    <t>99.com</t>
  </si>
  <si>
    <t>中共中央网络安全和信息化领导小组办公室</t>
  </si>
  <si>
    <t>cac.gov.cn</t>
  </si>
  <si>
    <t>知末素材网</t>
  </si>
  <si>
    <t>znzmo.com</t>
  </si>
  <si>
    <t>河南省政府门户网站</t>
  </si>
  <si>
    <t>henan.gov.cn</t>
  </si>
  <si>
    <t>中国社会科学网</t>
  </si>
  <si>
    <t>cssn.cn</t>
  </si>
  <si>
    <t>微信支付</t>
  </si>
  <si>
    <t>pay.weixin.qq.com</t>
  </si>
  <si>
    <t>车家号</t>
  </si>
  <si>
    <t>chejiahao.autohome.com.cn</t>
  </si>
  <si>
    <t>中医中药</t>
  </si>
  <si>
    <t>zhzyw.com</t>
  </si>
  <si>
    <t>遇见财经网</t>
  </si>
  <si>
    <t>yujiangongyu.com</t>
  </si>
  <si>
    <t>松下电器网站</t>
  </si>
  <si>
    <t>panasonic.cn</t>
  </si>
  <si>
    <t>太平洋女性网</t>
  </si>
  <si>
    <t>pclady.com.cn</t>
  </si>
  <si>
    <t>总裁文学</t>
  </si>
  <si>
    <t>zcwx.org</t>
  </si>
  <si>
    <t>一起装修</t>
  </si>
  <si>
    <t>wap.17house.com</t>
  </si>
  <si>
    <t>陌陌</t>
  </si>
  <si>
    <t>immomo.com</t>
  </si>
  <si>
    <t>亿欧网</t>
  </si>
  <si>
    <t>iyiou.com</t>
  </si>
  <si>
    <t>元贝驾考网站</t>
  </si>
  <si>
    <t>ybjk.com</t>
  </si>
  <si>
    <t>海康威视</t>
  </si>
  <si>
    <t>hikvision.com</t>
  </si>
  <si>
    <t>第二炮兵工程大学招生信息网</t>
  </si>
  <si>
    <t>epgc.net</t>
  </si>
  <si>
    <t>免费全本小说阅读网</t>
  </si>
  <si>
    <t>quanben5.com</t>
  </si>
  <si>
    <t>岳阳市政府门户网</t>
  </si>
  <si>
    <t>yueyang.gov.cn</t>
  </si>
  <si>
    <t>3Q读书中文网</t>
  </si>
  <si>
    <t>3qdu.org</t>
  </si>
  <si>
    <t>Tenda腾达</t>
  </si>
  <si>
    <t>tenda.com.cn</t>
  </si>
  <si>
    <t>重庆分类目录网</t>
  </si>
  <si>
    <t>023dir.com</t>
  </si>
  <si>
    <t>青岛本地宝</t>
  </si>
  <si>
    <t>m.qd.bendibao.com</t>
  </si>
  <si>
    <t>上海市人力资源和社会保障局</t>
  </si>
  <si>
    <t>rsj.sh.gov.cn</t>
  </si>
  <si>
    <t>中华会计网</t>
  </si>
  <si>
    <t>chinaacc.com</t>
  </si>
  <si>
    <t>92素材网</t>
  </si>
  <si>
    <t>92sucai.com</t>
  </si>
  <si>
    <t>半岛网新闻</t>
  </si>
  <si>
    <t>news.bandao.cn</t>
  </si>
  <si>
    <t>新一站保险网</t>
  </si>
  <si>
    <t>xyz.cn</t>
  </si>
  <si>
    <t>亚马逊全球开店网</t>
  </si>
  <si>
    <t>gs.amazon.cn</t>
  </si>
  <si>
    <t>驱动精灵官网</t>
  </si>
  <si>
    <t>drivergenius.com</t>
  </si>
  <si>
    <t>华强电子网</t>
  </si>
  <si>
    <t>hqew.com</t>
  </si>
  <si>
    <t>中国疤痕论坛</t>
  </si>
  <si>
    <t>scarbbs.com</t>
  </si>
  <si>
    <t>人民网四川频道</t>
  </si>
  <si>
    <t>sc.people.com.cn</t>
  </si>
  <si>
    <t>110法律咨询网</t>
  </si>
  <si>
    <t>110.com</t>
  </si>
  <si>
    <t>盖德化工网</t>
  </si>
  <si>
    <t>china.guidechem.com</t>
  </si>
  <si>
    <t>8090模特网</t>
  </si>
  <si>
    <t>8090.com</t>
  </si>
  <si>
    <t>5118</t>
  </si>
  <si>
    <t>5118.com</t>
  </si>
  <si>
    <t>贵视网</t>
  </si>
  <si>
    <t>gzstv.com</t>
  </si>
  <si>
    <t>网上车市网</t>
  </si>
  <si>
    <t>a.cheshi.com</t>
  </si>
  <si>
    <t>会计学堂</t>
  </si>
  <si>
    <t>acc5.com</t>
  </si>
  <si>
    <t>C114通信网</t>
  </si>
  <si>
    <t>c114.com.cn</t>
  </si>
  <si>
    <t>中国东方航空网站</t>
  </si>
  <si>
    <t>ceair.com</t>
  </si>
  <si>
    <t>高校人才网</t>
  </si>
  <si>
    <t>gaoxiaojob.com</t>
  </si>
  <si>
    <t>云南省招考频道</t>
  </si>
  <si>
    <t>ynzs.cn</t>
  </si>
  <si>
    <t>欧特克中国</t>
  </si>
  <si>
    <t>autodesk.com.cn</t>
  </si>
  <si>
    <t>珍心鲜花店</t>
  </si>
  <si>
    <t>flower33.com</t>
  </si>
  <si>
    <t>中国福建</t>
  </si>
  <si>
    <t>fujian.gov.cn</t>
  </si>
  <si>
    <t>新浪汽车</t>
  </si>
  <si>
    <t>auto.sina.com.cn</t>
  </si>
  <si>
    <t>三优亲子网站</t>
  </si>
  <si>
    <t>3uol.com</t>
  </si>
  <si>
    <t>唐山人才网</t>
  </si>
  <si>
    <t>tsrcw.com</t>
  </si>
  <si>
    <t>爱藏网</t>
  </si>
  <si>
    <t>airmb.com</t>
  </si>
  <si>
    <t>学术网站</t>
  </si>
  <si>
    <t>xueshu.com.cn</t>
  </si>
  <si>
    <t>比邻词典</t>
  </si>
  <si>
    <t>bi0.cn</t>
  </si>
  <si>
    <t>驾考宝典</t>
  </si>
  <si>
    <t>jiakaobaodian.com</t>
  </si>
  <si>
    <t>开淘网</t>
  </si>
  <si>
    <t>kaitao.cn</t>
  </si>
  <si>
    <t>波奇宠物网</t>
  </si>
  <si>
    <t>boqii.com</t>
  </si>
  <si>
    <t>51教习网</t>
  </si>
  <si>
    <t>51jiaoxi.com</t>
  </si>
  <si>
    <t>小叶歌吉他</t>
  </si>
  <si>
    <t>xiaoyegejitar.com</t>
  </si>
  <si>
    <t>500彩票网</t>
  </si>
  <si>
    <t>zx.500.com</t>
  </si>
  <si>
    <t>北京掌阅科技有限公司</t>
  </si>
  <si>
    <t>zhangyue.com</t>
  </si>
  <si>
    <t>购房网</t>
  </si>
  <si>
    <t>goufang.com</t>
  </si>
  <si>
    <t>浪琴</t>
  </si>
  <si>
    <t>longines.cn</t>
  </si>
  <si>
    <t>值值值网站</t>
  </si>
  <si>
    <t>zhizhizhi.com</t>
  </si>
  <si>
    <t>猪八戒网</t>
  </si>
  <si>
    <t>zbj.com</t>
  </si>
  <si>
    <t>广东省政务服务网</t>
  </si>
  <si>
    <t>gdzwfw.gov.cn</t>
  </si>
  <si>
    <t>众禄基金买卖网</t>
  </si>
  <si>
    <t>jjmmw.com</t>
  </si>
  <si>
    <t>文化和旅游部</t>
  </si>
  <si>
    <t>mct.gov.cn</t>
  </si>
  <si>
    <t>蜗牛网</t>
  </si>
  <si>
    <t>woniu.com</t>
  </si>
  <si>
    <t>QQ空间</t>
  </si>
  <si>
    <t>qzone.qq.com</t>
  </si>
  <si>
    <t>江苏人力资源和社会保障厅</t>
  </si>
  <si>
    <t>jshrss.jiangsu.gov.cn</t>
  </si>
  <si>
    <t>120健康网</t>
  </si>
  <si>
    <t>120.net</t>
  </si>
  <si>
    <t>山东省教育云服务平台</t>
  </si>
  <si>
    <t>sdei.edu.cn</t>
  </si>
  <si>
    <t>ZOL桌面壁纸</t>
  </si>
  <si>
    <t>desk.zol.com.cn</t>
  </si>
  <si>
    <t>椰网</t>
  </si>
  <si>
    <t>hndnews.com</t>
  </si>
  <si>
    <t>驾校一点通</t>
  </si>
  <si>
    <t>jxedt.com</t>
  </si>
  <si>
    <t>搜狐汽车</t>
  </si>
  <si>
    <t>db.auto.sohu.com</t>
  </si>
  <si>
    <t>语文网</t>
  </si>
  <si>
    <t>yuwen.chazidian.com</t>
  </si>
  <si>
    <t>酷家乐</t>
  </si>
  <si>
    <t>kujiale.com</t>
  </si>
  <si>
    <t>中国日报网_国内新闻</t>
  </si>
  <si>
    <t>cnews.chinadaily.com.cn</t>
  </si>
  <si>
    <t>中国报告大厅</t>
  </si>
  <si>
    <t>chinabgao.com</t>
  </si>
  <si>
    <t>凤凰体育</t>
  </si>
  <si>
    <t>sports.ifeng.com</t>
  </si>
  <si>
    <t>南京航空航天大学网</t>
  </si>
  <si>
    <t>nuaa.edu.cn</t>
  </si>
  <si>
    <t>麻辣社区</t>
  </si>
  <si>
    <t>mala.cn</t>
  </si>
  <si>
    <t>西部网</t>
  </si>
  <si>
    <t>cnwest.com</t>
  </si>
  <si>
    <t>雅昌艺术网</t>
  </si>
  <si>
    <t>artron.net</t>
  </si>
  <si>
    <t>中国农业大学</t>
  </si>
  <si>
    <t>cau.edu.cn</t>
  </si>
  <si>
    <t>温州网</t>
  </si>
  <si>
    <t>66wz.com</t>
  </si>
  <si>
    <t>汽车之家口碑频道</t>
  </si>
  <si>
    <t>k.autohome.com.cn</t>
  </si>
  <si>
    <t>金蝶</t>
  </si>
  <si>
    <t>kingdee.com</t>
  </si>
  <si>
    <t>中国昆明</t>
  </si>
  <si>
    <t>km.gov.cn</t>
  </si>
  <si>
    <t>大河网</t>
  </si>
  <si>
    <t>dahe.cn</t>
  </si>
  <si>
    <t>动漫大全</t>
  </si>
  <si>
    <t>dongman.2345.com</t>
  </si>
  <si>
    <t>广东华图</t>
  </si>
  <si>
    <t>gd.huatu.com</t>
  </si>
  <si>
    <t>人民网组织人事频道</t>
  </si>
  <si>
    <t>renshi.people.com.cn</t>
  </si>
  <si>
    <t>TripAdvisor(猫途鹰)</t>
  </si>
  <si>
    <t>tripadvisor.cn</t>
  </si>
  <si>
    <t>车家号网</t>
  </si>
  <si>
    <t>chejiahao.m.autohome.com.cn</t>
  </si>
  <si>
    <t>券妈妈</t>
  </si>
  <si>
    <t>quanmama.com</t>
  </si>
  <si>
    <t>长江网</t>
  </si>
  <si>
    <t>news.cjn.cn</t>
  </si>
  <si>
    <t>侠聚</t>
  </si>
  <si>
    <t>huluxia.com</t>
  </si>
  <si>
    <t>51tracking</t>
  </si>
  <si>
    <t>51tracking.com</t>
  </si>
  <si>
    <t>学满分</t>
  </si>
  <si>
    <t>xuemanfen.cn</t>
  </si>
  <si>
    <t>长佩文学</t>
  </si>
  <si>
    <t>gongzicp.com</t>
  </si>
  <si>
    <t>居客房地产</t>
  </si>
  <si>
    <t>beijing.anjuke.com</t>
  </si>
  <si>
    <t>红歌会网</t>
  </si>
  <si>
    <t>szhgh.com</t>
  </si>
  <si>
    <t>卓博人才网</t>
  </si>
  <si>
    <t>jobcn.com</t>
  </si>
  <si>
    <t>LOFTER（乐乎）</t>
  </si>
  <si>
    <t>lofter.com</t>
  </si>
  <si>
    <t>租号玩</t>
  </si>
  <si>
    <t>zuhaowan.com</t>
  </si>
  <si>
    <t>生意社</t>
  </si>
  <si>
    <t>100ppi.com</t>
  </si>
  <si>
    <t>图精灵</t>
  </si>
  <si>
    <t>616pic.com</t>
  </si>
  <si>
    <t>第三媒体</t>
  </si>
  <si>
    <t>thethirdmedia.com</t>
  </si>
  <si>
    <t>全球纺织网</t>
  </si>
  <si>
    <t>tnc.com.cn</t>
  </si>
  <si>
    <t>演艺圈门户网站</t>
  </si>
  <si>
    <t>yanyi8.com</t>
  </si>
  <si>
    <t>华南理工大学</t>
  </si>
  <si>
    <t>www2.scut.edu.cn</t>
  </si>
  <si>
    <t>浩辰CAD</t>
  </si>
  <si>
    <t>gstarcad.com</t>
  </si>
  <si>
    <t>中国教育考试网NCRE</t>
  </si>
  <si>
    <t>ncre.neea.edu.cn</t>
  </si>
  <si>
    <t>大原市人民政府</t>
  </si>
  <si>
    <t>taiyuan.gov.cn</t>
  </si>
  <si>
    <t>蛙蛙工具</t>
  </si>
  <si>
    <t>iamwawa.cn</t>
  </si>
  <si>
    <t>永劫无间</t>
  </si>
  <si>
    <t>yjwujian.cn</t>
  </si>
  <si>
    <t>店查查</t>
  </si>
  <si>
    <t>dianchacha.com</t>
  </si>
  <si>
    <t>重庆购物狂网</t>
  </si>
  <si>
    <t>cqmmgo.com</t>
  </si>
  <si>
    <t>中国在职研究生教育信息网</t>
  </si>
  <si>
    <t>eduei.com</t>
  </si>
  <si>
    <t>台州19楼论坛</t>
  </si>
  <si>
    <t>taizhou.19lou.com</t>
  </si>
  <si>
    <t>世纪佳缘</t>
  </si>
  <si>
    <t>jiayuan.com</t>
  </si>
  <si>
    <t>西部数码网站</t>
  </si>
  <si>
    <t>west.cn</t>
  </si>
  <si>
    <t>中国共青团网</t>
  </si>
  <si>
    <t>gqt.org.cn</t>
  </si>
  <si>
    <t>凤凰网山东频道</t>
  </si>
  <si>
    <t>sd.ifeng.com</t>
  </si>
  <si>
    <t>佛山市政府门户网</t>
  </si>
  <si>
    <t>foshan.gov.cn</t>
  </si>
  <si>
    <t>中国移动商城</t>
  </si>
  <si>
    <t>shop.10086.cn</t>
  </si>
  <si>
    <t>爱电子书网</t>
  </si>
  <si>
    <t>idzs.cc</t>
  </si>
  <si>
    <t>慢慢买</t>
  </si>
  <si>
    <t>manmanbuy.com</t>
  </si>
  <si>
    <t>中国网络服务网</t>
  </si>
  <si>
    <t>5173.com</t>
  </si>
  <si>
    <t>中国联通网上营业厅自助服务栏目</t>
  </si>
  <si>
    <t>iservice.10010.com</t>
  </si>
  <si>
    <t>Extrabux海淘返利网</t>
  </si>
  <si>
    <t>extrabux.cn</t>
  </si>
  <si>
    <t>考试资料网站</t>
  </si>
  <si>
    <t>ppkao.com</t>
  </si>
  <si>
    <t>河北网络电视</t>
  </si>
  <si>
    <t>hebtv.com</t>
  </si>
  <si>
    <t>365淘房网站</t>
  </si>
  <si>
    <t>house365.com</t>
  </si>
  <si>
    <t>EEPW 电子产品世界</t>
  </si>
  <si>
    <t>eepw.com.cn</t>
  </si>
  <si>
    <t>小小网</t>
  </si>
  <si>
    <t>jiqrxx.com</t>
  </si>
  <si>
    <t>华东理工大学</t>
  </si>
  <si>
    <t>ecust.edu.cn</t>
  </si>
  <si>
    <t>Office Online</t>
  </si>
  <si>
    <t>office.com</t>
  </si>
  <si>
    <t>深圳搜房网</t>
  </si>
  <si>
    <t>esf.fang.com</t>
  </si>
  <si>
    <t>现代语言</t>
  </si>
  <si>
    <t>xdyy8.com</t>
  </si>
  <si>
    <t>5198母网新闻频道</t>
  </si>
  <si>
    <t>5198china.com</t>
  </si>
  <si>
    <t>家庭医生医院库</t>
  </si>
  <si>
    <t>yyk.familydoctor.com.cn</t>
  </si>
  <si>
    <t>爱股票</t>
  </si>
  <si>
    <t>aigupiao.com</t>
  </si>
  <si>
    <t>TapTap</t>
  </si>
  <si>
    <t>taptap.com</t>
  </si>
  <si>
    <t>软件</t>
  </si>
  <si>
    <t>pcedu.pconline.com.cn</t>
  </si>
  <si>
    <t>轻松背单词学习网</t>
  </si>
  <si>
    <t>qsbdc.com</t>
  </si>
  <si>
    <t>DHL网站</t>
  </si>
  <si>
    <t>dhl.com</t>
  </si>
  <si>
    <t>魅族</t>
  </si>
  <si>
    <t>meizu.com</t>
  </si>
  <si>
    <t>笔记本网站</t>
  </si>
  <si>
    <t>nb.zol.com.cn</t>
  </si>
  <si>
    <t>BIGEMAP在线地图</t>
  </si>
  <si>
    <t>bigemap.net</t>
  </si>
  <si>
    <t>凤凰网文化频道</t>
  </si>
  <si>
    <t>culture.ifeng.com</t>
  </si>
  <si>
    <t>中国南方电网</t>
  </si>
  <si>
    <t>csg.cn</t>
  </si>
  <si>
    <t>AMD公司</t>
  </si>
  <si>
    <t>amd.com</t>
  </si>
  <si>
    <t>好网角网络收藏夹</t>
  </si>
  <si>
    <t>wang1314.com</t>
  </si>
  <si>
    <t>航班跟踪</t>
  </si>
  <si>
    <t>flightaware.com</t>
  </si>
  <si>
    <t>城市中国</t>
  </si>
  <si>
    <t>ccoo.cn</t>
  </si>
  <si>
    <t>吉号吧网站</t>
  </si>
  <si>
    <t>jihaoba.com</t>
  </si>
  <si>
    <t>舜网新闻中心</t>
  </si>
  <si>
    <t>news.e23.cn</t>
  </si>
  <si>
    <t>春秋航空官方网</t>
  </si>
  <si>
    <t>ch.com</t>
  </si>
  <si>
    <t>旅游网</t>
  </si>
  <si>
    <t>travel.sina.com.cn</t>
  </si>
  <si>
    <t>丁香通</t>
  </si>
  <si>
    <t>biomart.cn</t>
  </si>
  <si>
    <t>海南航空</t>
  </si>
  <si>
    <t>hnair.com</t>
  </si>
  <si>
    <t>七一网</t>
  </si>
  <si>
    <t>12371.gov.cn</t>
  </si>
  <si>
    <t>新浪军事频道</t>
  </si>
  <si>
    <t>mil.news.sina.com.cn</t>
  </si>
  <si>
    <t>就医160</t>
  </si>
  <si>
    <t>91160.com</t>
  </si>
  <si>
    <t>学门教育网</t>
  </si>
  <si>
    <t>xmedu.net.cn</t>
  </si>
  <si>
    <t>人民网_地方领导留言板</t>
  </si>
  <si>
    <t>liuyan.people.com.cn</t>
  </si>
  <si>
    <t>六间房直播</t>
  </si>
  <si>
    <t>v.6.cn</t>
  </si>
  <si>
    <t>毕节市人民政府门户网站</t>
  </si>
  <si>
    <t>bijie.gov.cn</t>
  </si>
  <si>
    <t>辽宁人事考试网</t>
  </si>
  <si>
    <t>lnrsks.com</t>
  </si>
  <si>
    <t>百度贴吧</t>
  </si>
  <si>
    <t>tieba.com</t>
  </si>
  <si>
    <t>搜狐基金</t>
  </si>
  <si>
    <t>q.fund.sohu.com</t>
  </si>
  <si>
    <t>南方网新闻频道</t>
  </si>
  <si>
    <t>news.southcn.com</t>
  </si>
  <si>
    <t>济宁新闻网</t>
  </si>
  <si>
    <t>jnnews.tv</t>
  </si>
  <si>
    <t>网易公开课</t>
  </si>
  <si>
    <t>open.163.com</t>
  </si>
  <si>
    <t>少数派</t>
  </si>
  <si>
    <t>sspai.com</t>
  </si>
  <si>
    <t>中国证券业协会</t>
  </si>
  <si>
    <t>sac.net.cn</t>
  </si>
  <si>
    <t>电子工程世界网站</t>
  </si>
  <si>
    <t>eeworld.com.cn</t>
  </si>
  <si>
    <t>三茅人力资源网</t>
  </si>
  <si>
    <t>hrloo.com</t>
  </si>
  <si>
    <t>哈尔滨理工大学</t>
  </si>
  <si>
    <t>hrbust.edu.cn</t>
  </si>
  <si>
    <t>重庆购物狂</t>
  </si>
  <si>
    <t>go.cqmmgo.com</t>
  </si>
  <si>
    <t>齐鲁人才网</t>
  </si>
  <si>
    <t>qlrc.com</t>
  </si>
  <si>
    <t>战网</t>
  </si>
  <si>
    <t>battlenet.com.cn</t>
  </si>
  <si>
    <t>珠宝网</t>
  </si>
  <si>
    <t>0755zb.com</t>
  </si>
  <si>
    <t>租租车</t>
  </si>
  <si>
    <t>cha.zuzuche.com</t>
  </si>
  <si>
    <t>金十数据</t>
  </si>
  <si>
    <t>jin10.com</t>
  </si>
  <si>
    <t>联想中国网站</t>
  </si>
  <si>
    <t>lenovo.com</t>
  </si>
  <si>
    <t>简道云</t>
  </si>
  <si>
    <t>jiandaoyun.com</t>
  </si>
  <si>
    <t>上观新闻</t>
  </si>
  <si>
    <t>shobserver.com</t>
  </si>
  <si>
    <t>人人钢琴网</t>
  </si>
  <si>
    <t>everyonepiano.cn</t>
  </si>
  <si>
    <t>杂志铺</t>
  </si>
  <si>
    <t>zazhipu.com</t>
  </si>
  <si>
    <t>河北省人事考试网</t>
  </si>
  <si>
    <t>hebpta.com.cn</t>
  </si>
  <si>
    <t>中国留学网</t>
  </si>
  <si>
    <t>cscse.edu.cn</t>
  </si>
  <si>
    <t>人人都是产品经理</t>
  </si>
  <si>
    <t>woshipm.com</t>
  </si>
  <si>
    <t>中国注册会计师协会</t>
  </si>
  <si>
    <t>cicpa.org.cn</t>
  </si>
  <si>
    <t>澳柯玛电动车</t>
  </si>
  <si>
    <t>aucma-ev.com</t>
  </si>
  <si>
    <t>新浪邮箱</t>
  </si>
  <si>
    <t>mail.sina.com.cn</t>
  </si>
  <si>
    <t>字博缘文学网</t>
  </si>
  <si>
    <t>zbyw.cn</t>
  </si>
  <si>
    <t>凤凰汽车</t>
  </si>
  <si>
    <t>auto.ifeng.com</t>
  </si>
  <si>
    <t>虫虫吉他网</t>
  </si>
  <si>
    <t>ccguitar.cn</t>
  </si>
  <si>
    <t>跨越速运</t>
  </si>
  <si>
    <t>ky-express.com</t>
  </si>
  <si>
    <t>瓜子二手车直卖网</t>
  </si>
  <si>
    <t>guazi.com</t>
  </si>
  <si>
    <t>名医汇</t>
  </si>
  <si>
    <t>mingyihui.net</t>
  </si>
  <si>
    <t>中山政府门户网站</t>
  </si>
  <si>
    <t>zs.gov.cn</t>
  </si>
  <si>
    <t>品牌100网</t>
  </si>
  <si>
    <t>cnpp100.com</t>
  </si>
  <si>
    <t>老虎社区</t>
  </si>
  <si>
    <t>laohu8.com</t>
  </si>
  <si>
    <t>东营市人民政府门户网</t>
  </si>
  <si>
    <t>dongying.gov.cn</t>
  </si>
  <si>
    <t>火星网</t>
  </si>
  <si>
    <t>hxsd.com</t>
  </si>
  <si>
    <t>爱奇艺体育频道</t>
  </si>
  <si>
    <t>sports.iqiyi.com</t>
  </si>
  <si>
    <t>国泰航空</t>
  </si>
  <si>
    <t>cathaypacific.com</t>
  </si>
  <si>
    <t>凡科站</t>
  </si>
  <si>
    <t>fkw.com</t>
  </si>
  <si>
    <t>有赞零售科技服务</t>
  </si>
  <si>
    <t>h5.youzan.com</t>
  </si>
  <si>
    <t>VJ师网</t>
  </si>
  <si>
    <t>vjshi.com</t>
  </si>
  <si>
    <t>H3C</t>
  </si>
  <si>
    <t>h3c.com</t>
  </si>
  <si>
    <t>飞利浦中国</t>
  </si>
  <si>
    <t>philips.com.cn</t>
  </si>
  <si>
    <t>迅游网游加速器</t>
  </si>
  <si>
    <t>xunyou.com</t>
  </si>
  <si>
    <t>台湾环球网</t>
  </si>
  <si>
    <t>taiwan.huanqiu.com</t>
  </si>
  <si>
    <t>山东省教师教育网</t>
  </si>
  <si>
    <t>qlteacher.com</t>
  </si>
  <si>
    <t>188软件园</t>
  </si>
  <si>
    <t>188soft.com</t>
  </si>
  <si>
    <t>商业新知</t>
  </si>
  <si>
    <t>shangyexinzhi.com</t>
  </si>
  <si>
    <t>夜读库</t>
  </si>
  <si>
    <t>yeduku.com</t>
  </si>
  <si>
    <t>咖啡之家</t>
  </si>
  <si>
    <t>coffee.cn</t>
  </si>
  <si>
    <t>中华财会网</t>
  </si>
  <si>
    <t>zhckw.com</t>
  </si>
  <si>
    <t>保时捷</t>
  </si>
  <si>
    <t>porsche.cn</t>
  </si>
  <si>
    <t>和讯财经新闻</t>
  </si>
  <si>
    <t>news.hexun.com</t>
  </si>
  <si>
    <t>仁爱英语教育网</t>
  </si>
  <si>
    <t>renai-edu.com</t>
  </si>
  <si>
    <t>字体下载</t>
  </si>
  <si>
    <t>qiuziti.com</t>
  </si>
  <si>
    <t>正点财经</t>
  </si>
  <si>
    <t>zdcj.net</t>
  </si>
  <si>
    <t>DNF资料站</t>
  </si>
  <si>
    <t>dnfziliao.com</t>
  </si>
  <si>
    <t>民航资源网</t>
  </si>
  <si>
    <t>carnoc.com</t>
  </si>
  <si>
    <t>福特</t>
  </si>
  <si>
    <t>ford.com.cn</t>
  </si>
  <si>
    <t>奥一网</t>
  </si>
  <si>
    <t>oeeee.com</t>
  </si>
  <si>
    <t>站长工具</t>
  </si>
  <si>
    <t>seo.chinaz.com</t>
  </si>
  <si>
    <t>中国连锁加盟网</t>
  </si>
  <si>
    <t>8158.com</t>
  </si>
  <si>
    <t>全球塑胶网</t>
  </si>
  <si>
    <t>51pla.com</t>
  </si>
  <si>
    <t>人民网上海频道</t>
  </si>
  <si>
    <t>sh.people.com.cn</t>
  </si>
  <si>
    <t>爱奇艺文学</t>
  </si>
  <si>
    <t>wenxue.iqiyi.com</t>
  </si>
  <si>
    <t>PayPal 中国</t>
  </si>
  <si>
    <t>paypal.com</t>
  </si>
  <si>
    <t>新疆招生网</t>
  </si>
  <si>
    <t>xjzk.gov.cn</t>
  </si>
  <si>
    <t>慧择保险网</t>
  </si>
  <si>
    <t>huize.com</t>
  </si>
  <si>
    <t>4020电子书网</t>
  </si>
  <si>
    <t>iwurexs.com</t>
  </si>
  <si>
    <t>口袋PE之家</t>
  </si>
  <si>
    <t>koudaipe.com</t>
  </si>
  <si>
    <t>蓝泰源</t>
  </si>
  <si>
    <t>lantaiyuan.com</t>
  </si>
  <si>
    <t>IBM</t>
  </si>
  <si>
    <t>ibm.com</t>
  </si>
  <si>
    <t>和讯股票</t>
  </si>
  <si>
    <t>stock.hexun.com</t>
  </si>
  <si>
    <t>最笨</t>
  </si>
  <si>
    <t>zuiben.com</t>
  </si>
  <si>
    <t>心悦俱乐部</t>
  </si>
  <si>
    <t>xinyue.qq.com</t>
  </si>
  <si>
    <t>燃文小说门户网站</t>
  </si>
  <si>
    <t>ranwen.com</t>
  </si>
  <si>
    <t>宜家家居网</t>
  </si>
  <si>
    <t>ikea.cn</t>
  </si>
  <si>
    <t>JJ斗地主</t>
  </si>
  <si>
    <t>jj.cn</t>
  </si>
  <si>
    <t>大明星网</t>
  </si>
  <si>
    <t>star.xiziwang.net</t>
  </si>
  <si>
    <t>中国天气台风网</t>
  </si>
  <si>
    <t>typhoon.weather.com.cn</t>
  </si>
  <si>
    <t>玫瑰情人</t>
  </si>
  <si>
    <t>mgqr.com</t>
  </si>
  <si>
    <t>活动家</t>
  </si>
  <si>
    <t>huodongjia.com</t>
  </si>
  <si>
    <t>温州网新闻中心</t>
  </si>
  <si>
    <t>news.66wz.com</t>
  </si>
  <si>
    <t>药智网</t>
  </si>
  <si>
    <t>yaozh.com</t>
  </si>
  <si>
    <t>雷克萨斯</t>
  </si>
  <si>
    <t>lexus.com.cn</t>
  </si>
  <si>
    <t>网易视频</t>
  </si>
  <si>
    <t>v.163.com</t>
  </si>
  <si>
    <t>AC小说网</t>
  </si>
  <si>
    <t>acxsw.com</t>
  </si>
  <si>
    <t>河南招生考试信息网</t>
  </si>
  <si>
    <t>heao.com.cn</t>
  </si>
  <si>
    <t>114中文库</t>
  </si>
  <si>
    <t>114zw8.com</t>
  </si>
  <si>
    <t>中国电信网</t>
  </si>
  <si>
    <t>gd.189.cn</t>
  </si>
  <si>
    <t>藏宝阁</t>
  </si>
  <si>
    <t>cbg.163.com</t>
  </si>
  <si>
    <t>襄阳市人民政府门户网站</t>
  </si>
  <si>
    <t>xiangyang.gov.cn</t>
  </si>
  <si>
    <t>中关村在线驱动下载频道</t>
  </si>
  <si>
    <t>driver.zol.com.cn</t>
  </si>
  <si>
    <t>维修客</t>
  </si>
  <si>
    <t>iccidchaxun.com</t>
  </si>
  <si>
    <t>书快小说</t>
  </si>
  <si>
    <t>shukuai.net</t>
  </si>
  <si>
    <t>人民网娱乐频道</t>
  </si>
  <si>
    <t>ent.people.com.cn</t>
  </si>
  <si>
    <t>支付宝服务大厅网</t>
  </si>
  <si>
    <t>help.alipay.com</t>
  </si>
  <si>
    <t>黑猫投诉平台</t>
  </si>
  <si>
    <t>tousu.sina.com.cn</t>
  </si>
  <si>
    <t>吉他世界网</t>
  </si>
  <si>
    <t>guitarworld.com.cn</t>
  </si>
  <si>
    <t>中财</t>
  </si>
  <si>
    <t>gg.cfi.cn</t>
  </si>
  <si>
    <t>百田网</t>
  </si>
  <si>
    <t>100bt.com</t>
  </si>
  <si>
    <t>爱范儿</t>
  </si>
  <si>
    <t>ifanr.com</t>
  </si>
  <si>
    <t>中华建材网</t>
  </si>
  <si>
    <t>chinabm.cn</t>
  </si>
  <si>
    <t>中商情报</t>
  </si>
  <si>
    <t>askci.com</t>
  </si>
  <si>
    <t>北京二六三企业通信有限公司</t>
  </si>
  <si>
    <t>263.net</t>
  </si>
  <si>
    <t>中国日报中文网</t>
  </si>
  <si>
    <t>ent.chinadaily.com.cn</t>
  </si>
  <si>
    <t>全国大学生创业服务网</t>
  </si>
  <si>
    <t>cy.ncss.org.cn</t>
  </si>
  <si>
    <t>宣讲家网站</t>
  </si>
  <si>
    <t>71.cn</t>
  </si>
  <si>
    <t>TOM网</t>
  </si>
  <si>
    <t>tom.com</t>
  </si>
  <si>
    <t>河南华图教育人事考试网</t>
  </si>
  <si>
    <t>ha.huatu.com</t>
  </si>
  <si>
    <t>安徽省人事考试网</t>
  </si>
  <si>
    <t>apta.gov.cn</t>
  </si>
  <si>
    <t>中国制造网</t>
  </si>
  <si>
    <t>cn.made-in-china.com</t>
  </si>
  <si>
    <t>中国国际服务贸易交易会</t>
  </si>
  <si>
    <t>ciftis.org</t>
  </si>
  <si>
    <t>剑网</t>
  </si>
  <si>
    <t>jx3.xoyo.com</t>
  </si>
  <si>
    <t>联盟中国</t>
  </si>
  <si>
    <t>union.china.com.cn</t>
  </si>
  <si>
    <t>希沃·seewo</t>
  </si>
  <si>
    <t>seewo.com</t>
  </si>
  <si>
    <t>西陆网</t>
  </si>
  <si>
    <t>xilu.com</t>
  </si>
  <si>
    <t>湖北教育信息网</t>
  </si>
  <si>
    <t>e21.cn</t>
  </si>
  <si>
    <t>南京审计学院</t>
  </si>
  <si>
    <t>nau.edu.cn</t>
  </si>
  <si>
    <t>Nissan东风日产</t>
  </si>
  <si>
    <t>dongfeng-nissan.com.cn</t>
  </si>
  <si>
    <t>扬子晚报网站</t>
  </si>
  <si>
    <t>yangtse.com</t>
  </si>
  <si>
    <t>梅州同城游</t>
  </si>
  <si>
    <t>tcy365.com</t>
  </si>
  <si>
    <t>万维书刊</t>
  </si>
  <si>
    <t>eshukan.com</t>
  </si>
  <si>
    <t>飞卢小说网站</t>
  </si>
  <si>
    <t>haokan.faloo.com</t>
  </si>
  <si>
    <t>腿腿软件工作室</t>
  </si>
  <si>
    <t>tuituisoft.com</t>
  </si>
  <si>
    <t>要看书网站</t>
  </si>
  <si>
    <t>1kanshu.cc</t>
  </si>
  <si>
    <t>驾照网</t>
  </si>
  <si>
    <t>jiazhao.com</t>
  </si>
  <si>
    <t>中国工控网</t>
  </si>
  <si>
    <t>gongkong.com</t>
  </si>
  <si>
    <t>铃声多多</t>
  </si>
  <si>
    <t>shoujiduoduo.com</t>
  </si>
  <si>
    <t>河北大学</t>
  </si>
  <si>
    <t>hbu.edu.cn</t>
  </si>
  <si>
    <t>中国太平</t>
  </si>
  <si>
    <t>cntaiping.com</t>
  </si>
  <si>
    <t>安庆市人民政府</t>
  </si>
  <si>
    <t>anqing.gov.cn</t>
  </si>
  <si>
    <t>长春理工大学</t>
  </si>
  <si>
    <t>cust.edu.cn</t>
  </si>
  <si>
    <t>环球体育网</t>
  </si>
  <si>
    <t>sports.huanqiu.com</t>
  </si>
  <si>
    <t>多益网络</t>
  </si>
  <si>
    <t>duoyi.com</t>
  </si>
  <si>
    <t>全国公共资源交易平台</t>
  </si>
  <si>
    <t>ggzy.hefei.gov.cn</t>
  </si>
  <si>
    <t>维库电子市场网</t>
  </si>
  <si>
    <t>dzsc.com</t>
  </si>
  <si>
    <t>中国产业经济信息</t>
  </si>
  <si>
    <t>cinic.org.cn</t>
  </si>
  <si>
    <t>河东软件园</t>
  </si>
  <si>
    <t>pc0359.cn</t>
  </si>
  <si>
    <t>四川在线四川新闻</t>
  </si>
  <si>
    <t>sichuan.scol.com.cn</t>
  </si>
  <si>
    <t>杭州网新闻中心</t>
  </si>
  <si>
    <t>news.hangzhou.com.cn</t>
  </si>
  <si>
    <t>网易女人</t>
  </si>
  <si>
    <t>lady.163.com</t>
  </si>
  <si>
    <t>驱动天空</t>
  </si>
  <si>
    <t>drvsky.com</t>
  </si>
  <si>
    <t>美的Midea</t>
  </si>
  <si>
    <t>midea.cn</t>
  </si>
  <si>
    <t>九机网</t>
  </si>
  <si>
    <t>9ji.com</t>
  </si>
  <si>
    <t>淮阳论坛</t>
  </si>
  <si>
    <t>bbs.huaiyangnews.com</t>
  </si>
  <si>
    <t>异次元软件</t>
  </si>
  <si>
    <t>iplaysoft.com</t>
  </si>
  <si>
    <t>91估值网</t>
  </si>
  <si>
    <t>91guzhi.com</t>
  </si>
  <si>
    <t>天气预报信息</t>
  </si>
  <si>
    <t>tianqihoubao.com</t>
  </si>
  <si>
    <t>58同城分类信息网</t>
  </si>
  <si>
    <t>wap.58.com</t>
  </si>
  <si>
    <t>百贸网</t>
  </si>
  <si>
    <t>baimao.com</t>
  </si>
  <si>
    <t>中原网</t>
  </si>
  <si>
    <t>zynews.cn</t>
  </si>
  <si>
    <t>驾驶员考试网</t>
  </si>
  <si>
    <t>jsyks.com</t>
  </si>
  <si>
    <t>浪潮</t>
  </si>
  <si>
    <t>inspur.com</t>
  </si>
  <si>
    <t>赣州市人民政府网站</t>
  </si>
  <si>
    <t>ganzhou.gov.cn</t>
  </si>
  <si>
    <t>株洲新闻网站</t>
  </si>
  <si>
    <t>zznews.gov.cn</t>
  </si>
  <si>
    <t>亿速云</t>
  </si>
  <si>
    <t>yisu.com</t>
  </si>
  <si>
    <t>刀塔</t>
  </si>
  <si>
    <t>dota2.com.cn</t>
  </si>
  <si>
    <t>零奏网</t>
  </si>
  <si>
    <t>0zou.com</t>
  </si>
  <si>
    <t>北京赶集网</t>
  </si>
  <si>
    <t>3g.ganji.com</t>
  </si>
  <si>
    <t>南方医科大学</t>
  </si>
  <si>
    <t>smu.edu.cn</t>
  </si>
  <si>
    <t>查标准上工标网</t>
  </si>
  <si>
    <t>csres.com</t>
  </si>
  <si>
    <t>深圳证券交易所</t>
  </si>
  <si>
    <t>szse.cn</t>
  </si>
  <si>
    <t>影音先锋</t>
  </si>
  <si>
    <t>xfplay.com</t>
  </si>
  <si>
    <t>阳光保险网站</t>
  </si>
  <si>
    <t>sinosig.com</t>
  </si>
  <si>
    <t>神州租车</t>
  </si>
  <si>
    <t>zuche.com</t>
  </si>
  <si>
    <t>文汇网</t>
  </si>
  <si>
    <t>whb.cn</t>
  </si>
  <si>
    <t>HS编码查询网</t>
  </si>
  <si>
    <t>hsbianma.com</t>
  </si>
  <si>
    <t>中国宿迁市人民政府</t>
  </si>
  <si>
    <t>suqian.gov.cn</t>
  </si>
  <si>
    <t>酷易搜网</t>
  </si>
  <si>
    <t>kuyiso.com</t>
  </si>
  <si>
    <t>天津户口网</t>
  </si>
  <si>
    <t>tjhukou.com</t>
  </si>
  <si>
    <t>返利网</t>
  </si>
  <si>
    <t>fanli.com</t>
  </si>
  <si>
    <t>乐阅读小说网</t>
  </si>
  <si>
    <t>27k.net</t>
  </si>
  <si>
    <t>MBA中国网</t>
  </si>
  <si>
    <t>mbachina.com</t>
  </si>
  <si>
    <t>低度酒之家</t>
  </si>
  <si>
    <t>ddjzj.com</t>
  </si>
  <si>
    <t>长江大学</t>
  </si>
  <si>
    <t>yangtzeu.edu.cn</t>
  </si>
  <si>
    <t>建设工程教育网</t>
  </si>
  <si>
    <t>jianshe99.com</t>
  </si>
  <si>
    <t>纪实</t>
  </si>
  <si>
    <t>jishi.cntv.cn</t>
  </si>
  <si>
    <t>战舰世界</t>
  </si>
  <si>
    <t>wows.kongzhong.com</t>
  </si>
  <si>
    <t>小米应用商店</t>
  </si>
  <si>
    <t>app.mi.com</t>
  </si>
  <si>
    <t>福州市政府</t>
  </si>
  <si>
    <t>fuzhou.gov.cn</t>
  </si>
  <si>
    <t>家庭医生</t>
  </si>
  <si>
    <t>ask.familydoctor.com.cn</t>
  </si>
  <si>
    <t>霍普软件下载网</t>
  </si>
  <si>
    <t>101bt.net</t>
  </si>
  <si>
    <t>上海海事大学</t>
  </si>
  <si>
    <t>shmtu.edu.cn</t>
  </si>
  <si>
    <t>浙江24小时</t>
  </si>
  <si>
    <t>thehour.cn</t>
  </si>
  <si>
    <t>小鱼一键重装系统</t>
  </si>
  <si>
    <t>xiaoyuxitong.com</t>
  </si>
  <si>
    <t>税屋网</t>
  </si>
  <si>
    <t>shui5.cn</t>
  </si>
  <si>
    <t>触站</t>
  </si>
  <si>
    <t>huashi6.com</t>
  </si>
  <si>
    <t>蚂蜂窝旅游指南</t>
  </si>
  <si>
    <t>z.mafengwo.cn</t>
  </si>
  <si>
    <t>人民论坛网站</t>
  </si>
  <si>
    <t>rmlt.com.cn</t>
  </si>
  <si>
    <t>雅虎</t>
  </si>
  <si>
    <t>yahoo.com</t>
  </si>
  <si>
    <t>黑龙江省招生考试信息港网站</t>
  </si>
  <si>
    <t>lzk.hl.cn</t>
  </si>
  <si>
    <t>万行教师人才网</t>
  </si>
  <si>
    <t>job910.com</t>
  </si>
  <si>
    <t>biubiu加速器</t>
  </si>
  <si>
    <t>biubiu001.com</t>
  </si>
  <si>
    <t>重庆市教育考试院</t>
  </si>
  <si>
    <t>cqksy.cn</t>
  </si>
  <si>
    <t>深窗网</t>
  </si>
  <si>
    <t>shenchuang.com</t>
  </si>
  <si>
    <t>电玩巴士</t>
  </si>
  <si>
    <t>tgbus.com</t>
  </si>
  <si>
    <t>当乐网</t>
  </si>
  <si>
    <t>d.cn</t>
  </si>
  <si>
    <t>劲舞商城</t>
  </si>
  <si>
    <t>shop.9you.com</t>
  </si>
  <si>
    <t>8u58药材网</t>
  </si>
  <si>
    <t>8u58.com</t>
  </si>
  <si>
    <t>忻州市政府</t>
  </si>
  <si>
    <t>sxxz.gov.cn</t>
  </si>
  <si>
    <t>华医网</t>
  </si>
  <si>
    <t>91huayi.com</t>
  </si>
  <si>
    <t>湖北省黄石市第三中学</t>
  </si>
  <si>
    <t>hssz.net.cn</t>
  </si>
  <si>
    <t>招生考试网</t>
  </si>
  <si>
    <t>edu-hb.com</t>
  </si>
  <si>
    <t>人人网</t>
  </si>
  <si>
    <t>renren.com</t>
  </si>
  <si>
    <t>游侠客旅游网</t>
  </si>
  <si>
    <t>youxiake.com</t>
  </si>
  <si>
    <t>驱动下载</t>
  </si>
  <si>
    <t>drivers.160.com</t>
  </si>
  <si>
    <t>北京十渡旅游网</t>
  </si>
  <si>
    <t>shidu.cn</t>
  </si>
  <si>
    <t>中科商务网</t>
  </si>
  <si>
    <t>zk71.com</t>
  </si>
  <si>
    <t>百教网</t>
  </si>
  <si>
    <t>baijiao.org</t>
  </si>
  <si>
    <t>QQ炫舞</t>
  </si>
  <si>
    <t>x5.qq.com</t>
  </si>
  <si>
    <t>中国工程院</t>
  </si>
  <si>
    <t>cae.cn</t>
  </si>
  <si>
    <t>中国医学人才网</t>
  </si>
  <si>
    <t>yixuezp.com</t>
  </si>
  <si>
    <t>封面新闻</t>
  </si>
  <si>
    <t>thecover.cn</t>
  </si>
  <si>
    <t>FlightAware</t>
  </si>
  <si>
    <t>zh.flightaware.com</t>
  </si>
  <si>
    <t>爱剧情影视网</t>
  </si>
  <si>
    <t>9ad1.com</t>
  </si>
  <si>
    <t>长沙晚报网</t>
  </si>
  <si>
    <t>icswb.com</t>
  </si>
  <si>
    <t>腾讯充值</t>
  </si>
  <si>
    <t>pay.qq.com</t>
  </si>
  <si>
    <t>咪咕文化</t>
  </si>
  <si>
    <t>migu.cn</t>
  </si>
  <si>
    <t>学而思网校</t>
  </si>
  <si>
    <t>xueersi.com</t>
  </si>
  <si>
    <t>新疆大学</t>
  </si>
  <si>
    <t>xju.edu.cn</t>
  </si>
  <si>
    <t>齐鲁网新闻中心</t>
  </si>
  <si>
    <t>news.iqilu.com</t>
  </si>
  <si>
    <t>六朵花花店</t>
  </si>
  <si>
    <t>sixflower.com</t>
  </si>
  <si>
    <t>偶久网</t>
  </si>
  <si>
    <t>ou99.com</t>
  </si>
  <si>
    <t>中钢网站</t>
  </si>
  <si>
    <t>zgw.com</t>
  </si>
  <si>
    <t>中国九江网</t>
  </si>
  <si>
    <t>jiujiang.gov.cn</t>
  </si>
  <si>
    <t>比亚迪汽车</t>
  </si>
  <si>
    <t>bydauto.com.cn</t>
  </si>
  <si>
    <t>梅州招聘</t>
  </si>
  <si>
    <t>jrzp.com</t>
  </si>
  <si>
    <t>中国淮南</t>
  </si>
  <si>
    <t>huainan.gov.cn</t>
  </si>
  <si>
    <t>大连海岛旅游网</t>
  </si>
  <si>
    <t>0411hd.com</t>
  </si>
  <si>
    <t>北京市义务教育入学服务</t>
  </si>
  <si>
    <t>yjrx.bjedu.cn</t>
  </si>
  <si>
    <t>52PK地下城与勇士</t>
  </si>
  <si>
    <t>dnf.52pk.com</t>
  </si>
  <si>
    <t>中华龙都网</t>
  </si>
  <si>
    <t>zhld.com</t>
  </si>
  <si>
    <t>XDA智能设备网</t>
  </si>
  <si>
    <t>xda.cn</t>
  </si>
  <si>
    <t>临沂市人民政府</t>
  </si>
  <si>
    <t>linyi.gov.cn</t>
  </si>
  <si>
    <t>爱发表网</t>
  </si>
  <si>
    <t>ifabiao.com</t>
  </si>
  <si>
    <t>捷安特自行车</t>
  </si>
  <si>
    <t>giant.com.cn</t>
  </si>
  <si>
    <t>qq微云</t>
  </si>
  <si>
    <t>weiyun.com</t>
  </si>
  <si>
    <t>九九藏书网</t>
  </si>
  <si>
    <t>99csw.com</t>
  </si>
  <si>
    <t>欧米茄(Omega)手表中国</t>
  </si>
  <si>
    <t>omegawatches.cn</t>
  </si>
  <si>
    <t>易贤网</t>
  </si>
  <si>
    <t>ynpxrz.com</t>
  </si>
  <si>
    <t>海淘网</t>
  </si>
  <si>
    <t>haitao.com</t>
  </si>
  <si>
    <t>1010兼职网</t>
  </si>
  <si>
    <t>1010jz.com</t>
  </si>
  <si>
    <t>荆楚网新闻频道</t>
  </si>
  <si>
    <t>news.cnhubei.com</t>
  </si>
  <si>
    <t>美通社网站</t>
  </si>
  <si>
    <t>prnasia.com</t>
  </si>
  <si>
    <t>电子发烧友论坛</t>
  </si>
  <si>
    <t>bbs.elecfans.com</t>
  </si>
  <si>
    <t>我的 Apple ID</t>
  </si>
  <si>
    <t>appleid.apple.com</t>
  </si>
  <si>
    <t>穷游旅行工具</t>
  </si>
  <si>
    <t>tool.qyer.com</t>
  </si>
  <si>
    <t>DIOR迪奥</t>
  </si>
  <si>
    <t>dior.cn</t>
  </si>
  <si>
    <t>百世</t>
  </si>
  <si>
    <t>800best.com</t>
  </si>
  <si>
    <t>QQ安全中心</t>
  </si>
  <si>
    <t>aq.qq.com</t>
  </si>
  <si>
    <t>X技术专利技术</t>
  </si>
  <si>
    <t>xjishu.com</t>
  </si>
  <si>
    <t>中国建筑网</t>
  </si>
  <si>
    <t>cbi360.net</t>
  </si>
  <si>
    <t>9136生活网</t>
  </si>
  <si>
    <t>9136.com</t>
  </si>
  <si>
    <t>好投稿平台</t>
  </si>
  <si>
    <t>haotougao.com</t>
  </si>
  <si>
    <t>楚天都市网</t>
  </si>
  <si>
    <t>ctdsb.net</t>
  </si>
  <si>
    <t>极客网</t>
  </si>
  <si>
    <t>fromgeek.com</t>
  </si>
  <si>
    <t>天下汽配</t>
  </si>
  <si>
    <t>chinaepu.com</t>
  </si>
  <si>
    <t>115网盘</t>
  </si>
  <si>
    <t>115.com</t>
  </si>
  <si>
    <t>红网论坛</t>
  </si>
  <si>
    <t>bbs.rednet.cn</t>
  </si>
  <si>
    <t>哈弗SUV网</t>
  </si>
  <si>
    <t>haval.com.cn</t>
  </si>
  <si>
    <t>新浪湖南</t>
  </si>
  <si>
    <t>hunan.sina.com.cn</t>
  </si>
  <si>
    <t>甘肃省人民政府</t>
  </si>
  <si>
    <t>gansu.gov.cn</t>
  </si>
  <si>
    <t>山东网络台</t>
  </si>
  <si>
    <t>v.iqilu.com</t>
  </si>
  <si>
    <t>北晚新视觉网</t>
  </si>
  <si>
    <t>takefoto.cn</t>
  </si>
  <si>
    <t>船讯网</t>
  </si>
  <si>
    <t>shipxy.com</t>
  </si>
  <si>
    <t>中国科学院文献情报中心</t>
  </si>
  <si>
    <t>las.ac.cn</t>
  </si>
  <si>
    <t>傲世堂</t>
  </si>
  <si>
    <t>aoshitang.com</t>
  </si>
  <si>
    <t>中国联通网上营业厅广东</t>
  </si>
  <si>
    <t>mall.10010.com</t>
  </si>
  <si>
    <t>书格格</t>
  </si>
  <si>
    <t>shugege.com</t>
  </si>
  <si>
    <t>会展之窗</t>
  </si>
  <si>
    <t>expowindow.com</t>
  </si>
  <si>
    <t>青云翻译站</t>
  </si>
  <si>
    <t>nuoweiyu.zaixian-fanyi.com</t>
  </si>
  <si>
    <t>中华衣柜网</t>
  </si>
  <si>
    <t>chinayigui.com</t>
  </si>
  <si>
    <t>新浪网彩票频道</t>
  </si>
  <si>
    <t>lottery.sina.com.cn</t>
  </si>
  <si>
    <t>KING小说</t>
  </si>
  <si>
    <t>kingxsw.org</t>
  </si>
  <si>
    <t>央视网_经济频道</t>
  </si>
  <si>
    <t>jingji.cntv.cn</t>
  </si>
  <si>
    <t>河北教师教育网</t>
  </si>
  <si>
    <t>hbte.com.cn</t>
  </si>
  <si>
    <t>页游网</t>
  </si>
  <si>
    <t>yeyou.com</t>
  </si>
  <si>
    <t>酷读吧小说</t>
  </si>
  <si>
    <t>kudu8.net</t>
  </si>
  <si>
    <t>新网</t>
  </si>
  <si>
    <t>xinnet.com</t>
  </si>
  <si>
    <t>17k小说阅读网</t>
  </si>
  <si>
    <t>17kxsw.com</t>
  </si>
  <si>
    <t>好运物流网</t>
  </si>
  <si>
    <t>haoyun56.com</t>
  </si>
  <si>
    <t>人民网反腐倡廉频道</t>
  </si>
  <si>
    <t>fanfu.people.com.cn</t>
  </si>
  <si>
    <t>人民网韩国频道</t>
  </si>
  <si>
    <t>korea.people.com.cn</t>
  </si>
  <si>
    <t>博客中国</t>
  </si>
  <si>
    <t>blogchina.com</t>
  </si>
  <si>
    <t>沐风网</t>
  </si>
  <si>
    <t>mfcad.com</t>
  </si>
  <si>
    <t>企鹅直播网</t>
  </si>
  <si>
    <t>live.qq.com</t>
  </si>
  <si>
    <t>八卦帝</t>
  </si>
  <si>
    <t>baguadi.com</t>
  </si>
  <si>
    <t>作文网</t>
  </si>
  <si>
    <t>zuowen.yjbys.com</t>
  </si>
  <si>
    <t>DIY硬件</t>
  </si>
  <si>
    <t>diy.pconline.com.cn</t>
  </si>
  <si>
    <t>携程商旅网</t>
  </si>
  <si>
    <t>pages.ctrip.com</t>
  </si>
  <si>
    <t>BT66电影天堂</t>
  </si>
  <si>
    <t>bt66.org</t>
  </si>
  <si>
    <t>四和弦</t>
  </si>
  <si>
    <t>chord4.com</t>
  </si>
  <si>
    <t>酷辣虫</t>
  </si>
  <si>
    <t>colabug.com</t>
  </si>
  <si>
    <t>发表网</t>
  </si>
  <si>
    <t>fabiao.com.cn</t>
  </si>
  <si>
    <t>昆明信息港</t>
  </si>
  <si>
    <t>kunming.cn</t>
  </si>
  <si>
    <t>读特新闻网</t>
  </si>
  <si>
    <t>dutenews.com</t>
  </si>
  <si>
    <t>魔兽世界中文维基</t>
  </si>
  <si>
    <t>warcraft.huijiwiki.com</t>
  </si>
  <si>
    <t>PSN中文</t>
  </si>
  <si>
    <t>psnine.com</t>
  </si>
  <si>
    <t>恒创科技</t>
  </si>
  <si>
    <t>henghost.com</t>
  </si>
  <si>
    <t>好买基金网</t>
  </si>
  <si>
    <t>howbuy.com</t>
  </si>
  <si>
    <t>环球塑化网</t>
  </si>
  <si>
    <t>pvc123.com</t>
  </si>
  <si>
    <t>成都58安居客</t>
  </si>
  <si>
    <t>chengdu.anjuke.com</t>
  </si>
  <si>
    <t>邮乐</t>
  </si>
  <si>
    <t>ule.com</t>
  </si>
  <si>
    <t>会小二</t>
  </si>
  <si>
    <t>huixiaoer.com</t>
  </si>
  <si>
    <t>秒杀网</t>
  </si>
  <si>
    <t>8mob.com</t>
  </si>
  <si>
    <t>靠谱助手网</t>
  </si>
  <si>
    <t>kpzs.com</t>
  </si>
  <si>
    <t>名言通</t>
  </si>
  <si>
    <t>mingyantong.com</t>
  </si>
  <si>
    <t>证券时报</t>
  </si>
  <si>
    <t>epaper.stcn.com</t>
  </si>
  <si>
    <t>搜狗五笔输入法</t>
  </si>
  <si>
    <t>wubi.sogou.com</t>
  </si>
  <si>
    <t>珍爱相亲网</t>
  </si>
  <si>
    <t>city.zhenai.com</t>
  </si>
  <si>
    <t>大智慧</t>
  </si>
  <si>
    <t>gw.com.cn</t>
  </si>
  <si>
    <t>CF穿越火线</t>
  </si>
  <si>
    <t>cf.17173.com</t>
  </si>
  <si>
    <t>江西网络广播电视台</t>
  </si>
  <si>
    <t>jxntv.cn</t>
  </si>
  <si>
    <t>好发表网</t>
  </si>
  <si>
    <t>haofabiao.com</t>
  </si>
  <si>
    <t>顺企网公司</t>
  </si>
  <si>
    <t>b2b.11467.com</t>
  </si>
  <si>
    <t>爱尚无弹窗小说网</t>
  </si>
  <si>
    <t>at88.net</t>
  </si>
  <si>
    <t>新浪时尚_新浪网</t>
  </si>
  <si>
    <t>fashion.sina.com.cn</t>
  </si>
  <si>
    <t>周边趣中考网</t>
  </si>
  <si>
    <t>scgkzx.com</t>
  </si>
  <si>
    <t>新浪微博应用广场</t>
  </si>
  <si>
    <t>app.weibo.com</t>
  </si>
  <si>
    <t>凤凰网_陕西频道</t>
  </si>
  <si>
    <t>sn.ifeng.com</t>
  </si>
  <si>
    <t>在线查询网</t>
  </si>
  <si>
    <t>supfree.net</t>
  </si>
  <si>
    <t>携程酒店网</t>
  </si>
  <si>
    <t>hotels.corporatetravel.ctrip.com</t>
  </si>
  <si>
    <t>乐文免费小说阅读网</t>
  </si>
  <si>
    <t>tcl-xyj.com</t>
  </si>
  <si>
    <t>杭州新闻中心</t>
  </si>
  <si>
    <t>hznews.hangzhou.com.cn</t>
  </si>
  <si>
    <t>魔兽世界中文</t>
  </si>
  <si>
    <t>wowchina.com</t>
  </si>
  <si>
    <t>衡南新闻网</t>
  </si>
  <si>
    <t>hnxnews.com</t>
  </si>
  <si>
    <t>剑灵</t>
  </si>
  <si>
    <t>bns.17173.com</t>
  </si>
  <si>
    <t>联想驱动下载</t>
  </si>
  <si>
    <t>support.lenovo.com.cn</t>
  </si>
  <si>
    <t>新浪图片</t>
  </si>
  <si>
    <t>slide.sports.sina.com.cn</t>
  </si>
  <si>
    <t>小众软件</t>
  </si>
  <si>
    <t>appinn.com</t>
  </si>
  <si>
    <t>畅捷通好会计</t>
  </si>
  <si>
    <t>h.chanjet.com</t>
  </si>
  <si>
    <t>斗战神</t>
  </si>
  <si>
    <t>dzs.qq.com</t>
  </si>
  <si>
    <t>掌桥科研</t>
  </si>
  <si>
    <t>zhangqiaokeyan.com</t>
  </si>
  <si>
    <t>系统天地</t>
  </si>
  <si>
    <t>xitongtiandi.net</t>
  </si>
  <si>
    <t>HTC</t>
  </si>
  <si>
    <t>htc.com</t>
  </si>
  <si>
    <t>培训世界</t>
  </si>
  <si>
    <t>peixunsj.cn</t>
  </si>
  <si>
    <t>Apowersoft中文站网旭科技</t>
  </si>
  <si>
    <t>apowersoft.cn</t>
  </si>
  <si>
    <t>从化神采飞扬网论坛</t>
  </si>
  <si>
    <t>52fy.com</t>
  </si>
  <si>
    <t>迅雷产品中心</t>
  </si>
  <si>
    <t>dl.xunlei.com</t>
  </si>
  <si>
    <t>叶子猪新闻</t>
  </si>
  <si>
    <t>news.yzz.cn</t>
  </si>
  <si>
    <t>山东大学</t>
  </si>
  <si>
    <t>sdu.edu.cn</t>
  </si>
  <si>
    <t>迅捷视频</t>
  </si>
  <si>
    <t>xunjieshipin.com</t>
  </si>
  <si>
    <t>驱动之家-驱动下载频道</t>
  </si>
  <si>
    <t>drivers.mydrivers.com</t>
  </si>
  <si>
    <t>我的旅行记</t>
  </si>
  <si>
    <t>100gsoft.cn</t>
  </si>
  <si>
    <t>江下科技软件商城</t>
  </si>
  <si>
    <t>callmysoft.com</t>
  </si>
  <si>
    <t>360极速浏览器</t>
  </si>
  <si>
    <t>chrome.360.cn</t>
  </si>
  <si>
    <t>9亿软件站</t>
  </si>
  <si>
    <t>91rjz.com</t>
  </si>
  <si>
    <t>running man饭网</t>
  </si>
  <si>
    <t>runningman-fan.com</t>
  </si>
  <si>
    <t>当快软件园</t>
  </si>
  <si>
    <t>downkuai.com</t>
  </si>
  <si>
    <t>选软件网</t>
  </si>
  <si>
    <t>xuanruanjian.com</t>
  </si>
  <si>
    <t>Mac迅雷官网</t>
  </si>
  <si>
    <t>mac.xunlei.com</t>
  </si>
  <si>
    <t>应用公园</t>
  </si>
  <si>
    <t>apppark.cn</t>
  </si>
  <si>
    <t>pe工具箱</t>
  </si>
  <si>
    <t>tongyongpe.com</t>
  </si>
  <si>
    <t>金山词霸产品中心</t>
  </si>
  <si>
    <t>cp.iciba.com</t>
  </si>
  <si>
    <t>好股票网</t>
  </si>
  <si>
    <t>goodgupiao.com</t>
  </si>
  <si>
    <t>深圳市云梯科技官方网站</t>
  </si>
  <si>
    <t>yuntisoft.com</t>
  </si>
  <si>
    <t>七度苹果网</t>
  </si>
  <si>
    <t>7do.net</t>
  </si>
  <si>
    <t>2345王牌浏览器官网</t>
  </si>
  <si>
    <t>app.2345.com</t>
  </si>
  <si>
    <t>文档下载网</t>
  </si>
  <si>
    <t>wendangxiazai.com</t>
  </si>
  <si>
    <t>数码资源网</t>
  </si>
  <si>
    <t>smzy.com</t>
  </si>
  <si>
    <t>历趣IOS频道</t>
  </si>
  <si>
    <t>os-ios.liqucn.com</t>
  </si>
  <si>
    <t>中彩网</t>
  </si>
  <si>
    <t>zhcw.com</t>
  </si>
  <si>
    <t>新浪娱乐</t>
  </si>
  <si>
    <t>ent.sina.com.cn</t>
  </si>
  <si>
    <t>竞彩网</t>
  </si>
  <si>
    <t>sporttery.cn</t>
  </si>
  <si>
    <t>云通讯paas平台</t>
  </si>
  <si>
    <t>e253.com</t>
  </si>
  <si>
    <t>设计本室内装修设计软件下载频道</t>
  </si>
  <si>
    <t>software.shejiben.com</t>
  </si>
  <si>
    <t>吾爱破解论</t>
  </si>
  <si>
    <t>2345天气预报</t>
  </si>
  <si>
    <t>tianqi.2345.com</t>
  </si>
  <si>
    <t>蓝奏云优享版</t>
  </si>
  <si>
    <t>ilanzou.com</t>
  </si>
  <si>
    <t>xshellcn官方网站</t>
  </si>
  <si>
    <t>xshellcn.com</t>
  </si>
  <si>
    <t>新京报网站</t>
  </si>
  <si>
    <t>bjnews.com.cn</t>
  </si>
  <si>
    <t>崩坏学园2</t>
  </si>
  <si>
    <t>mihoyo.com</t>
  </si>
  <si>
    <t>新浪娱乐触屏版</t>
  </si>
  <si>
    <t>ent.sina.cn</t>
  </si>
  <si>
    <t>【官网】UPDF</t>
  </si>
  <si>
    <t>updf.cn</t>
  </si>
  <si>
    <t>网络人远程控制软件</t>
  </si>
  <si>
    <t>netman123.cn</t>
  </si>
  <si>
    <t>53快服</t>
  </si>
  <si>
    <t>53kf.com</t>
  </si>
  <si>
    <t>明点网络软件点评</t>
  </si>
  <si>
    <t>saasruanjian.com</t>
  </si>
  <si>
    <t>快站</t>
  </si>
  <si>
    <t>kuaizhan.com</t>
  </si>
  <si>
    <t>触动精灵官网</t>
  </si>
  <si>
    <t>touchsprite.com</t>
  </si>
  <si>
    <t>起点软件下载</t>
  </si>
  <si>
    <t>cncrk.com</t>
  </si>
  <si>
    <t>ntfsformac官网</t>
  </si>
  <si>
    <t>ntfsformac.cn</t>
  </si>
  <si>
    <t>万兴科技门户网站2</t>
  </si>
  <si>
    <t>wondershare.cn</t>
  </si>
  <si>
    <t>闪电软件园</t>
  </si>
  <si>
    <t>sd173.com</t>
  </si>
  <si>
    <t>迅雷安全中心</t>
  </si>
  <si>
    <t>aq.xunlei.com</t>
  </si>
  <si>
    <t>软件E线下载站</t>
  </si>
  <si>
    <t>edowning.net</t>
  </si>
  <si>
    <t>欧朋浏览器官方网站</t>
  </si>
  <si>
    <t>oupeng.com</t>
  </si>
  <si>
    <t>下厨房</t>
  </si>
  <si>
    <t>xiachufang.com</t>
  </si>
  <si>
    <t>我爱MAC</t>
  </si>
  <si>
    <t>52mac.com</t>
  </si>
  <si>
    <t>福建博思软件</t>
  </si>
  <si>
    <t>bosssoft.com.cn</t>
  </si>
  <si>
    <t>七喜下载站</t>
  </si>
  <si>
    <t>7xdown.com</t>
  </si>
  <si>
    <t>智多星预算软件</t>
  </si>
  <si>
    <t>wisestar.cn</t>
  </si>
  <si>
    <t>289掌游网</t>
  </si>
  <si>
    <t>289.com</t>
  </si>
  <si>
    <t>同花顺金融网</t>
  </si>
  <si>
    <t>stockpage.10jqka.com.cn</t>
  </si>
  <si>
    <t>中国财经信息网</t>
  </si>
  <si>
    <t>cfi.cn</t>
  </si>
  <si>
    <t>洛阳夏冰软件技术</t>
  </si>
  <si>
    <t>jiamisoft.com</t>
  </si>
  <si>
    <t>QQ输入法-皮肤平台</t>
  </si>
  <si>
    <t>skin.qq.pinyin.cn</t>
  </si>
  <si>
    <t>图吧无线频道</t>
  </si>
  <si>
    <t>mobile.mapbar.com</t>
  </si>
  <si>
    <t>百度网盘</t>
  </si>
  <si>
    <t>wangpan.baidu.com</t>
  </si>
  <si>
    <t>上海合合信息科技</t>
  </si>
  <si>
    <t>intsig.com</t>
  </si>
  <si>
    <t>湖南赛云信息科技</t>
  </si>
  <si>
    <t>filezilla.cn</t>
  </si>
  <si>
    <t>中国经济网</t>
  </si>
  <si>
    <t>ce.cn</t>
  </si>
  <si>
    <t>好大夫</t>
  </si>
  <si>
    <t>haodf.com</t>
  </si>
  <si>
    <t>迅雷离线下载</t>
  </si>
  <si>
    <t>lixian.xunlei.com</t>
  </si>
  <si>
    <t>爱红伞中文官网</t>
  </si>
  <si>
    <t>iavira.com</t>
  </si>
  <si>
    <t>博禾医生网</t>
  </si>
  <si>
    <t>bohe.cn</t>
  </si>
  <si>
    <t>962乐游网</t>
  </si>
  <si>
    <t>962.net</t>
  </si>
  <si>
    <t>重庆晨网</t>
  </si>
  <si>
    <t>cqcb.com</t>
  </si>
  <si>
    <t>摄图网</t>
  </si>
  <si>
    <t>699pic.com</t>
  </si>
  <si>
    <t>Anydesk中文网站</t>
  </si>
  <si>
    <t>anydeskchina.cn</t>
  </si>
  <si>
    <t>TT浏览器</t>
  </si>
  <si>
    <t>tt.qq.com</t>
  </si>
  <si>
    <t>faststonecapture截图官网</t>
  </si>
  <si>
    <t>faststonecapture.cn</t>
  </si>
  <si>
    <t>百分浏览器</t>
  </si>
  <si>
    <t>centbrowser.cn</t>
  </si>
  <si>
    <t>王者荣耀</t>
  </si>
  <si>
    <t>pvp.qq.com</t>
  </si>
  <si>
    <t>北京臻创互联</t>
  </si>
  <si>
    <t>parallels.cn</t>
  </si>
  <si>
    <t>驱动人生官网</t>
  </si>
  <si>
    <t>updrv.com</t>
  </si>
  <si>
    <t>土巴兔装修网</t>
  </si>
  <si>
    <t>to8to.com</t>
  </si>
  <si>
    <t>腾讯软件中心</t>
  </si>
  <si>
    <t>pc.qq.com</t>
  </si>
  <si>
    <t>妙手品牌医生</t>
  </si>
  <si>
    <t>miaoshou.net</t>
  </si>
  <si>
    <t>婚礼纪网</t>
  </si>
  <si>
    <t>hunliji.com</t>
  </si>
  <si>
    <t>Adobe国际认证</t>
  </si>
  <si>
    <t>adobeacp.com</t>
  </si>
  <si>
    <t>abbyychina官方网站</t>
  </si>
  <si>
    <t>abbyychina.com</t>
  </si>
  <si>
    <t>DA软件园</t>
  </si>
  <si>
    <t>daruanjian.com</t>
  </si>
  <si>
    <t>快车</t>
  </si>
  <si>
    <t>flashget.com</t>
  </si>
  <si>
    <t>唯彩看球</t>
  </si>
  <si>
    <t>vipc.cn</t>
  </si>
  <si>
    <t>华易算命网</t>
  </si>
  <si>
    <t>k366.com</t>
  </si>
  <si>
    <t>浏览迷</t>
  </si>
  <si>
    <t>liulanmi.com</t>
  </si>
  <si>
    <t>CCleaner系统清理软件中文网站</t>
  </si>
  <si>
    <t>xitongqingli.com</t>
  </si>
  <si>
    <t>yourtuke产品站1</t>
  </si>
  <si>
    <t>superrecovery.cn</t>
  </si>
  <si>
    <t>装修123网</t>
  </si>
  <si>
    <t>zx123.cn</t>
  </si>
  <si>
    <t>5nd音乐网</t>
  </si>
  <si>
    <t>5nd.com</t>
  </si>
  <si>
    <t>一起装修网</t>
  </si>
  <si>
    <t>17house.com</t>
  </si>
  <si>
    <t>中国平安保险</t>
  </si>
  <si>
    <t>pingan.com</t>
  </si>
  <si>
    <t>范文先生网</t>
  </si>
  <si>
    <t>fwsir.com</t>
  </si>
  <si>
    <t>北京市政府</t>
  </si>
  <si>
    <t>beijing.gov.cn</t>
  </si>
  <si>
    <t>名录集</t>
  </si>
  <si>
    <t>mingluji.com</t>
  </si>
  <si>
    <t>理想股票论坛</t>
  </si>
  <si>
    <t>55188.com</t>
  </si>
  <si>
    <t>医联媒体</t>
  </si>
  <si>
    <t>yilianmeiti.com</t>
  </si>
  <si>
    <t>PP助手下载官网</t>
  </si>
  <si>
    <t>pro.25pp.com</t>
  </si>
  <si>
    <t>东方财富网股吧平台</t>
  </si>
  <si>
    <t>mguba.eastmoney.com</t>
  </si>
  <si>
    <t>Beyond Compare 5</t>
  </si>
  <si>
    <t>beyondcompare.cc</t>
  </si>
  <si>
    <t>鲲鹏社区官网</t>
  </si>
  <si>
    <t>hikunpeng.com</t>
  </si>
  <si>
    <t>优优教程网</t>
  </si>
  <si>
    <t>uiiiuiii.com</t>
  </si>
  <si>
    <t>文件对比软件</t>
  </si>
  <si>
    <t>beyondcomparepro.com</t>
  </si>
  <si>
    <t>39药品通</t>
  </si>
  <si>
    <t>wapypk.39.net</t>
  </si>
  <si>
    <t>叩富网</t>
  </si>
  <si>
    <t>cofool.com</t>
  </si>
  <si>
    <t>红蜘蛛多媒体网络教室软件</t>
  </si>
  <si>
    <t>3000soft.net</t>
  </si>
  <si>
    <t>中国宠物网</t>
  </si>
  <si>
    <t>vso.com.cn</t>
  </si>
  <si>
    <t>同步推</t>
  </si>
  <si>
    <t>tui.tongbu.com</t>
  </si>
  <si>
    <t>叩富网同城理财</t>
  </si>
  <si>
    <t>licai.cofool.com</t>
  </si>
  <si>
    <t>Fastreport中文网</t>
  </si>
  <si>
    <t>fastreportcn.com</t>
  </si>
  <si>
    <t>相约久久旅游网站</t>
  </si>
  <si>
    <t>meet99.com</t>
  </si>
  <si>
    <t>WEB主题公园</t>
  </si>
  <si>
    <t>themepark.com.cn</t>
  </si>
  <si>
    <t>金融界</t>
  </si>
  <si>
    <t>jrj.com.cn</t>
  </si>
  <si>
    <t>租租车网</t>
  </si>
  <si>
    <t>zuzuche.com</t>
  </si>
  <si>
    <t>春雨医生</t>
  </si>
  <si>
    <t>chunyuyisheng.com</t>
  </si>
  <si>
    <t>图吧中国</t>
  </si>
  <si>
    <t>mpoi.mapbar.com</t>
  </si>
  <si>
    <t>全民健康网</t>
  </si>
  <si>
    <t>qm120.com</t>
  </si>
  <si>
    <t>pdf压缩</t>
  </si>
  <si>
    <t>99pdf.com</t>
  </si>
  <si>
    <t>财富号</t>
  </si>
  <si>
    <t>caifuhao.eastmoney.com</t>
  </si>
  <si>
    <t>凤凰财经</t>
  </si>
  <si>
    <t>finance.ifeng.com</t>
  </si>
  <si>
    <t>种子音乐</t>
  </si>
  <si>
    <t>zz123.com</t>
  </si>
  <si>
    <t>伊秀女性网</t>
  </si>
  <si>
    <t>yxlady.com</t>
  </si>
  <si>
    <t>南方财富网站</t>
  </si>
  <si>
    <t>southmoney.com</t>
  </si>
  <si>
    <t>中金在线</t>
  </si>
  <si>
    <t>cnfol.com</t>
  </si>
  <si>
    <t>惠普中国</t>
  </si>
  <si>
    <t>hp.com</t>
  </si>
  <si>
    <t>中国黄金投资网</t>
  </si>
  <si>
    <t>cngold.org</t>
  </si>
  <si>
    <t>开心盒子PDF官网</t>
  </si>
  <si>
    <t>pdf.cn</t>
  </si>
  <si>
    <t>UltraEdit中文网站</t>
  </si>
  <si>
    <t>ultraeditcn.com</t>
  </si>
  <si>
    <t>用友YonSuite</t>
  </si>
  <si>
    <t>yonsuite.com</t>
  </si>
  <si>
    <t>山东山大华天软件</t>
  </si>
  <si>
    <t>hoteamsoft.com</t>
  </si>
  <si>
    <t>掘金技术社区</t>
  </si>
  <si>
    <t>juejin.im</t>
  </si>
  <si>
    <t>39健康网疾病百科</t>
  </si>
  <si>
    <t>wapjbk.39.net</t>
  </si>
  <si>
    <t>ZAKER</t>
  </si>
  <si>
    <t>myzaker.com</t>
  </si>
  <si>
    <t>名医在线</t>
  </si>
  <si>
    <t>myzx.cn</t>
  </si>
  <si>
    <t>云之家</t>
  </si>
  <si>
    <t>kdweibo.com</t>
  </si>
  <si>
    <t>mod快速开发框架</t>
  </si>
  <si>
    <t>modstart.com</t>
  </si>
  <si>
    <t>善用佳软</t>
  </si>
  <si>
    <t>xbeta.info</t>
  </si>
  <si>
    <t>麦芽地</t>
  </si>
  <si>
    <t>maiyadi.com</t>
  </si>
  <si>
    <t>好特网</t>
  </si>
  <si>
    <t>haote.com</t>
  </si>
  <si>
    <t>Chrome App官方下载</t>
  </si>
  <si>
    <t>chromeapp.net</t>
  </si>
  <si>
    <t>EUI</t>
  </si>
  <si>
    <t>eui.cc</t>
  </si>
  <si>
    <t>深圳市易仓科技</t>
  </si>
  <si>
    <t>eccang.com</t>
  </si>
  <si>
    <t>Mac 苹果软件</t>
  </si>
  <si>
    <t>soft.macx.cn</t>
  </si>
  <si>
    <t>畅享网</t>
  </si>
  <si>
    <t>vsharing.com</t>
  </si>
  <si>
    <t>太平洋电脑网iPhone软件频道</t>
  </si>
  <si>
    <t>ios.pconline.com.cn</t>
  </si>
  <si>
    <t>深圳拓步软件公司</t>
  </si>
  <si>
    <t>toberp.com</t>
  </si>
  <si>
    <t>珠海软件定制公司</t>
  </si>
  <si>
    <t>ipad-crm.cn</t>
  </si>
  <si>
    <t>上海助君网络科技</t>
  </si>
  <si>
    <t>cnjunnet.cn</t>
  </si>
  <si>
    <t>吾爱漏洞</t>
  </si>
  <si>
    <t>52bug.cn</t>
  </si>
  <si>
    <t>网卡MAC码分析</t>
  </si>
  <si>
    <t>mac.51240.com</t>
  </si>
  <si>
    <t>UC云</t>
  </si>
  <si>
    <t>yun.uc.cn</t>
  </si>
  <si>
    <t>小飞兔软件</t>
  </si>
  <si>
    <t>xftsoft.com</t>
  </si>
  <si>
    <t>全网流量总和左</t>
  </si>
  <si>
    <t>全网流量总和右</t>
  </si>
  <si>
    <t>站长之家平均流量</t>
  </si>
  <si>
    <t>百度来路左</t>
  </si>
  <si>
    <t>百度来路右</t>
  </si>
  <si>
    <t>爱站平均流量</t>
  </si>
  <si>
    <t>壮游奇迹MU特色专区</t>
  </si>
  <si>
    <t>1000uc.com</t>
  </si>
  <si>
    <t>千助北京网站建设公司</t>
  </si>
  <si>
    <t>1000zhu.com</t>
  </si>
  <si>
    <t>公安部交通安全综合服务管理平台</t>
  </si>
  <si>
    <t>122.gov.cn</t>
  </si>
  <si>
    <t>17173</t>
  </si>
  <si>
    <t>一起吧</t>
  </si>
  <si>
    <t>178good.com</t>
  </si>
  <si>
    <t>中国电子网</t>
  </si>
  <si>
    <t>21ic.com</t>
  </si>
  <si>
    <t>卫生人才网</t>
  </si>
  <si>
    <t>21wecan.com</t>
  </si>
  <si>
    <t>PP助手</t>
  </si>
  <si>
    <t>25pp.com</t>
  </si>
  <si>
    <t>站长资源平台</t>
  </si>
  <si>
    <t>2898.com</t>
  </si>
  <si>
    <t>wordpress主题</t>
  </si>
  <si>
    <t>2zzt.com</t>
  </si>
  <si>
    <t>3158招商加盟网站</t>
  </si>
  <si>
    <t>3158.cn</t>
  </si>
  <si>
    <t>精易论坛</t>
  </si>
  <si>
    <t>3600gz.cn</t>
  </si>
  <si>
    <t>3D建模网</t>
  </si>
  <si>
    <t>3dzmw.cn</t>
  </si>
  <si>
    <t>中金在线网</t>
  </si>
  <si>
    <t>3g.cnfol.com</t>
  </si>
  <si>
    <t>三元整形</t>
  </si>
  <si>
    <t>3ua.cn</t>
  </si>
  <si>
    <t>日本通网站</t>
  </si>
  <si>
    <t>517japan.com</t>
  </si>
  <si>
    <t>517漫画网</t>
  </si>
  <si>
    <t>517mh.net</t>
  </si>
  <si>
    <t>医生在线</t>
  </si>
  <si>
    <t>51daifu.com</t>
  </si>
  <si>
    <t>5577我机网</t>
  </si>
  <si>
    <t>5577.com</t>
  </si>
  <si>
    <t>火爆化妆品招商网</t>
  </si>
  <si>
    <t>5588.tv</t>
  </si>
  <si>
    <t>火爆食品饮料招商网</t>
  </si>
  <si>
    <t>5888.tv</t>
  </si>
  <si>
    <t>易玩网</t>
  </si>
  <si>
    <t>5eplay.com</t>
  </si>
  <si>
    <t>淘米网</t>
  </si>
  <si>
    <t>61.com</t>
  </si>
  <si>
    <t>品牌童装网</t>
  </si>
  <si>
    <t>61ef.cn</t>
  </si>
  <si>
    <t>保定市遨游计算机服务</t>
  </si>
  <si>
    <t>75ix.com</t>
  </si>
  <si>
    <t>78动漫</t>
  </si>
  <si>
    <t>78dm.net</t>
  </si>
  <si>
    <t>时代海钓网</t>
  </si>
  <si>
    <t>7sdn.com</t>
  </si>
  <si>
    <t>奇兔刷机</t>
  </si>
  <si>
    <t>7to.cn</t>
  </si>
  <si>
    <t>户外资料网</t>
  </si>
  <si>
    <t>8264.com</t>
  </si>
  <si>
    <t>巴适棋牌</t>
  </si>
  <si>
    <t>8844028.com</t>
  </si>
  <si>
    <t>91单机网</t>
  </si>
  <si>
    <t>91danji.com</t>
  </si>
  <si>
    <t>96软件下载站</t>
  </si>
  <si>
    <t>96xz.com</t>
  </si>
  <si>
    <t>中国好酒招商网</t>
  </si>
  <si>
    <t>9998.tv</t>
  </si>
  <si>
    <t>中国农业银行</t>
  </si>
  <si>
    <t>abchina.com</t>
  </si>
  <si>
    <t>Ace投屏</t>
  </si>
  <si>
    <t>ace-bot.com</t>
  </si>
  <si>
    <t>迅雷会员</t>
  </si>
  <si>
    <t>act.vip.xunlei.com</t>
  </si>
  <si>
    <t>阿迪达斯官方商城</t>
  </si>
  <si>
    <t>adidas.com.cn</t>
  </si>
  <si>
    <t>中国安徽</t>
  </si>
  <si>
    <t>ah.gov.cn</t>
  </si>
  <si>
    <t>宿州市人民政府门户网</t>
  </si>
  <si>
    <t>ahsz.gov.cn</t>
  </si>
  <si>
    <t>安徽网络电视台</t>
  </si>
  <si>
    <t>ahtv.cn</t>
  </si>
  <si>
    <t>安徽天祥检验检测</t>
  </si>
  <si>
    <t>ahtxtest.com</t>
  </si>
  <si>
    <t>安徽网</t>
  </si>
  <si>
    <t>ahwang.cn</t>
  </si>
  <si>
    <t>上海发御电子商务</t>
  </si>
  <si>
    <t>ai1069.net</t>
  </si>
  <si>
    <t>永恒之塔私服基地</t>
  </si>
  <si>
    <t>aionjd.com</t>
  </si>
  <si>
    <t>艾奇软件</t>
  </si>
  <si>
    <t>aiqisoft.com</t>
  </si>
  <si>
    <t>中国国际航空公司网站</t>
  </si>
  <si>
    <t>airchina.com.cn</t>
  </si>
  <si>
    <t>大翼科技官网</t>
  </si>
  <si>
    <t>airdwing.com</t>
  </si>
  <si>
    <t>爱思想</t>
  </si>
  <si>
    <t>aisixiang.com</t>
  </si>
  <si>
    <t>云雀科技平台</t>
  </si>
  <si>
    <t>alauda.cn</t>
  </si>
  <si>
    <t>中国证券投资基金业协会</t>
  </si>
  <si>
    <t>amac.org.cn</t>
  </si>
  <si>
    <t>鞍山市人民政府</t>
  </si>
  <si>
    <t>anshan.gov.cn</t>
  </si>
  <si>
    <t>安卓市场</t>
  </si>
  <si>
    <t>apk.hiapk.com</t>
  </si>
  <si>
    <t>深圳市点晴信息技术</t>
  </si>
  <si>
    <t>app66.cn</t>
  </si>
  <si>
    <t>爱布斯APP平台</t>
  </si>
  <si>
    <t>apps123.cn</t>
  </si>
  <si>
    <t>ARP联盟</t>
  </si>
  <si>
    <t>arpun.com</t>
  </si>
  <si>
    <t>百度应用</t>
  </si>
  <si>
    <t>as.baidu.com</t>
  </si>
  <si>
    <t>杭州奥格工业设计</t>
  </si>
  <si>
    <t>augid.cn</t>
  </si>
  <si>
    <t>上海昊量光电设备</t>
  </si>
  <si>
    <t>auniontech.com</t>
  </si>
  <si>
    <t>AVEVA 剑维软件</t>
  </si>
  <si>
    <t>aveva.cn</t>
  </si>
  <si>
    <t>中国B2B交易平台</t>
  </si>
  <si>
    <t>b2b.biz</t>
  </si>
  <si>
    <t>百家号</t>
  </si>
  <si>
    <t>baijiahao.baidu.com</t>
  </si>
  <si>
    <t>百度视频搜索网站</t>
  </si>
  <si>
    <t>baishi.baidu.com</t>
  </si>
  <si>
    <t>半岛网</t>
  </si>
  <si>
    <t>bandao.cn</t>
  </si>
  <si>
    <t>同花顺金融网站</t>
  </si>
  <si>
    <t>basic.10jqka.com.cn</t>
  </si>
  <si>
    <t>猎豹浏览器官方论坛</t>
  </si>
  <si>
    <t>bbs.liebao.cn</t>
  </si>
  <si>
    <t>北森</t>
  </si>
  <si>
    <t>beisen.com</t>
  </si>
  <si>
    <t>中国蚌埠门户网</t>
  </si>
  <si>
    <t>bengbu.gov.cn</t>
  </si>
  <si>
    <t>昆山市北方货物运输</t>
  </si>
  <si>
    <t>bf-js.cn</t>
  </si>
  <si>
    <t>东莞市威拿机械设备</t>
  </si>
  <si>
    <t>biaoyangtech.cn</t>
  </si>
  <si>
    <t>毕方智能科技</t>
  </si>
  <si>
    <t>bifangtech.com</t>
  </si>
  <si>
    <t>哔哩哔哩弹幕视频网</t>
  </si>
  <si>
    <t>人民网_北京频道</t>
  </si>
  <si>
    <t>bj.people.com.cn</t>
  </si>
  <si>
    <t>北京合合科技官网</t>
  </si>
  <si>
    <t>bjapp.cn</t>
  </si>
  <si>
    <t>京报网</t>
  </si>
  <si>
    <t>bjd.com.cn</t>
  </si>
  <si>
    <t>帮考网</t>
  </si>
  <si>
    <t>bkw.cn</t>
  </si>
  <si>
    <t>快眼小说搜索网</t>
  </si>
  <si>
    <t>booksky.cc</t>
  </si>
  <si>
    <t>bootstrap.cn</t>
  </si>
  <si>
    <t>指尖官网</t>
  </si>
  <si>
    <t>box.18183.com</t>
  </si>
  <si>
    <t>别克</t>
  </si>
  <si>
    <t>buick.com.cn</t>
  </si>
  <si>
    <t>北京联合大学</t>
  </si>
  <si>
    <t>buu.edu.cn</t>
  </si>
  <si>
    <t>笔下文学</t>
  </si>
  <si>
    <t>bxwx.tv</t>
  </si>
  <si>
    <t>湖南北云科技</t>
  </si>
  <si>
    <t>bynav.cn</t>
  </si>
  <si>
    <t>机械狗 CAD2D3D 三维模型免费下载</t>
  </si>
  <si>
    <t>cad2d3d.com</t>
  </si>
  <si>
    <t>蚕豆网</t>
  </si>
  <si>
    <t>candou.com</t>
  </si>
  <si>
    <t>卡地亚</t>
  </si>
  <si>
    <t>cartier.cn</t>
  </si>
  <si>
    <t>视界网</t>
  </si>
  <si>
    <t>cbg.cn</t>
  </si>
  <si>
    <t>中国建设银行网站</t>
  </si>
  <si>
    <t>ccb.com.cn</t>
  </si>
  <si>
    <t>中央纪委监察部网站</t>
  </si>
  <si>
    <t>ccdi.gov.cn</t>
  </si>
  <si>
    <t>中共中央党校网站</t>
  </si>
  <si>
    <t>ccps.gov.cn</t>
  </si>
  <si>
    <t>中国娱乐资讯网</t>
  </si>
  <si>
    <t>cecet.cn</t>
  </si>
  <si>
    <t>铁甲工程机械网</t>
  </si>
  <si>
    <t>cehome.com</t>
  </si>
  <si>
    <t>南京讯搜信息技术</t>
  </si>
  <si>
    <t>centso.cn</t>
  </si>
  <si>
    <t>查股网站</t>
  </si>
  <si>
    <t>chaguwang.cn</t>
  </si>
  <si>
    <t>畅游</t>
  </si>
  <si>
    <t>changyou.com</t>
  </si>
  <si>
    <t>东莞市诚诺自动化设备</t>
  </si>
  <si>
    <t>chengnuo-ut.com</t>
  </si>
  <si>
    <t>车讯网</t>
  </si>
  <si>
    <t>chexun.com</t>
  </si>
  <si>
    <t>长隆旅游</t>
  </si>
  <si>
    <t>chimelong.com</t>
  </si>
  <si>
    <t>中华网</t>
  </si>
  <si>
    <t>china.com</t>
  </si>
  <si>
    <t>中国汽车网</t>
  </si>
  <si>
    <t>chinacar.com.cn</t>
  </si>
  <si>
    <t>中华橱柜网</t>
  </si>
  <si>
    <t>chinachugui.com</t>
  </si>
  <si>
    <t>学宝教育</t>
  </si>
  <si>
    <t>chinagwy.org</t>
  </si>
  <si>
    <t>中国新闻网</t>
  </si>
  <si>
    <t>chinanews.com.cn</t>
  </si>
  <si>
    <t>中国纸业网</t>
  </si>
  <si>
    <t>chinapaper.net</t>
  </si>
  <si>
    <t>中国侨网</t>
  </si>
  <si>
    <t>chinaqw.com</t>
  </si>
  <si>
    <t>中国铁路商务网</t>
  </si>
  <si>
    <t>china-railway.com.cn</t>
  </si>
  <si>
    <t>中国时尚品牌网</t>
  </si>
  <si>
    <t>chinasspp.com</t>
  </si>
  <si>
    <t>谷歌浏览器下载安装2025最新版</t>
  </si>
  <si>
    <t>chrome64.com</t>
  </si>
  <si>
    <t>滁州市政府门户网站</t>
  </si>
  <si>
    <t>chuzhou.gov.cn</t>
  </si>
  <si>
    <t>瓷都算命网站</t>
  </si>
  <si>
    <t>ci-du.com</t>
  </si>
  <si>
    <t>长江网站</t>
  </si>
  <si>
    <t>cjn.cn</t>
  </si>
  <si>
    <t>深圳市创佳威智能设备</t>
  </si>
  <si>
    <t>cjwkj.com</t>
  </si>
  <si>
    <t>ACDSee 图片软件</t>
  </si>
  <si>
    <t>cn.acdsee.com</t>
  </si>
  <si>
    <t>中国航空旅游网</t>
  </si>
  <si>
    <t>cnair.com</t>
  </si>
  <si>
    <t>中国艺术品网</t>
  </si>
  <si>
    <t>cnarts.net</t>
  </si>
  <si>
    <t>中国惠农网</t>
  </si>
  <si>
    <t>cnhnb.com</t>
  </si>
  <si>
    <t>荆楚网</t>
  </si>
  <si>
    <t>cnhubei.com</t>
  </si>
  <si>
    <t>IT博客</t>
  </si>
  <si>
    <t>cnitblog.com</t>
  </si>
  <si>
    <t>中国证券网</t>
  </si>
  <si>
    <t>cnstock.com</t>
  </si>
  <si>
    <t>沃特碧们的Colg</t>
  </si>
  <si>
    <t>colg.cn</t>
  </si>
  <si>
    <t>最高人民法院政务网站</t>
  </si>
  <si>
    <t>court.gov.cn</t>
  </si>
  <si>
    <t>人民门户网站</t>
  </si>
  <si>
    <t>cpta.com.cn</t>
  </si>
  <si>
    <t>德州精锐石油机械</t>
  </si>
  <si>
    <t>crackpm.com</t>
  </si>
  <si>
    <t>长沙市勘察设计协会</t>
  </si>
  <si>
    <t>cskcsj.com</t>
  </si>
  <si>
    <t>长沙理工大学网站</t>
  </si>
  <si>
    <t>csust.edu.cn</t>
  </si>
  <si>
    <t>三峡大学</t>
  </si>
  <si>
    <t>ctgu.edu.cn</t>
  </si>
  <si>
    <t>酷悠双语网</t>
  </si>
  <si>
    <t>cuyoo.com</t>
  </si>
  <si>
    <t>西南师范大学</t>
  </si>
  <si>
    <t>cwnu.edu.cn</t>
  </si>
  <si>
    <t>鬼吹灯</t>
  </si>
  <si>
    <t>cxbz958.com</t>
  </si>
  <si>
    <t>平刀模切机专业厂家</t>
  </si>
  <si>
    <t>czpytkj.com</t>
  </si>
  <si>
    <t>大金空调</t>
  </si>
  <si>
    <t>daikin-china.com.cn</t>
  </si>
  <si>
    <t>大麦网</t>
  </si>
  <si>
    <t>damai.cn</t>
  </si>
  <si>
    <t>DAV数字音视工程网</t>
  </si>
  <si>
    <t>dav01.com</t>
  </si>
  <si>
    <t>天天向上学习</t>
  </si>
  <si>
    <t>daydayup123.com</t>
  </si>
  <si>
    <t>基金速查网</t>
  </si>
  <si>
    <t>dayfund.cn</t>
  </si>
  <si>
    <t>东北网</t>
  </si>
  <si>
    <t>dbw.cn</t>
  </si>
  <si>
    <t>成都市鼎创精工科技</t>
  </si>
  <si>
    <t>dcjgkj.com</t>
  </si>
  <si>
    <t>丁丁网</t>
  </si>
  <si>
    <t>ddmap.com</t>
  </si>
  <si>
    <t>德邦物流</t>
  </si>
  <si>
    <t>deppon.com</t>
  </si>
  <si>
    <t>上海软件定制开发</t>
  </si>
  <si>
    <t>develop-erp.cn</t>
  </si>
  <si>
    <t>北京德威特官网</t>
  </si>
  <si>
    <t>devot.com</t>
  </si>
  <si>
    <t>东风乘用车公司</t>
  </si>
  <si>
    <t>dfpv.com.cn</t>
  </si>
  <si>
    <t>江苏东华测试技术</t>
  </si>
  <si>
    <t>dhtopology.com</t>
  </si>
  <si>
    <t>电玩男网</t>
  </si>
  <si>
    <t>dianwannan.com</t>
  </si>
  <si>
    <t>百度词典</t>
  </si>
  <si>
    <t>dict.baidu.com</t>
  </si>
  <si>
    <t>点点软件园</t>
  </si>
  <si>
    <t>didown.com</t>
  </si>
  <si>
    <t>帝古斯阻燃电线品牌官网</t>
  </si>
  <si>
    <t>diogus.cn</t>
  </si>
  <si>
    <t>第一应用</t>
  </si>
  <si>
    <t>diyiapp.com</t>
  </si>
  <si>
    <t>铭睿知识产权代理</t>
  </si>
  <si>
    <t>dlmrkj.cn</t>
  </si>
  <si>
    <t>大连智慧渔业科技—智慧渔业物联网综合服务商</t>
  </si>
  <si>
    <t>dlsf-tech.com</t>
  </si>
  <si>
    <t>上海东蒙机械工程设备</t>
  </si>
  <si>
    <t>dmcstech.com</t>
  </si>
  <si>
    <t>地下城与勇士（DNF)</t>
  </si>
  <si>
    <t>dnf.qq.com</t>
  </si>
  <si>
    <t>大连东方外国语学院</t>
  </si>
  <si>
    <t>docfl.com.cn</t>
  </si>
  <si>
    <t>东营大众网</t>
  </si>
  <si>
    <t>dongying.dzwww.com</t>
  </si>
  <si>
    <t>17173Dota专题站</t>
  </si>
  <si>
    <t>dota.17173.com</t>
  </si>
  <si>
    <t>斗破苍穹小说网</t>
  </si>
  <si>
    <t>doupocangqiong1.com</t>
  </si>
  <si>
    <t>电脑之家下载中心</t>
  </si>
  <si>
    <t>download.pchome.net</t>
  </si>
  <si>
    <t>速达软件下载中心</t>
  </si>
  <si>
    <t>download.superdata.com.cn</t>
  </si>
  <si>
    <t>杭州迪普科技</t>
  </si>
  <si>
    <t>dptechnology.net</t>
  </si>
  <si>
    <t>百度小说</t>
  </si>
  <si>
    <t>dushu.baidu.com</t>
  </si>
  <si>
    <t>Dyson</t>
  </si>
  <si>
    <t>dyson.cn</t>
  </si>
  <si>
    <t>大众网</t>
  </si>
  <si>
    <t>dzwww.com</t>
  </si>
  <si>
    <t>北京亿众互动科技</t>
  </si>
  <si>
    <t>easy-all.net</t>
  </si>
  <si>
    <t>北京易思卓越科技</t>
  </si>
  <si>
    <t>easyroid.com</t>
  </si>
  <si>
    <t>锐思博创e测试平台</t>
  </si>
  <si>
    <t>eceshi.com</t>
  </si>
  <si>
    <t>中信金融网</t>
  </si>
  <si>
    <t>ecitic.com</t>
  </si>
  <si>
    <t>百度推广客户端</t>
  </si>
  <si>
    <t>editor.baidu.com</t>
  </si>
  <si>
    <t>U+新工科智慧云</t>
  </si>
  <si>
    <t>eecqst.com</t>
  </si>
  <si>
    <t>深圳市恩基利尔科技</t>
  </si>
  <si>
    <t>engi360.com</t>
  </si>
  <si>
    <t>黑龙江新闻资讯网</t>
  </si>
  <si>
    <t>epaper.hljnews.cn</t>
  </si>
  <si>
    <t>易考吧</t>
  </si>
  <si>
    <t>etest8.com</t>
  </si>
  <si>
    <t>深圳市亿特软件技术</t>
  </si>
  <si>
    <t>et-soft.com.cn</t>
  </si>
  <si>
    <t>Excel常用在线工具</t>
  </si>
  <si>
    <t>excelfb.com</t>
  </si>
  <si>
    <t>超能网</t>
  </si>
  <si>
    <t>expreview.com</t>
  </si>
  <si>
    <t>法邦网</t>
  </si>
  <si>
    <t>fabao365.com</t>
  </si>
  <si>
    <t>发表情</t>
  </si>
  <si>
    <t>fabiaoqing.com</t>
  </si>
  <si>
    <t>小番茄解压缩官网</t>
  </si>
  <si>
    <t>fanqiesoft.cn</t>
  </si>
  <si>
    <t>百度在线翻译</t>
  </si>
  <si>
    <t>fanyi.baidu.com</t>
  </si>
  <si>
    <t>中国第一汽车集团公司</t>
  </si>
  <si>
    <t>faw.com.cn</t>
  </si>
  <si>
    <t>热点新闻</t>
  </si>
  <si>
    <t>feiliu.com</t>
  </si>
  <si>
    <t>凤网女性网</t>
  </si>
  <si>
    <t>fengone.com</t>
  </si>
  <si>
    <t>鱼C工作室</t>
  </si>
  <si>
    <t>fishc.com</t>
  </si>
  <si>
    <t>福建体彩网</t>
  </si>
  <si>
    <t>fjtc.com.cn</t>
  </si>
  <si>
    <t>汇讯通官网</t>
  </si>
  <si>
    <t>forexqq.com</t>
  </si>
  <si>
    <t>福田集团</t>
  </si>
  <si>
    <t>foton.com.cn</t>
  </si>
  <si>
    <t>中国传统颜色手册 Chinese Color Cheatsheet</t>
  </si>
  <si>
    <t>foxhello.com</t>
  </si>
  <si>
    <t>法语助手</t>
  </si>
  <si>
    <t>frdic.com</t>
  </si>
  <si>
    <t>智记财税资讯综合服务平台</t>
  </si>
  <si>
    <t>freeacc.cn</t>
  </si>
  <si>
    <t>潮州市路路通软件技术</t>
  </si>
  <si>
    <t>freewaysoft.com</t>
  </si>
  <si>
    <t>小料配料系统生产厂家</t>
  </si>
  <si>
    <t>fs-rj.cn</t>
  </si>
  <si>
    <t>福州新闻网</t>
  </si>
  <si>
    <t>fznews.com.cn</t>
  </si>
  <si>
    <t>广汽丰田</t>
  </si>
  <si>
    <t>gac-toyota.com.cn</t>
  </si>
  <si>
    <t>虫虫钢琴</t>
  </si>
  <si>
    <t>gangqinpu.com</t>
  </si>
  <si>
    <t>广外邮件系统</t>
  </si>
  <si>
    <t>gdufs.edu.cn</t>
  </si>
  <si>
    <t>环球雅思</t>
  </si>
  <si>
    <t>gedu.org</t>
  </si>
  <si>
    <t>吉利汽车</t>
  </si>
  <si>
    <t>geely.com</t>
  </si>
  <si>
    <t>格子啦网</t>
  </si>
  <si>
    <t>gezila.com</t>
  </si>
  <si>
    <t>钢结构CAD</t>
  </si>
  <si>
    <t>gjgcad.cn</t>
  </si>
  <si>
    <t>国家信访局网</t>
  </si>
  <si>
    <t>gjxfj.gov.cn</t>
  </si>
  <si>
    <t>国药国瑞泰</t>
  </si>
  <si>
    <t>glory-tech.com</t>
  </si>
  <si>
    <t>德语助手</t>
  </si>
  <si>
    <t>godic.net</t>
  </si>
  <si>
    <t>多彩贵州网</t>
  </si>
  <si>
    <t>gog.cn</t>
  </si>
  <si>
    <t>GO系列安卓应用官方网站</t>
  </si>
  <si>
    <t>gomo.com</t>
  </si>
  <si>
    <t>上海金慧软件</t>
  </si>
  <si>
    <t>goodwaysoft.com</t>
  </si>
  <si>
    <t>谷歌中国网站</t>
  </si>
  <si>
    <t>google.com.hk</t>
  </si>
  <si>
    <t>哲安哲程软件定制及CRM和ERP软件开发</t>
  </si>
  <si>
    <t>google-software.cn</t>
  </si>
  <si>
    <t>GPS之家</t>
  </si>
  <si>
    <t>gpsuu.com</t>
  </si>
  <si>
    <t>win7系统下载论坛</t>
  </si>
  <si>
    <t>gqgtpc.com</t>
  </si>
  <si>
    <t>绿色软件</t>
  </si>
  <si>
    <t>greenxf.com</t>
  </si>
  <si>
    <t>安卓网安卓教程</t>
  </si>
  <si>
    <t>guide.hiapk.com</t>
  </si>
  <si>
    <t>海口市政府门户网</t>
  </si>
  <si>
    <t>haikou.gov.cn</t>
  </si>
  <si>
    <t>海南省人民政府网</t>
  </si>
  <si>
    <t>hainan.gov.cn</t>
  </si>
  <si>
    <t>海外网</t>
  </si>
  <si>
    <t>haiwainet.cn</t>
  </si>
  <si>
    <t>韩剧啦</t>
  </si>
  <si>
    <t>hanjula.com</t>
  </si>
  <si>
    <t>百度汉语</t>
  </si>
  <si>
    <t>hanyu.baidu.com</t>
  </si>
  <si>
    <t>百度安全号码认证平台</t>
  </si>
  <si>
    <t>haoma.baidu.com</t>
  </si>
  <si>
    <t>欢乐谷连锁主题公园</t>
  </si>
  <si>
    <t>happyvalley.cn</t>
  </si>
  <si>
    <t>河南工业大学</t>
  </si>
  <si>
    <t>haut.edu.cn</t>
  </si>
  <si>
    <t>湖北省教育考试</t>
  </si>
  <si>
    <t>hbea.edu.cn</t>
  </si>
  <si>
    <t>河北庄水科技</t>
  </si>
  <si>
    <t>hbzskj3d.com</t>
  </si>
  <si>
    <t>常州宝弘电子商务</t>
  </si>
  <si>
    <t>hellocodesys.cn</t>
  </si>
  <si>
    <t>河南一百度</t>
  </si>
  <si>
    <t>henan100.com</t>
  </si>
  <si>
    <t>合肥工业大学电子邮件系统</t>
  </si>
  <si>
    <t>hfut.edu.cn</t>
  </si>
  <si>
    <t>武汉擎语创新科技</t>
  </si>
  <si>
    <t>hiencode.com</t>
  </si>
  <si>
    <t>高贝电子品牌-海壳</t>
  </si>
  <si>
    <t>hishell.cn</t>
  </si>
  <si>
    <t>沪江英语</t>
  </si>
  <si>
    <t>hjenglish.com</t>
  </si>
  <si>
    <t>海口网</t>
  </si>
  <si>
    <t>hkwb.net</t>
  </si>
  <si>
    <t>黑龙江省人民政府网</t>
  </si>
  <si>
    <t>hlj.gov.cn</t>
  </si>
  <si>
    <t>河南网络电视台（大象网）</t>
  </si>
  <si>
    <t>hntv.tv</t>
  </si>
  <si>
    <t>湖南科技大学网</t>
  </si>
  <si>
    <t>hnust.edu.cn</t>
  </si>
  <si>
    <t>定子组装线</t>
  </si>
  <si>
    <t>hongke868.com</t>
  </si>
  <si>
    <t>中韩词典</t>
  </si>
  <si>
    <t>hotdic.com</t>
  </si>
  <si>
    <t>乐居</t>
  </si>
  <si>
    <t>house.leju.com</t>
  </si>
  <si>
    <t>教师网</t>
  </si>
  <si>
    <t>hteacher.net</t>
  </si>
  <si>
    <t>淮阳网</t>
  </si>
  <si>
    <t>huaiyangnews.com</t>
  </si>
  <si>
    <t>广州幻境科技</t>
  </si>
  <si>
    <t>huantek.com</t>
  </si>
  <si>
    <t>成都慧翼科技</t>
  </si>
  <si>
    <t>huiyikj.com</t>
  </si>
  <si>
    <t>华夏银行网站</t>
  </si>
  <si>
    <t>hxb.com.cn</t>
  </si>
  <si>
    <t>云南华西人防设备官方网站</t>
  </si>
  <si>
    <t>hxccad.com</t>
  </si>
  <si>
    <t>衡阳房地产信息网</t>
  </si>
  <si>
    <t>hyfdcw.com</t>
  </si>
  <si>
    <t>弘源襄阳碳化硅特种陶瓷</t>
  </si>
  <si>
    <t>hysic.com.cn</t>
  </si>
  <si>
    <t>华东政法大学考研网</t>
  </si>
  <si>
    <t>hzkaoyan.com</t>
  </si>
  <si>
    <t>杭州协友软件</t>
  </si>
  <si>
    <t>hzyonyouoa.com</t>
  </si>
  <si>
    <t>北京APP定制</t>
  </si>
  <si>
    <t>hzzcsoft.cn</t>
  </si>
  <si>
    <t>爱查快递</t>
  </si>
  <si>
    <t>ickd.cn</t>
  </si>
  <si>
    <t>ieFans</t>
  </si>
  <si>
    <t>iefans.net</t>
  </si>
  <si>
    <t>讯飞听见语音转写平台</t>
  </si>
  <si>
    <t>iflyrec.cn</t>
  </si>
  <si>
    <t>砍柴网</t>
  </si>
  <si>
    <t>ikanchai.com</t>
  </si>
  <si>
    <t>百度图片</t>
  </si>
  <si>
    <t>image.baidu.com</t>
  </si>
  <si>
    <t>苏州一米机器人官网</t>
  </si>
  <si>
    <t>imee.ai</t>
  </si>
  <si>
    <t>腾讯QQ国际版</t>
  </si>
  <si>
    <t>imqq.com</t>
  </si>
  <si>
    <t>成都英格瑞德电气</t>
  </si>
  <si>
    <t>integridtech.com</t>
  </si>
  <si>
    <t>InternetDownloadManager中文官网</t>
  </si>
  <si>
    <t>internetdownloadmanager.cn</t>
  </si>
  <si>
    <t>上海珍羽信息技术</t>
  </si>
  <si>
    <t>intwing.com</t>
  </si>
  <si>
    <t>飞鸽传书官方网站</t>
  </si>
  <si>
    <t>ipmsg.org.cn</t>
  </si>
  <si>
    <t>艾美云</t>
  </si>
  <si>
    <t>ishowtu.com</t>
  </si>
  <si>
    <t>广州佳贝尔环保</t>
  </si>
  <si>
    <t>jaber.cn</t>
  </si>
  <si>
    <t>键盘小说网</t>
  </si>
  <si>
    <t>janpn.com</t>
  </si>
  <si>
    <t>鸡病专业网论坛</t>
  </si>
  <si>
    <t>jbzyw.com</t>
  </si>
  <si>
    <t>解放牛网</t>
  </si>
  <si>
    <t>jfdaily.com</t>
  </si>
  <si>
    <t>江苏省人民政府网</t>
  </si>
  <si>
    <t>jiangsu.gov.cn</t>
  </si>
  <si>
    <t>百度健康</t>
  </si>
  <si>
    <t>jiankang.baidu.com</t>
  </si>
  <si>
    <t>歌谱简谱网</t>
  </si>
  <si>
    <t>jianpu.cn</t>
  </si>
  <si>
    <t>教育宝</t>
  </si>
  <si>
    <t>jiaoyubao.cn</t>
  </si>
  <si>
    <t>北京捷谋新创科技</t>
  </si>
  <si>
    <t>jiemou.com</t>
  </si>
  <si>
    <t>秦皇岛晶创科技开发</t>
  </si>
  <si>
    <t>jingchuangkeji.com</t>
  </si>
  <si>
    <t>京华网</t>
  </si>
  <si>
    <t>jinghua.cn</t>
  </si>
  <si>
    <t>百度经验</t>
  </si>
  <si>
    <t>jingyan.baidu.com</t>
  </si>
  <si>
    <t>金狐电脑工作室</t>
  </si>
  <si>
    <t>jinhu.me</t>
  </si>
  <si>
    <t>金华市政府网</t>
  </si>
  <si>
    <t>jinhua.gov.cn</t>
  </si>
  <si>
    <t>东营金石软件</t>
  </si>
  <si>
    <t>jinshisoft.com</t>
  </si>
  <si>
    <t>集美大学电子邮件系统</t>
  </si>
  <si>
    <t>jmu.edu.cn</t>
  </si>
  <si>
    <t>东北大学就业信息网</t>
  </si>
  <si>
    <t>job.neu.edu.cn</t>
  </si>
  <si>
    <t>一览英才网</t>
  </si>
  <si>
    <t>job1001.com</t>
  </si>
  <si>
    <t>上海语学教育科技</t>
  </si>
  <si>
    <t>jpttest.com</t>
  </si>
  <si>
    <t>人民网江苏视窗</t>
  </si>
  <si>
    <t>js.people.com.cn</t>
  </si>
  <si>
    <t>武汉数元网络技术</t>
  </si>
  <si>
    <t>jsform2.com</t>
  </si>
  <si>
    <t>江苏卓越城市智能交通科技</t>
  </si>
  <si>
    <t>jsjtkj.com</t>
  </si>
  <si>
    <t>江苏体彩网</t>
  </si>
  <si>
    <t>js-lottery.com</t>
  </si>
  <si>
    <t>兰溪劲膳美健康管理</t>
  </si>
  <si>
    <t>jsm11.com</t>
  </si>
  <si>
    <t>JSON在线</t>
  </si>
  <si>
    <t>json.run</t>
  </si>
  <si>
    <t>JSON格式化在线解析工具</t>
  </si>
  <si>
    <t>json-online.com</t>
  </si>
  <si>
    <t>盐城市大丰胜达铸造机械</t>
  </si>
  <si>
    <t>jsqfjxkj.com</t>
  </si>
  <si>
    <t>云南孔明智慧科技</t>
  </si>
  <si>
    <t>jx2dcode.com</t>
  </si>
  <si>
    <t>江西省建筑设计研究总院</t>
  </si>
  <si>
    <t>jxsjzy.com</t>
  </si>
  <si>
    <t>江西财经大学电子邮件系统</t>
  </si>
  <si>
    <t>jxufe.edu.cn</t>
  </si>
  <si>
    <t>中国教育新闻网</t>
  </si>
  <si>
    <t>jyb.cn</t>
  </si>
  <si>
    <t>三效企服</t>
  </si>
  <si>
    <t>kangjian51.com</t>
  </si>
  <si>
    <t>上海琪邦国际货运代理</t>
  </si>
  <si>
    <t>kbans.com</t>
  </si>
  <si>
    <t>陕西阔成检测服务</t>
  </si>
  <si>
    <t>kc-test.com</t>
  </si>
  <si>
    <t>成都诺传科技</t>
  </si>
  <si>
    <t>kingdee028.com</t>
  </si>
  <si>
    <t>金蝶软件下载资源网</t>
  </si>
  <si>
    <t>kingdeed.cn</t>
  </si>
  <si>
    <t>山东科力工程检测鉴定</t>
  </si>
  <si>
    <t>klgcjcjd.com</t>
  </si>
  <si>
    <t>空中网</t>
  </si>
  <si>
    <t>kongzhong.com</t>
  </si>
  <si>
    <t>康强医疗人才网</t>
  </si>
  <si>
    <t>kq36.com</t>
  </si>
  <si>
    <t>快播</t>
  </si>
  <si>
    <t>kuaibo.com</t>
  </si>
  <si>
    <t>跨境王营销助手</t>
  </si>
  <si>
    <t>kuajingsoft.com</t>
  </si>
  <si>
    <t>康司机代驾官网</t>
  </si>
  <si>
    <t>kzt.icu</t>
  </si>
  <si>
    <t>实验室经验</t>
  </si>
  <si>
    <t>labbuild.cn</t>
  </si>
  <si>
    <t>老毛桃</t>
  </si>
  <si>
    <t>laomaotao.net</t>
  </si>
  <si>
    <t>狸窝软件</t>
  </si>
  <si>
    <t>leawo.cn</t>
  </si>
  <si>
    <t>里诺仓库管理软件</t>
  </si>
  <si>
    <t>lenosoft.net</t>
  </si>
  <si>
    <t>小程序开发</t>
  </si>
  <si>
    <t>lewusoft.com</t>
  </si>
  <si>
    <t>燕郊公司注册</t>
  </si>
  <si>
    <t>lfyykj.cn</t>
  </si>
  <si>
    <t>上海立达职业技术学院</t>
  </si>
  <si>
    <t>lidapoly.com</t>
  </si>
  <si>
    <t>三联生活周刊</t>
  </si>
  <si>
    <t>lifeweek.com.cn</t>
  </si>
  <si>
    <t>青岛英世齐商贸</t>
  </si>
  <si>
    <t>lingdiandingwei.com</t>
  </si>
  <si>
    <t>中国柳州</t>
  </si>
  <si>
    <t>liuzhou.gov.cn</t>
  </si>
  <si>
    <t>世界朋友</t>
  </si>
  <si>
    <t>liyunde.com</t>
  </si>
  <si>
    <t>梦泰尔软件</t>
  </si>
  <si>
    <t>lodop.net</t>
  </si>
  <si>
    <t>广州朗歌信息技术</t>
  </si>
  <si>
    <t>longosoft.com</t>
  </si>
  <si>
    <t>六安市人民政府门户网</t>
  </si>
  <si>
    <t>luan.gov.cn</t>
  </si>
  <si>
    <t>同花顺财经</t>
  </si>
  <si>
    <t>m.10jqka.com.cn</t>
  </si>
  <si>
    <t>健康云快速问医生</t>
  </si>
  <si>
    <t>m.120ask.com</t>
  </si>
  <si>
    <t>网易应用</t>
  </si>
  <si>
    <t>m.163.com</t>
  </si>
  <si>
    <t>阿里巴巴1688.com</t>
  </si>
  <si>
    <t>m.1688.com</t>
  </si>
  <si>
    <t>电影</t>
  </si>
  <si>
    <t>m.1905.com</t>
  </si>
  <si>
    <t>极速漫画大全</t>
  </si>
  <si>
    <t>m.1kkk.com</t>
  </si>
  <si>
    <t>233网校考试服务</t>
  </si>
  <si>
    <t>m.233.com</t>
  </si>
  <si>
    <t>美佳网站</t>
  </si>
  <si>
    <t>m.236z.com</t>
  </si>
  <si>
    <t>民福康健康网</t>
  </si>
  <si>
    <t>m.39yst.com</t>
  </si>
  <si>
    <t>当游网移动端</t>
  </si>
  <si>
    <t>m.3h3.com</t>
  </si>
  <si>
    <t>搜了网移动版</t>
  </si>
  <si>
    <t>m.51sole.com</t>
  </si>
  <si>
    <t>理想财富</t>
  </si>
  <si>
    <t>m.55188.com</t>
  </si>
  <si>
    <t>5577安卓网</t>
  </si>
  <si>
    <t>m.5577.com</t>
  </si>
  <si>
    <t>58车网</t>
  </si>
  <si>
    <t>m.58che.com</t>
  </si>
  <si>
    <t>厦门597人才网</t>
  </si>
  <si>
    <t>m.597.com</t>
  </si>
  <si>
    <t>5nd音乐网移动端</t>
  </si>
  <si>
    <t>m.5nd.com</t>
  </si>
  <si>
    <t>华律网移动端</t>
  </si>
  <si>
    <t>m.66law.cn</t>
  </si>
  <si>
    <t>8684公交线路查询</t>
  </si>
  <si>
    <t>m.8684.cn</t>
  </si>
  <si>
    <t>乐游平台</t>
  </si>
  <si>
    <t>m.962.net</t>
  </si>
  <si>
    <t>99健康网移动端</t>
  </si>
  <si>
    <t>m.99.com.cn</t>
  </si>
  <si>
    <t>腾讯漫画</t>
  </si>
  <si>
    <t>m.ac.qq.com</t>
  </si>
  <si>
    <t>安徽华图移动端</t>
  </si>
  <si>
    <t>m.ah.huatu.com</t>
  </si>
  <si>
    <t>中国国航</t>
  </si>
  <si>
    <t>m.airchina.com.cn</t>
  </si>
  <si>
    <t>安居客_广州房产网</t>
  </si>
  <si>
    <t>m.anjuke.com</t>
  </si>
  <si>
    <t>采招网</t>
  </si>
  <si>
    <t>m.bidcenter.com.cn</t>
  </si>
  <si>
    <t>哔哩哔哩移动版</t>
  </si>
  <si>
    <t>m.bilibili.com</t>
  </si>
  <si>
    <t>北京本地宝</t>
  </si>
  <si>
    <t>m.bj.bendibao.com</t>
  </si>
  <si>
    <t>博禾医生</t>
  </si>
  <si>
    <t>m.bohe.cn</t>
  </si>
  <si>
    <t>原创力文档</t>
  </si>
  <si>
    <t>m.book118.com</t>
  </si>
  <si>
    <t>卜易居免费算命网</t>
  </si>
  <si>
    <t>m.buyiju.com</t>
  </si>
  <si>
    <t>成都本地宝网</t>
  </si>
  <si>
    <t>m.cd.bendibao.com</t>
  </si>
  <si>
    <t>查电话</t>
  </si>
  <si>
    <t>m.chadianhua.net</t>
  </si>
  <si>
    <t>查字典网</t>
  </si>
  <si>
    <t>m.chazidian.com</t>
  </si>
  <si>
    <t>车次网移动端</t>
  </si>
  <si>
    <t>m.checi.org</t>
  </si>
  <si>
    <t>正保会计网校</t>
  </si>
  <si>
    <t>m.chinaacc.com</t>
  </si>
  <si>
    <t>中国物通</t>
  </si>
  <si>
    <t>m.chinawutong.com</t>
  </si>
  <si>
    <t>城市吧触屏版</t>
  </si>
  <si>
    <t>m.city8.com</t>
  </si>
  <si>
    <t>重庆本地宝</t>
  </si>
  <si>
    <t>m.cq.bendibao.com</t>
  </si>
  <si>
    <t>希财新金融</t>
  </si>
  <si>
    <t>m.csai.cn</t>
  </si>
  <si>
    <t>携程旅行门户网</t>
  </si>
  <si>
    <t>m.ctrip.com</t>
  </si>
  <si>
    <t>大河票务网移动端</t>
  </si>
  <si>
    <t>m.dahepiao.com</t>
  </si>
  <si>
    <t>海词词典在线词典</t>
  </si>
  <si>
    <t>m.dict.cn</t>
  </si>
  <si>
    <t>道客巴巴网</t>
  </si>
  <si>
    <t>m.doc88.com</t>
  </si>
  <si>
    <t>豆瓣网</t>
  </si>
  <si>
    <t>m.douban.com</t>
  </si>
  <si>
    <t>大学生必备网</t>
  </si>
  <si>
    <t>m.dxsbb.com</t>
  </si>
  <si>
    <t>中国服装网移动版</t>
  </si>
  <si>
    <t>m.efu.com.cn</t>
  </si>
  <si>
    <t>电子发烧友</t>
  </si>
  <si>
    <t>m.elecfans.com</t>
  </si>
  <si>
    <t>中国房产超市导购网</t>
  </si>
  <si>
    <t>m.fccs.com</t>
  </si>
  <si>
    <t>找法网移动端</t>
  </si>
  <si>
    <t>m.findlaw.cn</t>
  </si>
  <si>
    <t>风行视频平台</t>
  </si>
  <si>
    <t>m.fun.tv</t>
  </si>
  <si>
    <t>名站在线移动端</t>
  </si>
  <si>
    <t>m.fwol.cn</t>
  </si>
  <si>
    <t>飞翔资源网</t>
  </si>
  <si>
    <t>m.fxxz.com</t>
  </si>
  <si>
    <t>高顿网校移动端</t>
  </si>
  <si>
    <t>m.gaodun.com</t>
  </si>
  <si>
    <t>广东华图教育网</t>
  </si>
  <si>
    <t>m.gd.huatu.com</t>
  </si>
  <si>
    <t>东方财富网股吧移动端</t>
  </si>
  <si>
    <t>m.guba.eastmoney.com</t>
  </si>
  <si>
    <t>好大夫在线医疗网站</t>
  </si>
  <si>
    <t>m.haodf.com</t>
  </si>
  <si>
    <t>红袖添香小说</t>
  </si>
  <si>
    <t>m.hongxiu.com</t>
  </si>
  <si>
    <t>婚礼纪移动版</t>
  </si>
  <si>
    <t>m.hunliji.com</t>
  </si>
  <si>
    <t>杭州本地宝移动端</t>
  </si>
  <si>
    <t>m.hz.bendibao.com</t>
  </si>
  <si>
    <t>车主指南网</t>
  </si>
  <si>
    <t>m.icauto.com.cn</t>
  </si>
  <si>
    <t>脚本之家移动端</t>
  </si>
  <si>
    <t>m.jb51.net</t>
  </si>
  <si>
    <t>京东网</t>
  </si>
  <si>
    <t>m.jd.com</t>
  </si>
  <si>
    <t>齐家装修网</t>
  </si>
  <si>
    <t>m.jia.com</t>
  </si>
  <si>
    <t>中国婚博会移动端</t>
  </si>
  <si>
    <t>m.jiehun.com.cn</t>
  </si>
  <si>
    <t>吉他社移动端</t>
  </si>
  <si>
    <t>m.jitashe.org</t>
  </si>
  <si>
    <t>梅州吉屋</t>
  </si>
  <si>
    <t>m.jiwu.com</t>
  </si>
  <si>
    <t>k366华易算命网</t>
  </si>
  <si>
    <t>m.k366.com</t>
  </si>
  <si>
    <t>看看新闻网站</t>
  </si>
  <si>
    <t>m.kankanews.com</t>
  </si>
  <si>
    <t>新东方在线移动版</t>
  </si>
  <si>
    <t>m.koolearn.com</t>
  </si>
  <si>
    <t>快看漫画网站</t>
  </si>
  <si>
    <t>m.kuaikanmanhua.com</t>
  </si>
  <si>
    <t>酷我音乐移动端</t>
  </si>
  <si>
    <t>m.kuwo.cn</t>
  </si>
  <si>
    <t>乐视视频移动端</t>
  </si>
  <si>
    <t>m.le.com</t>
  </si>
  <si>
    <t>中国体彩网站</t>
  </si>
  <si>
    <t>m.lottery.gov.cn</t>
  </si>
  <si>
    <t>梅州楼盘网</t>
  </si>
  <si>
    <t>m.loupan.com</t>
  </si>
  <si>
    <t>蚂蜂窝旅游</t>
  </si>
  <si>
    <t>m.mafengwo.cn</t>
  </si>
  <si>
    <t>猫眼电影网</t>
  </si>
  <si>
    <t>m.maoyan.com</t>
  </si>
  <si>
    <t>美食天下移动端</t>
  </si>
  <si>
    <t>m.meishichina.com</t>
  </si>
  <si>
    <t>江苏民福康科技股份有限公司</t>
  </si>
  <si>
    <t>m.mfk.com</t>
  </si>
  <si>
    <t>芒果TV视频</t>
  </si>
  <si>
    <t>m.mgtv.com</t>
  </si>
  <si>
    <t>咪咕视频</t>
  </si>
  <si>
    <t>m.miguvideo.com</t>
  </si>
  <si>
    <t>中国时尚</t>
  </si>
  <si>
    <t>m.mshishang.com</t>
  </si>
  <si>
    <t>名医在线网站</t>
  </si>
  <si>
    <t>m.myzx.cn</t>
  </si>
  <si>
    <t>每日经济新闻网</t>
  </si>
  <si>
    <t>m.nbd.com.cn</t>
  </si>
  <si>
    <t>正北方新闻网</t>
  </si>
  <si>
    <t>m.northnews.cn</t>
  </si>
  <si>
    <t>华军软件园网</t>
  </si>
  <si>
    <t>m.onlinedown.net</t>
  </si>
  <si>
    <t>我图</t>
  </si>
  <si>
    <t>m.ooopic.com</t>
  </si>
  <si>
    <t>太平洋汽车</t>
  </si>
  <si>
    <t>m.pcauto.com.cn</t>
  </si>
  <si>
    <t>太平洋亲子频道</t>
  </si>
  <si>
    <t>m.pcbaby.com.cn</t>
  </si>
  <si>
    <t>起点读书</t>
  </si>
  <si>
    <t>m.qidian.com</t>
  </si>
  <si>
    <t>瑞文网移动端</t>
  </si>
  <si>
    <t>m.ruiwen.com</t>
  </si>
  <si>
    <t>站长素材网</t>
  </si>
  <si>
    <t>m.sc.chinaz.com</t>
  </si>
  <si>
    <t>上海本地宝</t>
  </si>
  <si>
    <t>m.sh.bendibao.com</t>
  </si>
  <si>
    <t>水墨先生</t>
  </si>
  <si>
    <t>m.smxs.com</t>
  </si>
  <si>
    <t>360搜索移动端</t>
  </si>
  <si>
    <t>m.so.com</t>
  </si>
  <si>
    <t>苏宁易购移动端</t>
  </si>
  <si>
    <t>m.suning.com</t>
  </si>
  <si>
    <t>苏州本地宝移动端</t>
  </si>
  <si>
    <t>m.suzhou.bendibao.com</t>
  </si>
  <si>
    <t>糖豆</t>
  </si>
  <si>
    <t>m.tangdou.com</t>
  </si>
  <si>
    <t>坦途教育网移动端</t>
  </si>
  <si>
    <t>m.tantuw.com</t>
  </si>
  <si>
    <t>天津本地宝</t>
  </si>
  <si>
    <t>m.tj.bendibao.com</t>
  </si>
  <si>
    <t>途牛旅游</t>
  </si>
  <si>
    <t>m.tuniu.com</t>
  </si>
  <si>
    <t>搜狐视频移动版</t>
  </si>
  <si>
    <t>m.tv.sohu.com</t>
  </si>
  <si>
    <t>中国天气网站</t>
  </si>
  <si>
    <t>m.weather.com.cn</t>
  </si>
  <si>
    <t>香哈</t>
  </si>
  <si>
    <t>m.xiangha.com</t>
  </si>
  <si>
    <t>厦门本地宝移动端</t>
  </si>
  <si>
    <t>m.xm.bendibao.com</t>
  </si>
  <si>
    <t>言情小说阅读吧</t>
  </si>
  <si>
    <t>m.xs8.cn</t>
  </si>
  <si>
    <t>学参网移动端</t>
  </si>
  <si>
    <t>m.xuecan.net</t>
  </si>
  <si>
    <t>学习啦在线学习网</t>
  </si>
  <si>
    <t>m.xuexila.com</t>
  </si>
  <si>
    <t>药房网站</t>
  </si>
  <si>
    <t>m.yaofangwang.com</t>
  </si>
  <si>
    <t>优酷视频服务平台</t>
  </si>
  <si>
    <t>m.youku.com</t>
  </si>
  <si>
    <t>有来医生网</t>
  </si>
  <si>
    <t>m.youlai.cn</t>
  </si>
  <si>
    <t>99健康网医院大全</t>
  </si>
  <si>
    <t>m.yyk.99.com.cn</t>
  </si>
  <si>
    <t>掌阅小说网移动端</t>
  </si>
  <si>
    <t>m.zhangyue.com</t>
  </si>
  <si>
    <t>中考查询网</t>
  </si>
  <si>
    <t>m.zhongkao.com</t>
  </si>
  <si>
    <t>纵横中文</t>
  </si>
  <si>
    <t>m.zongheng.com</t>
  </si>
  <si>
    <t>郑州本地宝移动端</t>
  </si>
  <si>
    <t>m.zz.bendibao.com</t>
  </si>
  <si>
    <t>百度地图</t>
  </si>
  <si>
    <t>map.baidu.com</t>
  </si>
  <si>
    <t>图吧地图搜索</t>
  </si>
  <si>
    <t>mapbar.com</t>
  </si>
  <si>
    <t>Mc网游单机下载</t>
  </si>
  <si>
    <t>mcncc.com</t>
  </si>
  <si>
    <t>美乐乐家具网站</t>
  </si>
  <si>
    <t>meilele.com</t>
  </si>
  <si>
    <t>美丽无忧网</t>
  </si>
  <si>
    <t>meiliwuyou.cn</t>
  </si>
  <si>
    <t>美艺言情小说书馆</t>
  </si>
  <si>
    <t>meiyee.cc</t>
  </si>
  <si>
    <t>梅州市人民政府门户</t>
  </si>
  <si>
    <t>meizhou.gov.cn</t>
  </si>
  <si>
    <t>北京软件外包</t>
  </si>
  <si>
    <t>microsoft-crm.com.cn</t>
  </si>
  <si>
    <t>美的</t>
  </si>
  <si>
    <t>midea.com</t>
  </si>
  <si>
    <t>民福康移动端</t>
  </si>
  <si>
    <t>mip.mfk.com</t>
  </si>
  <si>
    <t>华军软件园移动端</t>
  </si>
  <si>
    <t>mip.onlinedown.net</t>
  </si>
  <si>
    <t>东莞市美泰喷雾技术</t>
  </si>
  <si>
    <t>mistec.com.cn</t>
  </si>
  <si>
    <t>长江都市网</t>
  </si>
  <si>
    <t>misterrobot.cn</t>
  </si>
  <si>
    <t>MONO猫弄</t>
  </si>
  <si>
    <t>mmmono.com</t>
  </si>
  <si>
    <t>中华人民共和国农业部网</t>
  </si>
  <si>
    <t>moa.gov.cn</t>
  </si>
  <si>
    <t>MoboPlayer</t>
  </si>
  <si>
    <t>moboplayer.com</t>
  </si>
  <si>
    <t>摩卡软件网站</t>
  </si>
  <si>
    <t>mochasoft.com.cn</t>
  </si>
  <si>
    <t>长沙甲一方网络科技</t>
  </si>
  <si>
    <t>modown.cn</t>
  </si>
  <si>
    <t>月光软件站</t>
  </si>
  <si>
    <t>GreenBrowser</t>
  </si>
  <si>
    <t>morequick.com</t>
  </si>
  <si>
    <t>中华人民共和国交通运输部</t>
  </si>
  <si>
    <t>mot.gov.cn</t>
  </si>
  <si>
    <t>火狐社区</t>
  </si>
  <si>
    <t>mozilla.com.cn</t>
  </si>
  <si>
    <t>时光网</t>
  </si>
  <si>
    <t>mtime.cn</t>
  </si>
  <si>
    <t>Mtime时光网</t>
  </si>
  <si>
    <t>mtime.com</t>
  </si>
  <si>
    <t>木蚂蚁</t>
  </si>
  <si>
    <t>mumayi.cn</t>
  </si>
  <si>
    <t>百度音乐</t>
  </si>
  <si>
    <t>music.baidu.com</t>
  </si>
  <si>
    <t>拇指玩</t>
  </si>
  <si>
    <t>muzhiwan.com</t>
  </si>
  <si>
    <t>魅族溜</t>
  </si>
  <si>
    <t>mz6.net</t>
  </si>
  <si>
    <t>麦哲伦科技</t>
  </si>
  <si>
    <t>mzlsoft.com</t>
  </si>
  <si>
    <t>中国南京网站群</t>
  </si>
  <si>
    <t>nanjing.gov.cn</t>
  </si>
  <si>
    <t>中国南通</t>
  </si>
  <si>
    <t>nantong.gov.cn</t>
  </si>
  <si>
    <t>每经网</t>
  </si>
  <si>
    <t>nbd.com.cn</t>
  </si>
  <si>
    <t>宁波人才网站</t>
  </si>
  <si>
    <t>nbrc.com.cn</t>
  </si>
  <si>
    <t>中国南昌政府门户网</t>
  </si>
  <si>
    <t>nc.gov.cn</t>
  </si>
  <si>
    <t>南通纳尔材料科技</t>
  </si>
  <si>
    <t>nctek.com.cn</t>
  </si>
  <si>
    <t>彼岸桌面</t>
  </si>
  <si>
    <t>netbian.com</t>
  </si>
  <si>
    <t>新空云+ 开放型运营工具聚合平台</t>
  </si>
  <si>
    <t>newaircloud.com</t>
  </si>
  <si>
    <t>新萝卜家园</t>
  </si>
  <si>
    <t>newluobo.com</t>
  </si>
  <si>
    <t>今日新闻</t>
  </si>
  <si>
    <t>news.szhk.com</t>
  </si>
  <si>
    <t>四川新闻网</t>
  </si>
  <si>
    <t>newssc.org</t>
  </si>
  <si>
    <t>深圳市鸟能科技</t>
  </si>
  <si>
    <t>niaotec.com</t>
  </si>
  <si>
    <t>尼康中国</t>
  </si>
  <si>
    <t>nikon.com.cn</t>
  </si>
  <si>
    <t>中国宁波公民站</t>
  </si>
  <si>
    <t>ningbo.gov.cn</t>
  </si>
  <si>
    <t>谷歌卫星地图网</t>
  </si>
  <si>
    <t>njcfjx.com</t>
  </si>
  <si>
    <t>内蒙古自治区政府网</t>
  </si>
  <si>
    <t>nmg.gov.cn</t>
  </si>
  <si>
    <t>正北方网</t>
  </si>
  <si>
    <t>northnews.cn</t>
  </si>
  <si>
    <t>国家自然科学基金委员会网</t>
  </si>
  <si>
    <t>nsfc.gov.cn</t>
  </si>
  <si>
    <t>国防科技大学</t>
  </si>
  <si>
    <t>nudt.edu.cn</t>
  </si>
  <si>
    <t>西北农林科技大学</t>
  </si>
  <si>
    <t>nwsuaf.edu.cn</t>
  </si>
  <si>
    <t>宁夏政府网</t>
  </si>
  <si>
    <t>nx.gov.cn</t>
  </si>
  <si>
    <t>宁夏教育资源公共服务平台</t>
  </si>
  <si>
    <t>nxeduyun.com</t>
  </si>
  <si>
    <t>变频器伺服驱动器欧传电气科技</t>
  </si>
  <si>
    <t>odrv.cn</t>
  </si>
  <si>
    <t>深圳市龙岗区布吉长江液压密封行</t>
  </si>
  <si>
    <t>okdas.com</t>
  </si>
  <si>
    <t>ones产品网站</t>
  </si>
  <si>
    <t>ones.pro</t>
  </si>
  <si>
    <t>万科物业万物云官网</t>
  </si>
  <si>
    <t>onewo.com</t>
  </si>
  <si>
    <t>open.baidu.com</t>
  </si>
  <si>
    <t>运筹学及软件结合研究</t>
  </si>
  <si>
    <t>orsoft.org</t>
  </si>
  <si>
    <t>国家职业资格工作网</t>
  </si>
  <si>
    <t>osta.org.cn</t>
  </si>
  <si>
    <t>全景网</t>
  </si>
  <si>
    <t>p5w.net</t>
  </si>
  <si>
    <t>百度云</t>
  </si>
  <si>
    <t>pan.baidu.com</t>
  </si>
  <si>
    <t>大众日报</t>
  </si>
  <si>
    <t>paper.dzwww.com</t>
  </si>
  <si>
    <t>标久实验室净化工程</t>
  </si>
  <si>
    <t>pcrsys.cn</t>
  </si>
  <si>
    <t>极光PDF官方网站</t>
  </si>
  <si>
    <t>pdf6.com</t>
  </si>
  <si>
    <t>PDFExpert官网</t>
  </si>
  <si>
    <t>pdfexpert.cn</t>
  </si>
  <si>
    <t>培训指南网</t>
  </si>
  <si>
    <t>peixun360.com</t>
  </si>
  <si>
    <t>中国人保</t>
  </si>
  <si>
    <t>picc.com</t>
  </si>
  <si>
    <t>苹果绿养生网</t>
  </si>
  <si>
    <t>pingguolv.com</t>
  </si>
  <si>
    <t>拼图前端框架</t>
  </si>
  <si>
    <t>pintuer.com</t>
  </si>
  <si>
    <t>琵琶网</t>
  </si>
  <si>
    <t>pipaw.com</t>
  </si>
  <si>
    <t>东莞市讯闻电子科技</t>
  </si>
  <si>
    <t>plcjs.com</t>
  </si>
  <si>
    <t>人民网时政</t>
  </si>
  <si>
    <t>politics.people.com.cn</t>
  </si>
  <si>
    <t>DHgate</t>
  </si>
  <si>
    <t>popocy.com</t>
  </si>
  <si>
    <t>什么值得买社区频道</t>
  </si>
  <si>
    <t>post.m.smzdm.com</t>
  </si>
  <si>
    <t>免费PPT模板下载</t>
  </si>
  <si>
    <t>pptos.com</t>
  </si>
  <si>
    <t>PPTV聚力</t>
  </si>
  <si>
    <t>pptv.com</t>
  </si>
  <si>
    <t>长沙普洛电气设备</t>
  </si>
  <si>
    <t>procs.com.cn</t>
  </si>
  <si>
    <t>中国邮政储蓄银行</t>
  </si>
  <si>
    <t>psbc.com</t>
  </si>
  <si>
    <t>培训通</t>
  </si>
  <si>
    <t>pxto.com.cn</t>
  </si>
  <si>
    <t>千里马</t>
  </si>
  <si>
    <t>qianlima.com</t>
  </si>
  <si>
    <t>广东起搏网络科技</t>
  </si>
  <si>
    <t>qiboaa.com</t>
  </si>
  <si>
    <t>汽油价格网</t>
  </si>
  <si>
    <t>qiyoujiage.com</t>
  </si>
  <si>
    <t>海南高仕药业</t>
  </si>
  <si>
    <t>qizhouke.com</t>
  </si>
  <si>
    <t>齐装网</t>
  </si>
  <si>
    <t>qizuang.com</t>
  </si>
  <si>
    <t>qq.ip138.com</t>
  </si>
  <si>
    <t>QQ资源网</t>
  </si>
  <si>
    <t>qqzywang.com</t>
  </si>
  <si>
    <t>西安青松光电技术</t>
  </si>
  <si>
    <t>qs-tech.cn</t>
  </si>
  <si>
    <t>青岛电视台</t>
  </si>
  <si>
    <t>qtv.com.cn</t>
  </si>
  <si>
    <t>去读书</t>
  </si>
  <si>
    <t>qudushu.com</t>
  </si>
  <si>
    <t>中财网</t>
  </si>
  <si>
    <t>quote.cfi.cn</t>
  </si>
  <si>
    <t>北京襄景人造草坪</t>
  </si>
  <si>
    <t>rjrzcp.com</t>
  </si>
  <si>
    <t>浙江岩石机械检测</t>
  </si>
  <si>
    <t>rock-lab.cn</t>
  </si>
  <si>
    <t>ROM之家官网</t>
  </si>
  <si>
    <t>romzhijia.net</t>
  </si>
  <si>
    <t>红软基地</t>
  </si>
  <si>
    <t>rsdown.cn</t>
  </si>
  <si>
    <t>淮安市三畅仪表有限公司</t>
  </si>
  <si>
    <t>sancdc.com</t>
  </si>
  <si>
    <t>科学网</t>
  </si>
  <si>
    <t>sciencenet.cn</t>
  </si>
  <si>
    <t>闪电下载吧</t>
  </si>
  <si>
    <t>sdbeta.com</t>
  </si>
  <si>
    <t>鲁网</t>
  </si>
  <si>
    <t>sdnews.com.cn</t>
  </si>
  <si>
    <t>盛大在线</t>
  </si>
  <si>
    <t>sdo.com</t>
  </si>
  <si>
    <t>公务员考试信息网</t>
  </si>
  <si>
    <t>sdsgwy.com</t>
  </si>
  <si>
    <t>山东拓辰实验设备</t>
  </si>
  <si>
    <t>sdtclab.com</t>
  </si>
  <si>
    <t>无忧隐藏官网</t>
  </si>
  <si>
    <t>seapsoft.com</t>
  </si>
  <si>
    <t>寺库网</t>
  </si>
  <si>
    <t>secoo.com</t>
  </si>
  <si>
    <t>顺丰快递</t>
  </si>
  <si>
    <t>sf-express.com</t>
  </si>
  <si>
    <t>上海黄金交易所</t>
  </si>
  <si>
    <t>sge.com.cn</t>
  </si>
  <si>
    <t>山东省人民政府</t>
  </si>
  <si>
    <t>shandong.gov.cn</t>
  </si>
  <si>
    <t>上分宝</t>
  </si>
  <si>
    <t>shangfenbao.com</t>
  </si>
  <si>
    <t>圣墟小说</t>
  </si>
  <si>
    <t>shengxuxu.com</t>
  </si>
  <si>
    <t>中国沈阳政府门户网</t>
  </si>
  <si>
    <t>shenyang.gov.cn</t>
  </si>
  <si>
    <t>百度识图网</t>
  </si>
  <si>
    <t>shitu.baidu.com</t>
  </si>
  <si>
    <t>上海地铁</t>
  </si>
  <si>
    <t>shmetro.com</t>
  </si>
  <si>
    <t>顺德区人民政府门户网</t>
  </si>
  <si>
    <t>shunde.gov.cn</t>
  </si>
  <si>
    <t>simbajs官网</t>
  </si>
  <si>
    <t>simbajs.com</t>
  </si>
  <si>
    <t>南京格诺思生物科技</t>
  </si>
  <si>
    <t>sinoscript.com</t>
  </si>
  <si>
    <t>世纪工程项目管理</t>
  </si>
  <si>
    <t>sjgcxm.com</t>
  </si>
  <si>
    <t>上海交通大学主页</t>
  </si>
  <si>
    <t>sjtu.edu.cn</t>
  </si>
  <si>
    <t>天空下载</t>
  </si>
  <si>
    <t>skycn.com</t>
  </si>
  <si>
    <t>hao123下载站</t>
  </si>
  <si>
    <t>skycn.net</t>
  </si>
  <si>
    <t>三明市政府门户网</t>
  </si>
  <si>
    <t>sm.gov.cn</t>
  </si>
  <si>
    <t>搜宝</t>
  </si>
  <si>
    <t>so-b.com</t>
  </si>
  <si>
    <t>安徽畅速网络科技有限责任公司softdd.cn</t>
  </si>
  <si>
    <t>softdd.cn</t>
  </si>
  <si>
    <t>广州app外包公司</t>
  </si>
  <si>
    <t>softwaress.cn</t>
  </si>
  <si>
    <t>PPT导航网</t>
  </si>
  <si>
    <t>soppt123.com</t>
  </si>
  <si>
    <t>佛滔算命网</t>
  </si>
  <si>
    <t>sosuo.name</t>
  </si>
  <si>
    <t>QQ飞车</t>
  </si>
  <si>
    <t>speed.qq.com</t>
  </si>
  <si>
    <t>国家体育总局网</t>
  </si>
  <si>
    <t>sport.gov.cn</t>
  </si>
  <si>
    <t>Steam加速器</t>
  </si>
  <si>
    <t>steamspeed.cn</t>
  </si>
  <si>
    <t>同花顺</t>
  </si>
  <si>
    <t>stock.10jqka.com.cn</t>
  </si>
  <si>
    <t>湖南苏科智能科技官方网站</t>
  </si>
  <si>
    <t>sukeintel.com</t>
  </si>
  <si>
    <t>杭州顺其软件科技</t>
  </si>
  <si>
    <t>sunkeysoft.com</t>
  </si>
  <si>
    <t>广东科鉴检测工程技术</t>
  </si>
  <si>
    <t>svtest.cn</t>
  </si>
  <si>
    <t>社工中国网</t>
  </si>
  <si>
    <t>swchina.org</t>
  </si>
  <si>
    <t>西南石油大学</t>
  </si>
  <si>
    <t>swpu.edu.cn</t>
  </si>
  <si>
    <t>绍兴市政府网</t>
  </si>
  <si>
    <t>sx.gov.cn</t>
  </si>
  <si>
    <t>福州刷新网络技术服务</t>
  </si>
  <si>
    <t>sx2008.cn</t>
  </si>
  <si>
    <t>深圳建筑信息模型促进会</t>
  </si>
  <si>
    <t>szbim.com</t>
  </si>
  <si>
    <t>利生源净水器</t>
  </si>
  <si>
    <t>szlsyjsq.com</t>
  </si>
  <si>
    <t>同花顺炒股圈子</t>
  </si>
  <si>
    <t>t.10jqka.com.cn</t>
  </si>
  <si>
    <t>塔读文学网</t>
  </si>
  <si>
    <t>tadu.com</t>
  </si>
  <si>
    <t>泰安市政府门户网站</t>
  </si>
  <si>
    <t>taian.gov.cn</t>
  </si>
  <si>
    <t>泰州市人民政府门户网</t>
  </si>
  <si>
    <t>taizhou.gov.cn</t>
  </si>
  <si>
    <t>糖豆广场舞</t>
  </si>
  <si>
    <t>tangdou.com</t>
  </si>
  <si>
    <t>淘股吧</t>
  </si>
  <si>
    <t>taoguba.com.cn</t>
  </si>
  <si>
    <t>淘金地</t>
  </si>
  <si>
    <t>taojindi.com</t>
  </si>
  <si>
    <t>通达信论坛</t>
  </si>
  <si>
    <t>tdx.com.cn</t>
  </si>
  <si>
    <t>完美教程资讯</t>
  </si>
  <si>
    <t>tech.wmzhe.com</t>
  </si>
  <si>
    <t>TechNet 中文网</t>
  </si>
  <si>
    <t>上海氢通能源集团</t>
  </si>
  <si>
    <t>thikotech.com</t>
  </si>
  <si>
    <t>内容管理框架</t>
  </si>
  <si>
    <t>thinkcmf.com</t>
  </si>
  <si>
    <t>天威新能源系统工程</t>
  </si>
  <si>
    <t>tianweisolution.com</t>
  </si>
  <si>
    <t>中国西藏网</t>
  </si>
  <si>
    <t>tibet.cn</t>
  </si>
  <si>
    <t>天津政务网站</t>
  </si>
  <si>
    <t>tj.gov.cn</t>
  </si>
  <si>
    <t>山东泰开箱变</t>
  </si>
  <si>
    <t>tkxb.net</t>
  </si>
  <si>
    <t>中国烟草</t>
  </si>
  <si>
    <t>tobacco.gov.cn</t>
  </si>
  <si>
    <t>百度搜索风云榜</t>
  </si>
  <si>
    <t>top.baidu.com</t>
  </si>
  <si>
    <t>江西桐青金属工艺品</t>
  </si>
  <si>
    <t>toqine.com</t>
  </si>
  <si>
    <t>拓韦森污水提升器官网</t>
  </si>
  <si>
    <t>towison.com</t>
  </si>
  <si>
    <t>投融界</t>
  </si>
  <si>
    <t>trjcn.com</t>
  </si>
  <si>
    <t>信利高端显示科技</t>
  </si>
  <si>
    <t>trulyrs.cn</t>
  </si>
  <si>
    <t>清华大学</t>
  </si>
  <si>
    <t>tsinghua.edu.cn</t>
  </si>
  <si>
    <t>tt客服系统</t>
  </si>
  <si>
    <t>ttkefu.cn</t>
  </si>
  <si>
    <t>体坛加</t>
  </si>
  <si>
    <t>ttplus.cn</t>
  </si>
  <si>
    <t>土豆PE</t>
  </si>
  <si>
    <t>tudoupe.com</t>
  </si>
  <si>
    <t>涂料人才网</t>
  </si>
  <si>
    <t>tuliaohr.com</t>
  </si>
  <si>
    <t>在线图片验证码识别平台</t>
  </si>
  <si>
    <t>tulingcloud.com</t>
  </si>
  <si>
    <t>typora中文学习网</t>
  </si>
  <si>
    <t>typora.net</t>
  </si>
  <si>
    <t>步进驱动器「一体化」步进电机品牌厂家</t>
  </si>
  <si>
    <t>uimotion.net</t>
  </si>
  <si>
    <t>Adobe Photoshop插件开发</t>
  </si>
  <si>
    <t>uiscripting.com</t>
  </si>
  <si>
    <t>中国银联</t>
  </si>
  <si>
    <t>unionpay.com</t>
  </si>
  <si>
    <t>百度视频</t>
  </si>
  <si>
    <t>v.baidu.com</t>
  </si>
  <si>
    <t>微视觉文化传媒科技</t>
  </si>
  <si>
    <t>visionplus.vip</t>
  </si>
  <si>
    <t>深圳市泽之轩家具</t>
  </si>
  <si>
    <t>vk900.com</t>
  </si>
  <si>
    <t>溪谷SDK</t>
  </si>
  <si>
    <t>vlsdk.com</t>
  </si>
  <si>
    <t>健康第一线</t>
  </si>
  <si>
    <t>vodjk.com</t>
  </si>
  <si>
    <t>VOGUE时尚网站</t>
  </si>
  <si>
    <t>vogue.com.cn</t>
  </si>
  <si>
    <t>沃尔沃网</t>
  </si>
  <si>
    <t>volvocars.com.cn</t>
  </si>
  <si>
    <t>清风DJ音乐网</t>
  </si>
  <si>
    <t>vvvdj.com</t>
  </si>
  <si>
    <t>大众汽车</t>
  </si>
  <si>
    <t>vw.com.cn</t>
  </si>
  <si>
    <t>W10系统之家</t>
  </si>
  <si>
    <t>w10xitong.com</t>
  </si>
  <si>
    <t>丽水市万工精密机械</t>
  </si>
  <si>
    <t>wangong.net</t>
  </si>
  <si>
    <t>阿里云网</t>
  </si>
  <si>
    <t>wanwang.aliyun.com</t>
  </si>
  <si>
    <t>万表网</t>
  </si>
  <si>
    <t>wbiao.cn</t>
  </si>
  <si>
    <t>web1800远程服务平台</t>
  </si>
  <si>
    <t>web1800.cn</t>
  </si>
  <si>
    <t>杨涛的ASP.NET开源世界</t>
  </si>
  <si>
    <t>webdiyer.com</t>
  </si>
  <si>
    <t>Wed114</t>
  </si>
  <si>
    <t>wed114.cn</t>
  </si>
  <si>
    <t>中国潍坊政府门户网</t>
  </si>
  <si>
    <t>weifang.gov.cn</t>
  </si>
  <si>
    <t>威海市政府门户网站</t>
  </si>
  <si>
    <t>weihai.gov.cn</t>
  </si>
  <si>
    <t>全国车辆违章查询网</t>
  </si>
  <si>
    <t>weizhang8.cn</t>
  </si>
  <si>
    <t>武汉市海泰机械</t>
  </si>
  <si>
    <t>wh-hitech.cn</t>
  </si>
  <si>
    <t>美桌网</t>
  </si>
  <si>
    <t>win4000.com</t>
  </si>
  <si>
    <t>win7之家</t>
  </si>
  <si>
    <t>win7zhijia.cn</t>
  </si>
  <si>
    <t>双赢通讯</t>
  </si>
  <si>
    <t>winboth.com</t>
  </si>
  <si>
    <t>完全实况网</t>
  </si>
  <si>
    <t>winning11cn.com</t>
  </si>
  <si>
    <t>中国唯顶设计公司</t>
  </si>
  <si>
    <t>witcp.com</t>
  </si>
  <si>
    <t>完美下载</t>
  </si>
  <si>
    <t>wmzhe.com</t>
  </si>
  <si>
    <t>万能五笔输入法下载官方网站</t>
  </si>
  <si>
    <t>wnwb.com</t>
  </si>
  <si>
    <t>百度网盘之家</t>
  </si>
  <si>
    <t>wowenda.com</t>
  </si>
  <si>
    <t>我要个性网站</t>
  </si>
  <si>
    <t>woyaogexing.com</t>
  </si>
  <si>
    <t>芜湖市政府网</t>
  </si>
  <si>
    <t>wuhu.gov.cn</t>
  </si>
  <si>
    <t>www.01xs.com</t>
  </si>
  <si>
    <t>www.05wang.com</t>
  </si>
  <si>
    <t>www.0zou.com</t>
  </si>
  <si>
    <t>www.100gsoft.cn</t>
  </si>
  <si>
    <t>www.101bt.net</t>
  </si>
  <si>
    <t>www.114zw8.com</t>
  </si>
  <si>
    <t>铁路客户服务中心网</t>
  </si>
  <si>
    <t>www.12306.cn</t>
  </si>
  <si>
    <t>全国12315互联网平台</t>
  </si>
  <si>
    <t>www.12315.cn</t>
  </si>
  <si>
    <t>12333电话咨询服务</t>
  </si>
  <si>
    <t>www.12333.gov.cn</t>
  </si>
  <si>
    <t>中央纪委监察部举报网站</t>
  </si>
  <si>
    <t>www.12388.gov.cn</t>
  </si>
  <si>
    <t>126网易</t>
  </si>
  <si>
    <t>www.126.com</t>
  </si>
  <si>
    <t>136书屋</t>
  </si>
  <si>
    <t>www.136book.com</t>
  </si>
  <si>
    <t>驱动人生</t>
  </si>
  <si>
    <t>www.160.com</t>
  </si>
  <si>
    <t>网易</t>
  </si>
  <si>
    <t>www.163.com</t>
  </si>
  <si>
    <t>www.16757.com</t>
  </si>
  <si>
    <t>阿里巴巴门户网站</t>
  </si>
  <si>
    <t>www.1688.com</t>
  </si>
  <si>
    <t>www.17kxsw.com</t>
  </si>
  <si>
    <t>188下载站</t>
  </si>
  <si>
    <t>www.188soft.com</t>
  </si>
  <si>
    <t>中国电信营业厅</t>
  </si>
  <si>
    <t>www.189.cn</t>
  </si>
  <si>
    <t>1905电影门户网站</t>
  </si>
  <si>
    <t>www.1905.com</t>
  </si>
  <si>
    <t>要看书</t>
  </si>
  <si>
    <t>www.1kanshu.cc</t>
  </si>
  <si>
    <t>21世纪秘书网</t>
  </si>
  <si>
    <t>www.1mishu.com</t>
  </si>
  <si>
    <t>第一PPT模板</t>
  </si>
  <si>
    <t>www.1ppt.com</t>
  </si>
  <si>
    <t>中国卫生人才网站</t>
  </si>
  <si>
    <t>www.21wecan.com</t>
  </si>
  <si>
    <t>www.21xiaochengxu.com</t>
  </si>
  <si>
    <t>爱尚小说平台</t>
  </si>
  <si>
    <t>www.23hh.com</t>
  </si>
  <si>
    <t>PP助手苹果助手</t>
  </si>
  <si>
    <t>www.25pp.com</t>
  </si>
  <si>
    <t>www.27k.net</t>
  </si>
  <si>
    <t>www.29wx.com</t>
  </si>
  <si>
    <t>药品价格315网</t>
  </si>
  <si>
    <t>www.315jiage.cn</t>
  </si>
  <si>
    <t>www.32r.com</t>
  </si>
  <si>
    <t>www.360doc.cn</t>
  </si>
  <si>
    <t>www.360docs.net</t>
  </si>
  <si>
    <t>360高清影视</t>
  </si>
  <si>
    <t>www.360kan.com</t>
  </si>
  <si>
    <t>www.360os.com</t>
  </si>
  <si>
    <t>37uu游游网</t>
  </si>
  <si>
    <t>www.37uu.cn</t>
  </si>
  <si>
    <t>三九养生</t>
  </si>
  <si>
    <t>www.39yst.com</t>
  </si>
  <si>
    <t>3d模型</t>
  </si>
  <si>
    <t>www.3d66.com</t>
  </si>
  <si>
    <t>www.3dmgame.com</t>
  </si>
  <si>
    <t>3Q中文小说网</t>
  </si>
  <si>
    <t>www.3qdu.com</t>
  </si>
  <si>
    <t>www.3qdu.net</t>
  </si>
  <si>
    <t>www.3qdu.org</t>
  </si>
  <si>
    <t>三掌门无广告小说</t>
  </si>
  <si>
    <t>www.3zm.la</t>
  </si>
  <si>
    <t>苗疆蛊事小说</t>
  </si>
  <si>
    <t>www.513gp.org</t>
  </si>
  <si>
    <t>www.5198china.com</t>
  </si>
  <si>
    <t>51CTO技术资讯网</t>
  </si>
  <si>
    <t>www.51cto.com</t>
  </si>
  <si>
    <t>www.51tracking.com</t>
  </si>
  <si>
    <t>www.51yuansu.com</t>
  </si>
  <si>
    <t>www.528btc.com</t>
  </si>
  <si>
    <t>www.52bug.cn</t>
  </si>
  <si>
    <t>www.52fy.com</t>
  </si>
  <si>
    <t>www.52mac.com</t>
  </si>
  <si>
    <t>www.52pojie.cn</t>
  </si>
  <si>
    <t>www.55188.com</t>
  </si>
  <si>
    <t>www.55usedcar.com</t>
  </si>
  <si>
    <t>58汽车网</t>
  </si>
  <si>
    <t>www.58che.com</t>
  </si>
  <si>
    <t>www.58wuji.com</t>
  </si>
  <si>
    <t>律师365</t>
  </si>
  <si>
    <t>www.64365.com</t>
  </si>
  <si>
    <t>6617网址导航网</t>
  </si>
  <si>
    <t>www.6617.com</t>
  </si>
  <si>
    <t>www.6xigema.com</t>
  </si>
  <si>
    <t>www.71.cn</t>
  </si>
  <si>
    <t>www.77de.com</t>
  </si>
  <si>
    <t>www.800best.com</t>
  </si>
  <si>
    <t>中国军网</t>
  </si>
  <si>
    <t>www.81.cn</t>
  </si>
  <si>
    <t>www.88dushw.com</t>
  </si>
  <si>
    <t>www.8dus.com</t>
  </si>
  <si>
    <t>www.9136.com</t>
  </si>
  <si>
    <t>免费无损音乐网</t>
  </si>
  <si>
    <t>www.91flac.com</t>
  </si>
  <si>
    <t>www.91rjz.com</t>
  </si>
  <si>
    <t>乐游网</t>
  </si>
  <si>
    <t>www.962.net</t>
  </si>
  <si>
    <t>www.99pdf.com</t>
  </si>
  <si>
    <t>www.9ad1.com</t>
  </si>
  <si>
    <t>www.abbyychina.com</t>
  </si>
  <si>
    <t>Acer 中国</t>
  </si>
  <si>
    <t>www.acer.com.cn</t>
  </si>
  <si>
    <t>AcFun弹幕视频</t>
  </si>
  <si>
    <t>www.acfun.cn</t>
  </si>
  <si>
    <t>www.acxsw.com</t>
  </si>
  <si>
    <t>阿迪达斯商城网站</t>
  </si>
  <si>
    <t>www.adidas.com.cn</t>
  </si>
  <si>
    <t>www.adobeacp.com</t>
  </si>
  <si>
    <t>www.agoda.com</t>
  </si>
  <si>
    <t>安徽省人民政府</t>
  </si>
  <si>
    <t>www.ah.gov.cn</t>
  </si>
  <si>
    <t>安徽省教育招生考试院</t>
  </si>
  <si>
    <t>www.ahzsks.cn</t>
  </si>
  <si>
    <t>www.aiadmin.com</t>
  </si>
  <si>
    <t>爱给</t>
  </si>
  <si>
    <t>www.aigei.com</t>
  </si>
  <si>
    <t>永恒之塔基地</t>
  </si>
  <si>
    <t>www.aionjd.com</t>
  </si>
  <si>
    <t>www.aitools.cc</t>
  </si>
  <si>
    <t>爱站网</t>
  </si>
  <si>
    <t>www.aizhan.com</t>
  </si>
  <si>
    <t>艺术字体在线生成器</t>
  </si>
  <si>
    <t>www.akuziti.com</t>
  </si>
  <si>
    <t>高德地图</t>
  </si>
  <si>
    <t>www.amap.com</t>
  </si>
  <si>
    <t>亚马逊网站</t>
  </si>
  <si>
    <t>www.amazon.cn</t>
  </si>
  <si>
    <t>www.amd.com</t>
  </si>
  <si>
    <t>www.andreader.com</t>
  </si>
  <si>
    <t>上海安能聚创供应链管理有限公司</t>
  </si>
  <si>
    <t>www.ane56.com</t>
  </si>
  <si>
    <t>广州房产网</t>
  </si>
  <si>
    <t>www.anjuke.com</t>
  </si>
  <si>
    <t>www.anydeskchina.cn</t>
  </si>
  <si>
    <t>www.apowersoft.cn</t>
  </si>
  <si>
    <t>www.apple.com.cn</t>
  </si>
  <si>
    <t>www.appnode.com</t>
  </si>
  <si>
    <t>安徽人事考试</t>
  </si>
  <si>
    <t>www.apta.gov.cn</t>
  </si>
  <si>
    <t>www.apusapps.com</t>
  </si>
  <si>
    <t>www.arcgis.net.cn</t>
  </si>
  <si>
    <t>www.asus.com.cn</t>
  </si>
  <si>
    <t>www.at88.net</t>
  </si>
  <si>
    <t>奥迪</t>
  </si>
  <si>
    <t>www.audi.cn</t>
  </si>
  <si>
    <t>www.audios-converter.com</t>
  </si>
  <si>
    <t>Autodesk</t>
  </si>
  <si>
    <t>www.autodesk.com.cn</t>
  </si>
  <si>
    <t>汽车之家</t>
  </si>
  <si>
    <t>www.autohome.com.cn</t>
  </si>
  <si>
    <t>www.autojiaoyi.com</t>
  </si>
  <si>
    <t>www.axurerp.com.cn</t>
  </si>
  <si>
    <t>www.baijiao.org</t>
  </si>
  <si>
    <t>www.baimatech.com</t>
  </si>
  <si>
    <t>交通银行网</t>
  </si>
  <si>
    <t>www.bankcomm.com</t>
  </si>
  <si>
    <t>中文期刊网</t>
  </si>
  <si>
    <t>www.baywatch.cn</t>
  </si>
  <si>
    <t>www.bdufida.com</t>
  </si>
  <si>
    <t>www.bear20.com</t>
  </si>
  <si>
    <t>北辰德</t>
  </si>
  <si>
    <t>www.beichende.com</t>
  </si>
  <si>
    <t>www.beijing.gov.cn</t>
  </si>
  <si>
    <t>www.beijing-time.org</t>
  </si>
  <si>
    <t>www.betterzip.net</t>
  </si>
  <si>
    <t>www.betterzipcn.com</t>
  </si>
  <si>
    <t>www.beyondcompare.cc</t>
  </si>
  <si>
    <t>www.beyondcomparepro.com</t>
  </si>
  <si>
    <t>www.bi0.cn</t>
  </si>
  <si>
    <t>www.bianjie.ai</t>
  </si>
  <si>
    <t>招标网</t>
  </si>
  <si>
    <t>www.bidchance.com</t>
  </si>
  <si>
    <t>www.bigemap.net</t>
  </si>
  <si>
    <t>毕节市人民政府网</t>
  </si>
  <si>
    <t>www.bijie.gov.cn</t>
  </si>
  <si>
    <t>www.bilibili.com</t>
  </si>
  <si>
    <t>www.biubiu001.com</t>
  </si>
  <si>
    <t>www.bjappkf.cn</t>
  </si>
  <si>
    <t>朝阳区政府</t>
  </si>
  <si>
    <t>www.bjchy.gov.cn</t>
  </si>
  <si>
    <t>北京教育考试院</t>
  </si>
  <si>
    <t>www.bjeea.cn</t>
  </si>
  <si>
    <t>新京报</t>
  </si>
  <si>
    <t>www.bjnews.com.cn</t>
  </si>
  <si>
    <t>北京地铁</t>
  </si>
  <si>
    <t>www.bjsubway.com</t>
  </si>
  <si>
    <t>中国建材网</t>
  </si>
  <si>
    <t>www.bmlink.com</t>
  </si>
  <si>
    <t>宝马中国</t>
  </si>
  <si>
    <t>www.bmw.com.cn</t>
  </si>
  <si>
    <t>www.boao.com.cn</t>
  </si>
  <si>
    <t>中国银行</t>
  </si>
  <si>
    <t>www.boc.cn</t>
  </si>
  <si>
    <t>www.bohe.cn</t>
  </si>
  <si>
    <t>www.bom.ai</t>
  </si>
  <si>
    <t>Booking.com缤客</t>
  </si>
  <si>
    <t>www.booking.com</t>
  </si>
  <si>
    <t>播视网站</t>
  </si>
  <si>
    <t>www.boosj.com</t>
  </si>
  <si>
    <t>www.bootstraphtml.cn</t>
  </si>
  <si>
    <t>www.bosssoft.com.cn</t>
  </si>
  <si>
    <t>www.bstek.com</t>
  </si>
  <si>
    <t>BT66高清电影天堂</t>
  </si>
  <si>
    <t>www.bt66.org</t>
  </si>
  <si>
    <t>www.btime.com</t>
  </si>
  <si>
    <t>卜易居算命网</t>
  </si>
  <si>
    <t>www.buyiju.com</t>
  </si>
  <si>
    <t>www.bxwx7.com</t>
  </si>
  <si>
    <t>www.c1n.cn</t>
  </si>
  <si>
    <t>中国民航</t>
  </si>
  <si>
    <t>www.caac.gov.cn</t>
  </si>
  <si>
    <t>中央网络安全和信息化委员会办公室</t>
  </si>
  <si>
    <t>www.cac.gov.cn</t>
  </si>
  <si>
    <t>才艺多建站</t>
  </si>
  <si>
    <t>www.caiyiduo.com</t>
  </si>
  <si>
    <t>www.callmysoft.com</t>
  </si>
  <si>
    <t>佳能</t>
  </si>
  <si>
    <t>www.canon.com.cn</t>
  </si>
  <si>
    <t>卡西欧</t>
  </si>
  <si>
    <t>www.casio.com.cn</t>
  </si>
  <si>
    <t>中国民航大学</t>
  </si>
  <si>
    <t>www.cauc.edu.cn</t>
  </si>
  <si>
    <t>中国政府采购网</t>
  </si>
  <si>
    <t>www.ccgp.gov.cn</t>
  </si>
  <si>
    <t>www.ccguitar.cn</t>
  </si>
  <si>
    <t>中共中央党校</t>
  </si>
  <si>
    <t>www.ccps.gov.cn</t>
  </si>
  <si>
    <t>光大银行</t>
  </si>
  <si>
    <t>www.cebbank.com</t>
  </si>
  <si>
    <t>中国经济导报网</t>
  </si>
  <si>
    <t>www.ceh.com.cn</t>
  </si>
  <si>
    <t>中国地震台网中心</t>
  </si>
  <si>
    <t>www.ceic.ac.cn</t>
  </si>
  <si>
    <t>www.chajian5.com</t>
  </si>
  <si>
    <t>超星发现</t>
  </si>
  <si>
    <t>www.chaoxing.com</t>
  </si>
  <si>
    <t>960化工网</t>
  </si>
  <si>
    <t>www.chem960.com</t>
  </si>
  <si>
    <t>奇瑞Chery汽车</t>
  </si>
  <si>
    <t>www.chery.cn</t>
  </si>
  <si>
    <t>www.chinaacc.com</t>
  </si>
  <si>
    <t>www.chinacourt.org</t>
  </si>
  <si>
    <t>中国双语日报网</t>
  </si>
  <si>
    <t>www.chinadaily.com.cn</t>
  </si>
  <si>
    <t>品牌服装网</t>
  </si>
  <si>
    <t>www.china-ef.com</t>
  </si>
  <si>
    <t>国家公务员考试资料网</t>
  </si>
  <si>
    <t>www.chinagwy.org</t>
  </si>
  <si>
    <t>中国外汇交易中心</t>
  </si>
  <si>
    <t>www.chinamoney.com.cn</t>
  </si>
  <si>
    <t>中国新闻社</t>
  </si>
  <si>
    <t>www.chinanews.com</t>
  </si>
  <si>
    <t>中国邮政</t>
  </si>
  <si>
    <t>www.chinapost.com.cn</t>
  </si>
  <si>
    <t>中国时尚品牌</t>
  </si>
  <si>
    <t>www.chinasspp.com</t>
  </si>
  <si>
    <t>国家税务总局</t>
  </si>
  <si>
    <t>www.chinatax.gov.cn</t>
  </si>
  <si>
    <t>中国电信门户网</t>
  </si>
  <si>
    <t>www.chinatelecom.com.cn</t>
  </si>
  <si>
    <t>中国作家网</t>
  </si>
  <si>
    <t>www.chinawriter.com.cn</t>
  </si>
  <si>
    <t>www.chinesejy.com</t>
  </si>
  <si>
    <t>麻花高清影视</t>
  </si>
  <si>
    <t>www.chnaus.com</t>
  </si>
  <si>
    <t>www.chrtech.cn</t>
  </si>
  <si>
    <t>春雨医生在线咨询</t>
  </si>
  <si>
    <t>www.chunyuyisheng.com</t>
  </si>
  <si>
    <t>兴业银行</t>
  </si>
  <si>
    <t>www.cib.com.cn</t>
  </si>
  <si>
    <t>www.cicpa.org.cn</t>
  </si>
  <si>
    <t>瓷都起名算命网</t>
  </si>
  <si>
    <t>www.ci-du.com</t>
  </si>
  <si>
    <t>中信银行网站</t>
  </si>
  <si>
    <t>www.citicbank.com</t>
  </si>
  <si>
    <t>广西中国国际旅行社</t>
  </si>
  <si>
    <t>www.citsgx.com</t>
  </si>
  <si>
    <t>www.cjysoft.com</t>
  </si>
  <si>
    <t>www.cloudstream-tech.com</t>
  </si>
  <si>
    <t>中国气象局门户网</t>
  </si>
  <si>
    <t>www.cma.gov.cn</t>
  </si>
  <si>
    <t>中国民生银行</t>
  </si>
  <si>
    <t>www.cmbc.com.cn</t>
  </si>
  <si>
    <t>www.cmgos.com</t>
  </si>
  <si>
    <t>中国艺术品</t>
  </si>
  <si>
    <t>www.cnarts.net</t>
  </si>
  <si>
    <t>www.cndzys.com</t>
  </si>
  <si>
    <t>www.cneb.gov.cn</t>
  </si>
  <si>
    <t>www.cngold.org</t>
  </si>
  <si>
    <t>健康界网</t>
  </si>
  <si>
    <t>www.cn-healthcare.com</t>
  </si>
  <si>
    <t>www.cnjunnet.cn</t>
  </si>
  <si>
    <t>中国石油天然气集团公司</t>
  </si>
  <si>
    <t>www.cnpc.com.cn</t>
  </si>
  <si>
    <t>www.cnpp.cn</t>
  </si>
  <si>
    <t>www.cnpp100.com</t>
  </si>
  <si>
    <t>央广网</t>
  </si>
  <si>
    <t>www.cnr.cn</t>
  </si>
  <si>
    <t>www.cnxiaoyuan.com</t>
  </si>
  <si>
    <t>www.codeigniter.org.cn</t>
  </si>
  <si>
    <t>www.coder100.com</t>
  </si>
  <si>
    <t>www.codesoft.hk</t>
  </si>
  <si>
    <t>www.codeun.com</t>
  </si>
  <si>
    <t>www.coffee.cn</t>
  </si>
  <si>
    <t>中华人民共和国最高人民法院</t>
  </si>
  <si>
    <t>www.court.gov.cn</t>
  </si>
  <si>
    <t>www.coverity.com.cn</t>
  </si>
  <si>
    <t>www.cpic.com.cn</t>
  </si>
  <si>
    <t>中国政协网</t>
  </si>
  <si>
    <t>www.cppcc.gov.cn</t>
  </si>
  <si>
    <t>中国人事考试网</t>
  </si>
  <si>
    <t>www.cpta.com.cn</t>
  </si>
  <si>
    <t>重庆市人民政府</t>
  </si>
  <si>
    <t>www.cq.gov.cn</t>
  </si>
  <si>
    <t>中国南方航空公司</t>
  </si>
  <si>
    <t>www.csair.com</t>
  </si>
  <si>
    <t>CSDN</t>
  </si>
  <si>
    <t>www.csdn.net</t>
  </si>
  <si>
    <t>www.cs-erp.com</t>
  </si>
  <si>
    <t>证监会</t>
  </si>
  <si>
    <t>www.csrc.gov.cn</t>
  </si>
  <si>
    <t>www.csunitec.cn</t>
  </si>
  <si>
    <t>www.ctdsb.net</t>
  </si>
  <si>
    <t>携程旅行门户网站</t>
  </si>
  <si>
    <t>www.ctrip.com</t>
  </si>
  <si>
    <t>中国电信天翼云</t>
  </si>
  <si>
    <t>www.ctyun.cn</t>
  </si>
  <si>
    <t>中国福彩网</t>
  </si>
  <si>
    <t>www.cwl.gov.cn</t>
  </si>
  <si>
    <t>西华师范大学</t>
  </si>
  <si>
    <t>www.cwnu.edu.cn</t>
  </si>
  <si>
    <t>鬼吹灯小说网</t>
  </si>
  <si>
    <t>www.cxbz958.com</t>
  </si>
  <si>
    <t>www.dadaojiayuan.com</t>
  </si>
  <si>
    <t>大河票务</t>
  </si>
  <si>
    <t>www.dahepiao.com</t>
  </si>
  <si>
    <t>大金空调网站</t>
  </si>
  <si>
    <t>www.daikin-china.com.cn</t>
  </si>
  <si>
    <t>www.dameng.com</t>
  </si>
  <si>
    <t>www.daruanjian.com</t>
  </si>
  <si>
    <t>中国学生网</t>
  </si>
  <si>
    <t>www.daxues.cn</t>
  </si>
  <si>
    <t>天天向上学习网</t>
  </si>
  <si>
    <t>www.daydayup123.com</t>
  </si>
  <si>
    <t>医药信息查询网</t>
  </si>
  <si>
    <t>www.dayi.org.cn</t>
  </si>
  <si>
    <t>www.dbeaver.net.cn</t>
  </si>
  <si>
    <t>豆豆言情小说网</t>
  </si>
  <si>
    <t>www.dd52.net</t>
  </si>
  <si>
    <t>www.ddjzj.com</t>
  </si>
  <si>
    <t>织梦无忧</t>
  </si>
  <si>
    <t>www.dedecms51.com</t>
  </si>
  <si>
    <t>德邦</t>
  </si>
  <si>
    <t>www.deppon.com</t>
  </si>
  <si>
    <t>东莞市政府</t>
  </si>
  <si>
    <t>www.dg.gov.cn</t>
  </si>
  <si>
    <t>店查查数据分析网</t>
  </si>
  <si>
    <t>www.dianchacha.com</t>
  </si>
  <si>
    <t>电玩男</t>
  </si>
  <si>
    <t>www.dianwannan.com</t>
  </si>
  <si>
    <t>顶点小说大全</t>
  </si>
  <si>
    <t>www.dingdianorg.com</t>
  </si>
  <si>
    <t>数据恢复及磁盘分区软件</t>
  </si>
  <si>
    <t>www.diskgenius.cn</t>
  </si>
  <si>
    <t>第一范文门户网站</t>
  </si>
  <si>
    <t>www.diyifanwen.com</t>
  </si>
  <si>
    <t>新轮回舞曲网</t>
  </si>
  <si>
    <t>www.dj92.cc</t>
  </si>
  <si>
    <t>大疆创新</t>
  </si>
  <si>
    <t>www.dji.com</t>
  </si>
  <si>
    <t>中国电力招标</t>
  </si>
  <si>
    <t>www.dlzb.com</t>
  </si>
  <si>
    <t>www.dntk.top</t>
  </si>
  <si>
    <t>豆丁网</t>
  </si>
  <si>
    <t>www.docin.com</t>
  </si>
  <si>
    <t>www.donet5.com</t>
  </si>
  <si>
    <t>东奥会计</t>
  </si>
  <si>
    <t>www.dongao.com</t>
  </si>
  <si>
    <t>www.dongfeng-nissan.com.cn</t>
  </si>
  <si>
    <t>懂球帝</t>
  </si>
  <si>
    <t>www.dongqiudi.com</t>
  </si>
  <si>
    <t>豆果美食网站</t>
  </si>
  <si>
    <t>www.douguo.com</t>
  </si>
  <si>
    <t>www.douyu.com</t>
  </si>
  <si>
    <t>www.downkuai.com</t>
  </si>
  <si>
    <t>绿色软件之家</t>
  </si>
  <si>
    <t>www.downza.cn</t>
  </si>
  <si>
    <t>故宫博物馆网站</t>
  </si>
  <si>
    <t>www.dpm.org.cn</t>
  </si>
  <si>
    <t>无损音乐吧</t>
  </si>
  <si>
    <t>www.dtshot.com</t>
  </si>
  <si>
    <t>杭州数澜科技</t>
  </si>
  <si>
    <t>www.dtwave.com</t>
  </si>
  <si>
    <t>笔趣阁全本小说网</t>
  </si>
  <si>
    <t>www.duquanben.com</t>
  </si>
  <si>
    <t>www.dutenews.com</t>
  </si>
  <si>
    <t>丁香园医学论坛</t>
  </si>
  <si>
    <t>www.dxy.cn</t>
  </si>
  <si>
    <t>www.e253.com</t>
  </si>
  <si>
    <t>4221学习网</t>
  </si>
  <si>
    <t>www.e4221.com</t>
  </si>
  <si>
    <t>www.eccang.com</t>
  </si>
  <si>
    <t>www.ecmsphp.com</t>
  </si>
  <si>
    <t>www.edgeros.com</t>
  </si>
  <si>
    <t>依依小说网</t>
  </si>
  <si>
    <t>www.eexiaoshuo.com</t>
  </si>
  <si>
    <t>电子发烧友网</t>
  </si>
  <si>
    <t>www.elecfans.com</t>
  </si>
  <si>
    <t>www.ellipspace.com</t>
  </si>
  <si>
    <t>www.emqx.cn</t>
  </si>
  <si>
    <t>全球邮政特快专递</t>
  </si>
  <si>
    <t>www.ems.com.cn</t>
  </si>
  <si>
    <t>www.enjoying3d.com</t>
  </si>
  <si>
    <t>天津北方门户网</t>
  </si>
  <si>
    <t>www.enorth.com.cn</t>
  </si>
  <si>
    <t>爱普生(中国)有限公司</t>
  </si>
  <si>
    <t>www.epson.com.cn</t>
  </si>
  <si>
    <t>ESLint</t>
  </si>
  <si>
    <t>www.eslint.com.cn</t>
  </si>
  <si>
    <t>www.extrabux.cn</t>
  </si>
  <si>
    <t>www.facille.cn</t>
  </si>
  <si>
    <t>房天下全国房地产</t>
  </si>
  <si>
    <t>www.fang.com</t>
  </si>
  <si>
    <t>www.faststonecapture.cn</t>
  </si>
  <si>
    <t>www.feeldesk.cn</t>
  </si>
  <si>
    <t>www.feituyun.com</t>
  </si>
  <si>
    <t>Firefox</t>
  </si>
  <si>
    <t>www.firefox.com.cn</t>
  </si>
  <si>
    <t>www.flower33.com</t>
  </si>
  <si>
    <t>www.foneplatform.com</t>
  </si>
  <si>
    <t>www.ford.com.cn</t>
  </si>
  <si>
    <t>中国林业网</t>
  </si>
  <si>
    <t>www.forestry.gov.cn</t>
  </si>
  <si>
    <t>法语助手网站</t>
  </si>
  <si>
    <t>www.frdic.com</t>
  </si>
  <si>
    <t>www.friday.tech</t>
  </si>
  <si>
    <t>www.fujian.gov.cn</t>
  </si>
  <si>
    <t>www.funcdn.com</t>
  </si>
  <si>
    <t>富途牛牛投资平台</t>
  </si>
  <si>
    <t>www.futunn.com</t>
  </si>
  <si>
    <t>www.fuzhou.gov.cn</t>
  </si>
  <si>
    <t>广汽丰田汽车有限公司</t>
  </si>
  <si>
    <t>www.gac-toyota.com.cn</t>
  </si>
  <si>
    <t>虫虫钢琴网</t>
  </si>
  <si>
    <t>www.gangqinpu.com</t>
  </si>
  <si>
    <t>甘肃省教育考试院</t>
  </si>
  <si>
    <t>www.ganseea.cn</t>
  </si>
  <si>
    <t>www.gansu.gov.cn</t>
  </si>
  <si>
    <t>2015高考网</t>
  </si>
  <si>
    <t>www.gaokao.com</t>
  </si>
  <si>
    <t>四川成都华锐净化工程公司</t>
  </si>
  <si>
    <t>www.gcjh.net</t>
  </si>
  <si>
    <t>广东省人民政府</t>
  </si>
  <si>
    <t>www.gd.gov.cn</t>
  </si>
  <si>
    <t>www.gdwindtech.com</t>
  </si>
  <si>
    <t>职场学堂</t>
  </si>
  <si>
    <t>www.gdyjs.com</t>
  </si>
  <si>
    <t>www.gdzwfw.gov.cn</t>
  </si>
  <si>
    <t>www.geekone.cc</t>
  </si>
  <si>
    <t>浙江吉利控股集团</t>
  </si>
  <si>
    <t>www.geely.com</t>
  </si>
  <si>
    <t>www.gemcoder.com</t>
  </si>
  <si>
    <t>安丘源清田食品</t>
  </si>
  <si>
    <t>www.genseida.com</t>
  </si>
  <si>
    <t>全国征兵网</t>
  </si>
  <si>
    <t>www.gfbzb.gov.cn</t>
  </si>
  <si>
    <t>广汽本田</t>
  </si>
  <si>
    <t>www.ghac.cn</t>
  </si>
  <si>
    <t>光环助手</t>
  </si>
  <si>
    <t>www.ghzs.com</t>
  </si>
  <si>
    <t>国家信访局</t>
  </si>
  <si>
    <t>www.gjxfj.gov.cn</t>
  </si>
  <si>
    <t>www.gk100.com</t>
  </si>
  <si>
    <t>www.goeasy.io</t>
  </si>
  <si>
    <t>GoFlac音乐网</t>
  </si>
  <si>
    <t>www.goflac.com</t>
  </si>
  <si>
    <t>国美在线</t>
  </si>
  <si>
    <t>www.gome.com.cn</t>
  </si>
  <si>
    <t>www.gov.cn</t>
  </si>
  <si>
    <t>观察者</t>
  </si>
  <si>
    <t>www.guancha.cn</t>
  </si>
  <si>
    <t>www.gushiwen.cn</t>
  </si>
  <si>
    <t>公务员在线网</t>
  </si>
  <si>
    <t>www.gwy101.com</t>
  </si>
  <si>
    <t>公务员之家网</t>
  </si>
  <si>
    <t>www.gwyoo.com</t>
  </si>
  <si>
    <t>广西人事考试网</t>
  </si>
  <si>
    <t>www.gxpta.com.cn</t>
  </si>
  <si>
    <t>广西壮族自治区人民政府</t>
  </si>
  <si>
    <t>www.gxzf.gov.cn</t>
  </si>
  <si>
    <t>www.gycharm.com</t>
  </si>
  <si>
    <t>中国广州政府网</t>
  </si>
  <si>
    <t>www.gz.gov.cn</t>
  </si>
  <si>
    <t>www.gzjunyu.com</t>
  </si>
  <si>
    <t>www.gzstv.com</t>
  </si>
  <si>
    <t>www.gzzsrj.com</t>
  </si>
  <si>
    <t>海尔</t>
  </si>
  <si>
    <t>www.haier.com</t>
  </si>
  <si>
    <t>www.hancibao.com</t>
  </si>
  <si>
    <t>杭州市政府</t>
  </si>
  <si>
    <t>www.hangzhou.gov.cn</t>
  </si>
  <si>
    <t>韩剧啦网</t>
  </si>
  <si>
    <t>www.hanjula.com</t>
  </si>
  <si>
    <t>www.hanyukeji.com.cn</t>
  </si>
  <si>
    <t>www.hao86.com</t>
  </si>
  <si>
    <t>好大夫在线</t>
  </si>
  <si>
    <t>www.haodf.com</t>
  </si>
  <si>
    <t>好投稿</t>
  </si>
  <si>
    <t>www.haotougao.com</t>
  </si>
  <si>
    <t>哈弗SUV</t>
  </si>
  <si>
    <t>www.haval.com.cn</t>
  </si>
  <si>
    <t>湖北省教育考试院</t>
  </si>
  <si>
    <t>www.hbea.edu.cn</t>
  </si>
  <si>
    <t>www.heao.com.cn</t>
  </si>
  <si>
    <t>河北省教育考试院</t>
  </si>
  <si>
    <t>www.hebeea.edu.cn</t>
  </si>
  <si>
    <t>中国河北门户网站</t>
  </si>
  <si>
    <t>www.hebei.gov.cn</t>
  </si>
  <si>
    <t>www.hebpta.com.cn</t>
  </si>
  <si>
    <t>河北网络电视台</t>
  </si>
  <si>
    <t>www.hebtv.com</t>
  </si>
  <si>
    <t>合肥市人民政府</t>
  </si>
  <si>
    <t>www.hefei.gov.cn</t>
  </si>
  <si>
    <t>www.henan.gov.cn</t>
  </si>
  <si>
    <t>河南隆鑫机车有限公司</t>
  </si>
  <si>
    <t>www.henanloncin.com</t>
  </si>
  <si>
    <t>和图书小说网</t>
  </si>
  <si>
    <t>www.hetushu.com</t>
  </si>
  <si>
    <t>www.hikunpeng.com</t>
  </si>
  <si>
    <t>中国黑龙江</t>
  </si>
  <si>
    <t>www.hlj.gov.cn</t>
  </si>
  <si>
    <t>黑龙江艺术职业学院</t>
  </si>
  <si>
    <t>www.hljyzy.com</t>
  </si>
  <si>
    <t>映象网站</t>
  </si>
  <si>
    <t>www.hnr.cn</t>
  </si>
  <si>
    <t>河南省人事考试中心</t>
  </si>
  <si>
    <t>www.hnrsks.com</t>
  </si>
  <si>
    <t>河南网络电视台</t>
  </si>
  <si>
    <t>www.hntv.tv</t>
  </si>
  <si>
    <t>www.hoteamsoft.com</t>
  </si>
  <si>
    <t>择城网</t>
  </si>
  <si>
    <t>www.hotelaah.com</t>
  </si>
  <si>
    <t>环球网校教育</t>
  </si>
  <si>
    <t>www.hqwx.com</t>
  </si>
  <si>
    <t>www.hsbianma.com</t>
  </si>
  <si>
    <t>www.hsrobotics.cn</t>
  </si>
  <si>
    <t>www.hssz.net.cn</t>
  </si>
  <si>
    <t>华泰证券股份有限公司</t>
  </si>
  <si>
    <t>www.htsc.com.cn</t>
  </si>
  <si>
    <t>www.huaibei.com</t>
  </si>
  <si>
    <t>淮阳新闻网</t>
  </si>
  <si>
    <t>www.huaiyangnews.com</t>
  </si>
  <si>
    <t>www.huajunxiazai.com</t>
  </si>
  <si>
    <t>www.huangjinjiage.cn</t>
  </si>
  <si>
    <t>黄南州人民政府</t>
  </si>
  <si>
    <t>www.huangnan.gov.cn</t>
  </si>
  <si>
    <t>www.huangye88.com</t>
  </si>
  <si>
    <t>www.huashi6.com</t>
  </si>
  <si>
    <t>华图教育</t>
  </si>
  <si>
    <t>www.huatu.com</t>
  </si>
  <si>
    <t>www.huaweicloud.com</t>
  </si>
  <si>
    <t>湖北省人民政府</t>
  </si>
  <si>
    <t>www.hubei.gov.cn</t>
  </si>
  <si>
    <t>www.huisheng-ai.com</t>
  </si>
  <si>
    <t>www.hujiang.com</t>
  </si>
  <si>
    <t>湖南人事考试网</t>
  </si>
  <si>
    <t>www.hunanpea.com</t>
  </si>
  <si>
    <t>芒果TV门户网</t>
  </si>
  <si>
    <t>www.hunantv.com</t>
  </si>
  <si>
    <t>婚礼纪</t>
  </si>
  <si>
    <t>www.hunliji.com</t>
  </si>
  <si>
    <t>伙伴办公</t>
  </si>
  <si>
    <t>www.huoban.com</t>
  </si>
  <si>
    <t>虎牙直播门户网站</t>
  </si>
  <si>
    <t>www.huya.com</t>
  </si>
  <si>
    <t>www.hzhdsoft.com</t>
  </si>
  <si>
    <t>华东政法大学考研网站</t>
  </si>
  <si>
    <t>www.hzkaoyan.com</t>
  </si>
  <si>
    <t>杭州气象</t>
  </si>
  <si>
    <t>www.hzqx.com</t>
  </si>
  <si>
    <t>www.hz-zcsoft.com</t>
  </si>
  <si>
    <t>蛙蛙工具网</t>
  </si>
  <si>
    <t>www.iamwawa.cn</t>
  </si>
  <si>
    <t>www.icauto.com.cn</t>
  </si>
  <si>
    <t>icpdf中文资料网</t>
  </si>
  <si>
    <t>www.icpdf.com</t>
  </si>
  <si>
    <t>www.idzs.cc</t>
  </si>
  <si>
    <t>www.ifbim.com</t>
  </si>
  <si>
    <t>话本小说网</t>
  </si>
  <si>
    <t>www.ihuaben.com</t>
  </si>
  <si>
    <t>IKEA宜家家居</t>
  </si>
  <si>
    <t>www.ikea.cn</t>
  </si>
  <si>
    <t>www.ilanzou.com</t>
  </si>
  <si>
    <t>www.imgcook.com</t>
  </si>
  <si>
    <t>www.infinitytab.com</t>
  </si>
  <si>
    <t>www.info2soft.cn</t>
  </si>
  <si>
    <t>www.infocoding.cn</t>
  </si>
  <si>
    <t>浪潮集团</t>
  </si>
  <si>
    <t>www.inspur.com</t>
  </si>
  <si>
    <t>仪器信息网站</t>
  </si>
  <si>
    <t>www.instrument.com.cn</t>
  </si>
  <si>
    <t>www.integrated.com.cn</t>
  </si>
  <si>
    <t>www.intel.com</t>
  </si>
  <si>
    <t>www.intsig.com</t>
  </si>
  <si>
    <t>www.ipwuji.com</t>
  </si>
  <si>
    <t>爱奇艺</t>
  </si>
  <si>
    <t>www.iqiyi.com</t>
  </si>
  <si>
    <t>www.irobint.com</t>
  </si>
  <si>
    <t>www.isenlin.cn</t>
  </si>
  <si>
    <t>上海敏书组织集成研发管理平台</t>
  </si>
  <si>
    <t>www.isoftbook.com</t>
  </si>
  <si>
    <t>www.itmop.com</t>
  </si>
  <si>
    <t>www.itsk.com</t>
  </si>
  <si>
    <t>www.iwurexs.com</t>
  </si>
  <si>
    <t>www.ixigua.com</t>
  </si>
  <si>
    <t>鸡病专业网</t>
  </si>
  <si>
    <t>www.jbzyw.com</t>
  </si>
  <si>
    <t>www.jetbrains.com.cn</t>
  </si>
  <si>
    <t>解放网</t>
  </si>
  <si>
    <t>www.jfdaily.com</t>
  </si>
  <si>
    <t>全球加盟</t>
  </si>
  <si>
    <t>www.jiameng.com</t>
  </si>
  <si>
    <t>www.jiamisoft.com</t>
  </si>
  <si>
    <t>千千简笔画</t>
  </si>
  <si>
    <t>www.jianbihua.com</t>
  </si>
  <si>
    <t>www.jiandaoyun.com</t>
  </si>
  <si>
    <t>江苏省政府</t>
  </si>
  <si>
    <t>www.jiangsu.gov.cn</t>
  </si>
  <si>
    <t>简谱网</t>
  </si>
  <si>
    <t>www.jianpuw.com</t>
  </si>
  <si>
    <t>www.jimiiot.com</t>
  </si>
  <si>
    <t>www.jiqrxx.com</t>
  </si>
  <si>
    <t>www.jisuapi.com</t>
  </si>
  <si>
    <t>吉他社</t>
  </si>
  <si>
    <t>www.jitashe.org</t>
  </si>
  <si>
    <t>九松健康网</t>
  </si>
  <si>
    <t>www.jiusongjiankang.com</t>
  </si>
  <si>
    <t>极迅互联加速器</t>
  </si>
  <si>
    <t>www.jixunjsq.com</t>
  </si>
  <si>
    <t>基金买卖</t>
  </si>
  <si>
    <t>www.jjmmw.com</t>
  </si>
  <si>
    <t>新视听网站</t>
  </si>
  <si>
    <t>www.jnnc.com</t>
  </si>
  <si>
    <t>卓博</t>
  </si>
  <si>
    <t>www.jobcn.com</t>
  </si>
  <si>
    <t>第二炮兵工程学院</t>
  </si>
  <si>
    <t>www.jseea.cn</t>
  </si>
  <si>
    <t>江苏体彩</t>
  </si>
  <si>
    <t>www.js-lottery.com</t>
  </si>
  <si>
    <t>www.jsocr.com</t>
  </si>
  <si>
    <t>教师资格网</t>
  </si>
  <si>
    <t>www.jszg.edu.cn</t>
  </si>
  <si>
    <t>www.jy135.com</t>
  </si>
  <si>
    <t>www.jzyyun.com</t>
  </si>
  <si>
    <t>华易算命</t>
  </si>
  <si>
    <t>www.k366.com</t>
  </si>
  <si>
    <t>www.k8src.cn</t>
  </si>
  <si>
    <t>开淘网站</t>
  </si>
  <si>
    <t>www.kaitao.cn</t>
  </si>
  <si>
    <t>www.kanshuge.org</t>
  </si>
  <si>
    <t>看准</t>
  </si>
  <si>
    <t>www.kanzhun.com</t>
  </si>
  <si>
    <t>www.kasoftware.com</t>
  </si>
  <si>
    <t>www.kdfpy.com</t>
  </si>
  <si>
    <t>www.keansi.com</t>
  </si>
  <si>
    <t>科普中国网站</t>
  </si>
  <si>
    <t>www.kepuchina.cn</t>
  </si>
  <si>
    <t>www.kiivo.net</t>
  </si>
  <si>
    <t>www.kingxsw.org</t>
  </si>
  <si>
    <t>www.koudaipe.com</t>
  </si>
  <si>
    <t>www.ktvc8.com</t>
  </si>
  <si>
    <t>快看漫画网</t>
  </si>
  <si>
    <t>www.kuaikanmanhua.com</t>
  </si>
  <si>
    <t>快手视频</t>
  </si>
  <si>
    <t>www.kuaishou.com</t>
  </si>
  <si>
    <t>酷乐米</t>
  </si>
  <si>
    <t>www.kulemi.com</t>
  </si>
  <si>
    <t>酷我音乐</t>
  </si>
  <si>
    <t>www.kuwo.cn</t>
  </si>
  <si>
    <t>www.kylc.com</t>
  </si>
  <si>
    <t>www.ladartek.com</t>
  </si>
  <si>
    <t>www.lakalab.com</t>
  </si>
  <si>
    <t>懒人图库门户网站</t>
  </si>
  <si>
    <t>www.lanrentuku.com</t>
  </si>
  <si>
    <t>www.las.ac.cn</t>
  </si>
  <si>
    <t>网上音乐库</t>
  </si>
  <si>
    <t>www.last.fm</t>
  </si>
  <si>
    <t>法律咨询</t>
  </si>
  <si>
    <t>www.lawtime.cn</t>
  </si>
  <si>
    <t>聊城新闻</t>
  </si>
  <si>
    <t>www.lcxw.cn</t>
  </si>
  <si>
    <t>www.lddgo.net</t>
  </si>
  <si>
    <t>乐视视频</t>
  </si>
  <si>
    <t>www.le.com</t>
  </si>
  <si>
    <t>www.lediaocha.com</t>
  </si>
  <si>
    <t>法制网</t>
  </si>
  <si>
    <t>www.legaldaily.com.cn</t>
  </si>
  <si>
    <t>雷速体育平台</t>
  </si>
  <si>
    <t>www.leisu.com</t>
  </si>
  <si>
    <t>猎聘网招聘</t>
  </si>
  <si>
    <t>www.liepin.com</t>
  </si>
  <si>
    <t>三联生活周刊网</t>
  </si>
  <si>
    <t>www.lifeweek.com.cn</t>
  </si>
  <si>
    <t>www.lingsee.com</t>
  </si>
  <si>
    <t>www.linyi.gov.cn</t>
  </si>
  <si>
    <t>历趣</t>
  </si>
  <si>
    <t>www.liqucn.com</t>
  </si>
  <si>
    <t>辽宁省人民政府</t>
  </si>
  <si>
    <t>www.ln.gov.cn</t>
  </si>
  <si>
    <t>www.lnrsks.com</t>
  </si>
  <si>
    <t>www.lnzsks.com</t>
  </si>
  <si>
    <t>www.loadrunner.cn</t>
  </si>
  <si>
    <t>www.lodashrc.cn</t>
  </si>
  <si>
    <t>www.lofter.com</t>
  </si>
  <si>
    <t>www.longines.cn</t>
  </si>
  <si>
    <t>中国体彩</t>
  </si>
  <si>
    <t>www.lottery.gov.cn</t>
  </si>
  <si>
    <t>歌词千寻</t>
  </si>
  <si>
    <t>www.lrcgc.com</t>
  </si>
  <si>
    <t>同程旅游服务</t>
  </si>
  <si>
    <t>www.ly.com</t>
  </si>
  <si>
    <t>黑龙江省招生考试信息港</t>
  </si>
  <si>
    <t>www.lzk.hl.cn</t>
  </si>
  <si>
    <t>蚂蜂窝网站</t>
  </si>
  <si>
    <t>www.mafengwo.cn</t>
  </si>
  <si>
    <t>163网易免费邮网</t>
  </si>
  <si>
    <t>www.mail.163.com</t>
  </si>
  <si>
    <t>www.maiyadi.com</t>
  </si>
  <si>
    <t>猫眼电影网站</t>
  </si>
  <si>
    <t>www.maoyan.com</t>
  </si>
  <si>
    <t>中华人民共和国民政部</t>
  </si>
  <si>
    <t>www.mca.gov.cn</t>
  </si>
  <si>
    <t>www.mct.gov.cn</t>
  </si>
  <si>
    <t>医学教育</t>
  </si>
  <si>
    <t>www.med66.com</t>
  </si>
  <si>
    <t>www.me-game.com</t>
  </si>
  <si>
    <t>美篇</t>
  </si>
  <si>
    <t>www.meipian.cn</t>
  </si>
  <si>
    <t>美图网</t>
  </si>
  <si>
    <t>www.meitu.com</t>
  </si>
  <si>
    <t>梅赛德斯-奔驰(中国)</t>
  </si>
  <si>
    <t>www.mercedes-benz.com.cn</t>
  </si>
  <si>
    <t>民福康网</t>
  </si>
  <si>
    <t>www.mfk.com</t>
  </si>
  <si>
    <t>芒果TV高清视频</t>
  </si>
  <si>
    <t>www.mgtv.com</t>
  </si>
  <si>
    <t>三菱重工空调系统(上海)有限公司</t>
  </si>
  <si>
    <t>www.mhi-ac.com</t>
  </si>
  <si>
    <t>www.miaoshou.net</t>
  </si>
  <si>
    <t>中华人民共和国工业和信息化部</t>
  </si>
  <si>
    <t>www.miit.gov.cn</t>
  </si>
  <si>
    <t>我的世界网</t>
  </si>
  <si>
    <t>www.minecraftxz.com</t>
  </si>
  <si>
    <t>www.mingyantong.com</t>
  </si>
  <si>
    <t>www.mingyihui.net</t>
  </si>
  <si>
    <t>www.mitusky.com</t>
  </si>
  <si>
    <t>闽南网</t>
  </si>
  <si>
    <t>www.mnw.cn</t>
  </si>
  <si>
    <t>中华人民共和国农业部</t>
  </si>
  <si>
    <t>www.moa.gov.cn</t>
  </si>
  <si>
    <t>中华人民共和国教育部</t>
  </si>
  <si>
    <t>www.moe.gov.cn</t>
  </si>
  <si>
    <t>中华人民共和国商务部网站</t>
  </si>
  <si>
    <t>www.mofcom.gov.cn</t>
  </si>
  <si>
    <t>中华人民共和国住房和城乡建设部</t>
  </si>
  <si>
    <t>www.mohurd.gov.cn</t>
  </si>
  <si>
    <t>中华人民共和国司法部</t>
  </si>
  <si>
    <t>www.moj.gov.cn</t>
  </si>
  <si>
    <t>茅台酒</t>
  </si>
  <si>
    <t>www.moutaichina.com</t>
  </si>
  <si>
    <t>www.mtscitech.com</t>
  </si>
  <si>
    <t>www.mycleanmymac.com</t>
  </si>
  <si>
    <t>源码之家</t>
  </si>
  <si>
    <t>www.mycodes.net</t>
  </si>
  <si>
    <t>极速下载网站</t>
  </si>
  <si>
    <t>www.mydown.com</t>
  </si>
  <si>
    <t>名医在线网</t>
  </si>
  <si>
    <t>www.myzx.cn</t>
  </si>
  <si>
    <t>明星写真馆</t>
  </si>
  <si>
    <t>www.n63.com</t>
  </si>
  <si>
    <t>南京市政府</t>
  </si>
  <si>
    <t>www.nanjing.gov.cn</t>
  </si>
  <si>
    <t>www.navicat.com.cn</t>
  </si>
  <si>
    <t>宁波银行</t>
  </si>
  <si>
    <t>www.nbcb.com.cn</t>
  </si>
  <si>
    <t>每日经济新闻</t>
  </si>
  <si>
    <t>www.nbd.com.cn</t>
  </si>
  <si>
    <t>中华人民共和国国家发展和改革委员会</t>
  </si>
  <si>
    <t>www.ndrc.gov.cn</t>
  </si>
  <si>
    <t>www.neapi.com</t>
  </si>
  <si>
    <t>中国教育考试网</t>
  </si>
  <si>
    <t>www.neea.edu.cn</t>
  </si>
  <si>
    <t>www.netofthings.cn</t>
  </si>
  <si>
    <t>www.netskyper.com</t>
  </si>
  <si>
    <t>新中大</t>
  </si>
  <si>
    <t>www.newgrand.cn</t>
  </si>
  <si>
    <t>www.nickdd.cn</t>
  </si>
  <si>
    <t>昵图网</t>
  </si>
  <si>
    <t>www.nipic.com</t>
  </si>
  <si>
    <t>逆天邪神小说</t>
  </si>
  <si>
    <t>www.nitianxieshen.com</t>
  </si>
  <si>
    <t>www.njsoftgs.cn</t>
  </si>
  <si>
    <t>内蒙古招生考试信息网</t>
  </si>
  <si>
    <t>www.nm.zsks.cn</t>
  </si>
  <si>
    <t>中央气象台网</t>
  </si>
  <si>
    <t>www.nmc.cn</t>
  </si>
  <si>
    <t>内蒙古自治区政府门户网站</t>
  </si>
  <si>
    <t>www.nmg.gov.cn</t>
  </si>
  <si>
    <t>www.nopme.com</t>
  </si>
  <si>
    <t>www.npc.gov.cn</t>
  </si>
  <si>
    <t>www.ntfsformac.cn</t>
  </si>
  <si>
    <t>国防科学技术大学</t>
  </si>
  <si>
    <t>www.nudt.edu.cn</t>
  </si>
  <si>
    <t>www.nvidia.cn</t>
  </si>
  <si>
    <t>www.nxtui.com</t>
  </si>
  <si>
    <t>www.oacrm.com</t>
  </si>
  <si>
    <t>www.okayapi.com</t>
  </si>
  <si>
    <t>澳客</t>
  </si>
  <si>
    <t>www.okooo.com</t>
  </si>
  <si>
    <t>OpenCart中文网</t>
  </si>
  <si>
    <t>www.opencart.cn</t>
  </si>
  <si>
    <t>openEuler社区官网</t>
  </si>
  <si>
    <t>www.openeuler.openatom.cn</t>
  </si>
  <si>
    <t>www.openpie.com</t>
  </si>
  <si>
    <t>www.oppo.com</t>
  </si>
  <si>
    <t>www.orbbec.com</t>
  </si>
  <si>
    <t>开源中国</t>
  </si>
  <si>
    <t>www.oschina.net</t>
  </si>
  <si>
    <t>www.osvlabs.com</t>
  </si>
  <si>
    <t>www.otat.cn</t>
  </si>
  <si>
    <t>www.ou99.com</t>
  </si>
  <si>
    <t>www.oupukeji.com</t>
  </si>
  <si>
    <t>www.outofmemory.cn</t>
  </si>
  <si>
    <t>www.paddlepaddle.org.cn</t>
  </si>
  <si>
    <t>www.parallels.cn</t>
  </si>
  <si>
    <t>中国人民银行</t>
  </si>
  <si>
    <t>www.pbc.gov.cn</t>
  </si>
  <si>
    <t>征信中心</t>
  </si>
  <si>
    <t>www.pbccrc.org.cn</t>
  </si>
  <si>
    <t>太平洋电脑门户网</t>
  </si>
  <si>
    <t>www.pconline.com.cn</t>
  </si>
  <si>
    <t>www.pdf.cn</t>
  </si>
  <si>
    <t>www.pdfexpert.cc</t>
  </si>
  <si>
    <t>飞利浦</t>
  </si>
  <si>
    <t>www.philips.com.cn</t>
  </si>
  <si>
    <t>www.phone580.com</t>
  </si>
  <si>
    <t>图行天下</t>
  </si>
  <si>
    <t>www.photophoto.cn</t>
  </si>
  <si>
    <t>www.phpweb.com.cn</t>
  </si>
  <si>
    <t>www.pigcms.com</t>
  </si>
  <si>
    <t>www.pointone.tech</t>
  </si>
  <si>
    <t>保时捷（中国）汽车销售有限公司</t>
  </si>
  <si>
    <t>www.porsche.cn</t>
  </si>
  <si>
    <t>www.postcss.com.cn</t>
  </si>
  <si>
    <t>www.postmanapi.com.cn</t>
  </si>
  <si>
    <t>考试资料网</t>
  </si>
  <si>
    <t>www.ppkao.com</t>
  </si>
  <si>
    <t>蒲城教育文学作文网</t>
  </si>
  <si>
    <t>www.puchedu.cn</t>
  </si>
  <si>
    <t>www.python51.com</t>
  </si>
  <si>
    <t>www.qb5.io</t>
  </si>
  <si>
    <t>www.qcc.com</t>
  </si>
  <si>
    <t>www.qddumay.com</t>
  </si>
  <si>
    <t>起点女生网</t>
  </si>
  <si>
    <t>www.qdmm.com</t>
  </si>
  <si>
    <t>千家</t>
  </si>
  <si>
    <t>www.qianjia.com</t>
  </si>
  <si>
    <t>www.qibangkeji.com</t>
  </si>
  <si>
    <t>起点小说</t>
  </si>
  <si>
    <t>www.qidian.com</t>
  </si>
  <si>
    <t>www.qijiankeji.com</t>
  </si>
  <si>
    <t>蜻蜓FM广播</t>
  </si>
  <si>
    <t>www.qingting.fm</t>
  </si>
  <si>
    <t>勤学教育</t>
  </si>
  <si>
    <t>www.qinxue365.com</t>
  </si>
  <si>
    <t>球迷屋平台</t>
  </si>
  <si>
    <t>www.qiumiwu.com</t>
  </si>
  <si>
    <t>求字体网</t>
  </si>
  <si>
    <t>www.qiuziti.com</t>
  </si>
  <si>
    <t>启信宝信息查询</t>
  </si>
  <si>
    <t>www.qixin.com</t>
  </si>
  <si>
    <t>汽油价格查询网</t>
  </si>
  <si>
    <t>www.qiyoujiage.com</t>
  </si>
  <si>
    <t>www.qiyuanai.com</t>
  </si>
  <si>
    <t>奇缘阁算命网</t>
  </si>
  <si>
    <t>www.qiyuange.com</t>
  </si>
  <si>
    <t>www.qm120.com</t>
  </si>
  <si>
    <t>www.qqtf.com</t>
  </si>
  <si>
    <t>求是网站</t>
  </si>
  <si>
    <t>www.qstheory.cn</t>
  </si>
  <si>
    <t>www.quanben5.com</t>
  </si>
  <si>
    <t>全景网站</t>
  </si>
  <si>
    <t>www.quanjing.com</t>
  </si>
  <si>
    <t>券妈妈优惠券网</t>
  </si>
  <si>
    <t>www.quanmama.com</t>
  </si>
  <si>
    <t>www.quickapp.cn</t>
  </si>
  <si>
    <t>群走分享网</t>
  </si>
  <si>
    <t>www.qunzou.com</t>
  </si>
  <si>
    <t>中国曲谱</t>
  </si>
  <si>
    <t>www.qupu123.com</t>
  </si>
  <si>
    <t>趣书吧小说网</t>
  </si>
  <si>
    <t>www.qushuba.net</t>
  </si>
  <si>
    <t>www.ranwena.net</t>
  </si>
  <si>
    <t>www.raqsoft.com.cn</t>
  </si>
  <si>
    <t>吾爱小说网</t>
  </si>
  <si>
    <t>www.rebloga.com</t>
  </si>
  <si>
    <t>www.redisio.com</t>
  </si>
  <si>
    <t>www.renai-edu.com</t>
  </si>
  <si>
    <t>www.renpy.cn</t>
  </si>
  <si>
    <t>人民政协网</t>
  </si>
  <si>
    <t>www.rmzxb.com.cn</t>
  </si>
  <si>
    <t>机器人离线编程仿真软件RoboDK</t>
  </si>
  <si>
    <t>www.robodk.info</t>
  </si>
  <si>
    <t>瑞文网</t>
  </si>
  <si>
    <t>www.ruiwen.com</t>
  </si>
  <si>
    <t>www.runningman-fan.com</t>
  </si>
  <si>
    <t>www.runoob.com</t>
  </si>
  <si>
    <t>www.saasruanjian.com</t>
  </si>
  <si>
    <t>www.sac.net.cn</t>
  </si>
  <si>
    <t>国家市场监督管理总局</t>
  </si>
  <si>
    <t>www.samr.gov.cn</t>
  </si>
  <si>
    <t>三星网上商城</t>
  </si>
  <si>
    <t>www.samsung.com</t>
  </si>
  <si>
    <t>淮安市三畅仪表</t>
  </si>
  <si>
    <t>www.sancdc.com</t>
  </si>
  <si>
    <t>三国杀</t>
  </si>
  <si>
    <t>www.sanguosha.com</t>
  </si>
  <si>
    <t>三一集团</t>
  </si>
  <si>
    <t>www.sanygroup.com</t>
  </si>
  <si>
    <t>四川省人民政府</t>
  </si>
  <si>
    <t>www.sc.gov.cn</t>
  </si>
  <si>
    <t>四川教育考试网</t>
  </si>
  <si>
    <t>www.sceea.cn</t>
  </si>
  <si>
    <t>华南防爆科技——防爆电器生产厂家</t>
  </si>
  <si>
    <t>www.scexkj.com</t>
  </si>
  <si>
    <t>www.scgkzx.com</t>
  </si>
  <si>
    <t>国务院新闻办公室</t>
  </si>
  <si>
    <t>www.scio.gov.cn</t>
  </si>
  <si>
    <t>国家公务员局</t>
  </si>
  <si>
    <t>www.scs.gov.cn</t>
  </si>
  <si>
    <t>www.sdcms.cn</t>
  </si>
  <si>
    <t>www.sdei.edu.cn</t>
  </si>
  <si>
    <t>www.sdu.edu.cn</t>
  </si>
  <si>
    <t>www.sequoiadb.com</t>
  </si>
  <si>
    <t>顺丰速运</t>
  </si>
  <si>
    <t>www.sf-express.com</t>
  </si>
  <si>
    <t>国家电网公司</t>
  </si>
  <si>
    <t>www.sgcc.com.cn</t>
  </si>
  <si>
    <t>上海市黄金交易所</t>
  </si>
  <si>
    <t>www.sge.com.cn</t>
  </si>
  <si>
    <t>www.sgkeji.net</t>
  </si>
  <si>
    <t>陕西省政府网</t>
  </si>
  <si>
    <t>www.shaanxi.gov.cn</t>
  </si>
  <si>
    <t>www.shadcn-ui.cn</t>
  </si>
  <si>
    <t>山东省政府</t>
  </si>
  <si>
    <t>www.shandong.gov.cn</t>
  </si>
  <si>
    <t>www.shanghai.gov.cn</t>
  </si>
  <si>
    <t>www.shangtaitech.com</t>
  </si>
  <si>
    <t>www.shangyexinzhi.com</t>
  </si>
  <si>
    <t>汕头市政府门户网站</t>
  </si>
  <si>
    <t>www.shantou.gov.cn</t>
  </si>
  <si>
    <t>www.shanxi.gov.cn</t>
  </si>
  <si>
    <t>绍兴网</t>
  </si>
  <si>
    <t>www.shaoxing.com.cn</t>
  </si>
  <si>
    <t>www.shenqiankeji.com</t>
  </si>
  <si>
    <t>上海市教育考试院</t>
  </si>
  <si>
    <t>www.shmeea.edu.cn</t>
  </si>
  <si>
    <t>www.shobserver.com</t>
  </si>
  <si>
    <t>www.showmebug.com</t>
  </si>
  <si>
    <t>工具书网站</t>
  </si>
  <si>
    <t>www.shubang.net</t>
  </si>
  <si>
    <t>www.shugege.com</t>
  </si>
  <si>
    <t>www.shukuai.net</t>
  </si>
  <si>
    <t>www.shunengsoft.com</t>
  </si>
  <si>
    <t>爱书旗</t>
  </si>
  <si>
    <t>www.shuqi.com</t>
  </si>
  <si>
    <t>思必达门业</t>
  </si>
  <si>
    <t>www.sibidadoor.com</t>
  </si>
  <si>
    <t>新浪首页</t>
  </si>
  <si>
    <t>www.sina.com.cn</t>
  </si>
  <si>
    <t>www.softwhy.com</t>
  </si>
  <si>
    <t>互联网视频搜索引擎</t>
  </si>
  <si>
    <t>www.soku.com</t>
  </si>
  <si>
    <t>www.solanyun.com</t>
  </si>
  <si>
    <t>索尼</t>
  </si>
  <si>
    <t>www.sony.com.cn</t>
  </si>
  <si>
    <t>索尼中国</t>
  </si>
  <si>
    <t>www.sonystyle.com.cn</t>
  </si>
  <si>
    <t>SOOGIF</t>
  </si>
  <si>
    <t>www.soogif.com</t>
  </si>
  <si>
    <t>南方财富网</t>
  </si>
  <si>
    <t>www.southmoney.com</t>
  </si>
  <si>
    <t>www.spineapp.cn</t>
  </si>
  <si>
    <t>国家体育总局</t>
  </si>
  <si>
    <t>www.sport.gov.cn</t>
  </si>
  <si>
    <t>www.sporttery.cn</t>
  </si>
  <si>
    <t>中华人民共和国最高人民检察院</t>
  </si>
  <si>
    <t>www.spp.gov.cn</t>
  </si>
  <si>
    <t>www.srodcn.com</t>
  </si>
  <si>
    <t>上海证券交易所</t>
  </si>
  <si>
    <t>www.sse.com.cn</t>
  </si>
  <si>
    <t>国家统计局</t>
  </si>
  <si>
    <t>www.stats.gov.cn</t>
  </si>
  <si>
    <t>www.stcn.com</t>
  </si>
  <si>
    <t>申通快递网</t>
  </si>
  <si>
    <t>www.sto.cn</t>
  </si>
  <si>
    <t>www.suapp.com</t>
  </si>
  <si>
    <t>www.sucetest.com</t>
  </si>
  <si>
    <t>www.sudas.cn</t>
  </si>
  <si>
    <t>苏宁易购门户网</t>
  </si>
  <si>
    <t>www.suning.com</t>
  </si>
  <si>
    <t>www.superrecovery.cn</t>
  </si>
  <si>
    <t>www.svnspot.com</t>
  </si>
  <si>
    <t>西南石油大学门户网站</t>
  </si>
  <si>
    <t>www.swpu.edu.cn</t>
  </si>
  <si>
    <t>山西组工网</t>
  </si>
  <si>
    <t>www.sxdygbjy.gov.cn</t>
  </si>
  <si>
    <t>www.sxkszx.cn</t>
  </si>
  <si>
    <t>陕西人事考试网</t>
  </si>
  <si>
    <t>www.sxrsks.cn</t>
  </si>
  <si>
    <t>深圳政府在线</t>
  </si>
  <si>
    <t>www.sz.gov.cn</t>
  </si>
  <si>
    <t>www.szkmkj.cn</t>
  </si>
  <si>
    <t>深圳新闻</t>
  </si>
  <si>
    <t>www.sznews.com</t>
  </si>
  <si>
    <t>www.szse.cn</t>
  </si>
  <si>
    <t>www.szwksj.com</t>
  </si>
  <si>
    <t>www.tailwindcss.cn</t>
  </si>
  <si>
    <t>淘股吧论坛</t>
  </si>
  <si>
    <t>www.taoguba.com.cn</t>
  </si>
  <si>
    <t>淘知学堂学习平台</t>
  </si>
  <si>
    <t>www.taozhi.cn</t>
  </si>
  <si>
    <t>www.taptap.com</t>
  </si>
  <si>
    <t>博雅地名</t>
  </si>
  <si>
    <t>www.tcmap.com.cn</t>
  </si>
  <si>
    <t>www.tec-do.com</t>
  </si>
  <si>
    <t>腾讯</t>
  </si>
  <si>
    <t>www.tencent.com</t>
  </si>
  <si>
    <t>腾达官方网</t>
  </si>
  <si>
    <t>www.tenda.com.cn</t>
  </si>
  <si>
    <t>www.tesla.cn</t>
  </si>
  <si>
    <t>www.textin.com</t>
  </si>
  <si>
    <t>www.thecover.cn</t>
  </si>
  <si>
    <t>www.themepark.com.cn</t>
  </si>
  <si>
    <t>ThinkPad网站</t>
  </si>
  <si>
    <t>www.thinkpad.com</t>
  </si>
  <si>
    <t>天津政务网</t>
  </si>
  <si>
    <t>www.tj.gov.cn</t>
  </si>
  <si>
    <t>www.tjhukou.com</t>
  </si>
  <si>
    <t>天津保镖公司</t>
  </si>
  <si>
    <t>www.tlab.net.cn</t>
  </si>
  <si>
    <t>天猫</t>
  </si>
  <si>
    <t>www.tmall.com</t>
  </si>
  <si>
    <t>土巴兔装修网站</t>
  </si>
  <si>
    <t>www.to8to.com</t>
  </si>
  <si>
    <t>www.toertech.com</t>
  </si>
  <si>
    <t>郑州拓力食品机械</t>
  </si>
  <si>
    <t>www.topleap.net</t>
  </si>
  <si>
    <t>www.tqyb.com.cn</t>
  </si>
  <si>
    <t>www.tsxsw.net</t>
  </si>
  <si>
    <t>www.ts-yongyou.com</t>
  </si>
  <si>
    <t>上海枫雪信息科技</t>
  </si>
  <si>
    <t>www.tuhaokuai.com</t>
  </si>
  <si>
    <t>熊猫办公模板</t>
  </si>
  <si>
    <t>www.tukuppt.com</t>
  </si>
  <si>
    <t>收视率排行网</t>
  </si>
  <si>
    <t>www.tvtv.hk</t>
  </si>
  <si>
    <t>北京天元世纪装饰工程设计</t>
  </si>
  <si>
    <t>www.tyckj.com</t>
  </si>
  <si>
    <t>www.tzkczc.com</t>
  </si>
  <si>
    <t>赵本山小品作品集网</t>
  </si>
  <si>
    <t>www.u77.net</t>
  </si>
  <si>
    <t>www.uemo.net</t>
  </si>
  <si>
    <t>www.uisrc.com</t>
  </si>
  <si>
    <t>www.ultraeditcn.com</t>
  </si>
  <si>
    <t>www.unfold3d.cn</t>
  </si>
  <si>
    <t>www.unison-web.com</t>
  </si>
  <si>
    <t>中国高校</t>
  </si>
  <si>
    <t>www.unjs.com</t>
  </si>
  <si>
    <t>www.updf.cn</t>
  </si>
  <si>
    <t>www.usequantum.com.cn</t>
  </si>
  <si>
    <t>www.vastaitech.com</t>
  </si>
  <si>
    <t>www.vben.pro</t>
  </si>
  <si>
    <t>www.veer.com</t>
  </si>
  <si>
    <t>www.vertexcad.com.cn</t>
  </si>
  <si>
    <t>www.virdync.com</t>
  </si>
  <si>
    <t>北京旅游门户网</t>
  </si>
  <si>
    <t>www.visitbeijing.com.cn</t>
  </si>
  <si>
    <t>骑士下载社区</t>
  </si>
  <si>
    <t>www.vqs.com</t>
  </si>
  <si>
    <t>www.vuepress.cn</t>
  </si>
  <si>
    <t>www.vuln.cn</t>
  </si>
  <si>
    <t>www.w3cschool.cn</t>
  </si>
  <si>
    <t>www.w3schools.cn</t>
  </si>
  <si>
    <t>完结小说</t>
  </si>
  <si>
    <t>www.wanjie8.com</t>
  </si>
  <si>
    <t>www.waytoagi.com</t>
  </si>
  <si>
    <t>www.webglstudy.com</t>
  </si>
  <si>
    <t>微博</t>
  </si>
  <si>
    <t>www.weibo.com</t>
  </si>
  <si>
    <t>威海市实验外国语学校</t>
  </si>
  <si>
    <t>www.weishiwai.org</t>
  </si>
  <si>
    <t>微云</t>
  </si>
  <si>
    <t>www.weiyun.com</t>
  </si>
  <si>
    <t>文书帮范文网</t>
  </si>
  <si>
    <t>www.wenshubang.com</t>
  </si>
  <si>
    <t>西部数码网</t>
  </si>
  <si>
    <t>www.west.cn</t>
  </si>
  <si>
    <t>微创软件</t>
  </si>
  <si>
    <t>www.wicresoft.com</t>
  </si>
  <si>
    <t>软众信息</t>
  </si>
  <si>
    <t>www.winrar.com.cn</t>
  </si>
  <si>
    <t>www.wintaosaas.com</t>
  </si>
  <si>
    <t>Win7系统之家</t>
  </si>
  <si>
    <t>www.winwin7.com</t>
  </si>
  <si>
    <t>问卷星在线考试</t>
  </si>
  <si>
    <t>www.wjx.cn</t>
  </si>
  <si>
    <t>完美下载站</t>
  </si>
  <si>
    <t>www.wmzhe.com</t>
  </si>
  <si>
    <t>www.wondershare.cn</t>
  </si>
  <si>
    <t>中工资讯网</t>
  </si>
  <si>
    <t>www.workercn.cn</t>
  </si>
  <si>
    <t>我要个性</t>
  </si>
  <si>
    <t>www.woyaogexing.com</t>
  </si>
  <si>
    <t>金山办公软件</t>
  </si>
  <si>
    <t>www.wps.cn</t>
  </si>
  <si>
    <t>www.wshulou.com</t>
  </si>
  <si>
    <t>雷电网</t>
  </si>
  <si>
    <t>www.wssjczx.com</t>
  </si>
  <si>
    <t>武汉市政府</t>
  </si>
  <si>
    <t>www.wuhan.gov.cn</t>
  </si>
  <si>
    <t>www.wwiki.cn</t>
  </si>
  <si>
    <t>乌有之乡网刊网站</t>
  </si>
  <si>
    <t>www.wyzxwk.com</t>
  </si>
  <si>
    <t>温州实时台风网</t>
  </si>
  <si>
    <t>www.wztf121.com</t>
  </si>
  <si>
    <t>www.xbiquge.la</t>
  </si>
  <si>
    <t>www.xbooktxt.net</t>
  </si>
  <si>
    <t>www.xda.cn</t>
  </si>
  <si>
    <t>学道文库</t>
  </si>
  <si>
    <t>www.xde6.net</t>
  </si>
  <si>
    <t>www.xdyy8.com</t>
  </si>
  <si>
    <t>旋风下载站</t>
  </si>
  <si>
    <t>www.xfdown.com</t>
  </si>
  <si>
    <t>www.xfjxs.com</t>
  </si>
  <si>
    <t>香哈网站</t>
  </si>
  <si>
    <t>www.xiangha.com</t>
  </si>
  <si>
    <t>小叶歌吉他博客</t>
  </si>
  <si>
    <t>www.xiaoyegejitar.com</t>
  </si>
  <si>
    <t>www.xiaoyuxitong.com</t>
  </si>
  <si>
    <t>下载吧软件站</t>
  </si>
  <si>
    <t>www.xiazaiba.com</t>
  </si>
  <si>
    <t>安平县顺业金属丝网厂</t>
  </si>
  <si>
    <t>www.xinganghulan.cn</t>
  </si>
  <si>
    <t>www.xingduoyueming.com</t>
  </si>
  <si>
    <t>www.xingzheai.cn</t>
  </si>
  <si>
    <t>360星座</t>
  </si>
  <si>
    <t>www.xingzuo360.cn</t>
  </si>
  <si>
    <t>青蓝记</t>
  </si>
  <si>
    <t>www.xinpianchang.com</t>
  </si>
  <si>
    <t>www.xitongbuluo.com</t>
  </si>
  <si>
    <t>www.xitongqingli.com</t>
  </si>
  <si>
    <t>www.xitongtiandi.net</t>
  </si>
  <si>
    <t>www.xlewen.com</t>
  </si>
  <si>
    <t>www.xnebula.com</t>
  </si>
  <si>
    <t>小说旗阅读</t>
  </si>
  <si>
    <t>www.xs7.com</t>
  </si>
  <si>
    <t>言情小说</t>
  </si>
  <si>
    <t>www.xs8.cn</t>
  </si>
  <si>
    <t>www.xshellcn.com</t>
  </si>
  <si>
    <t>选校帝服务平台</t>
  </si>
  <si>
    <t>www.xuanxiaodi.com</t>
  </si>
  <si>
    <t>学习啦</t>
  </si>
  <si>
    <t>www.xuexila.com</t>
  </si>
  <si>
    <t>寻宝网</t>
  </si>
  <si>
    <t>www.xunbao178.com</t>
  </si>
  <si>
    <t>www.xunjieshipin.com</t>
  </si>
  <si>
    <t>迅游</t>
  </si>
  <si>
    <t>www.xunyou.com</t>
  </si>
  <si>
    <t>星月书吧</t>
  </si>
  <si>
    <t>www.xyshu8.com</t>
  </si>
  <si>
    <t>www.xyshuk.com</t>
  </si>
  <si>
    <t>下载王</t>
  </si>
  <si>
    <t>www.xzking.com</t>
  </si>
  <si>
    <t>星座屋查询网</t>
  </si>
  <si>
    <t>www.xzw.com</t>
  </si>
  <si>
    <t>www.yasuoyu.com</t>
  </si>
  <si>
    <t>www.yeduku.com</t>
  </si>
  <si>
    <t>何以笙箫默网</t>
  </si>
  <si>
    <t>www.yetianlian.com</t>
  </si>
  <si>
    <t>猪泡泡影院网</t>
  </si>
  <si>
    <t>www.yhddsb.com</t>
  </si>
  <si>
    <t>易车网</t>
  </si>
  <si>
    <t>www.yiche.com</t>
  </si>
  <si>
    <t>伊利</t>
  </si>
  <si>
    <t>www.yili.com</t>
  </si>
  <si>
    <t>www.yilianmeiti.com</t>
  </si>
  <si>
    <t>www.yiqucode.com</t>
  </si>
  <si>
    <t>艺术字</t>
  </si>
  <si>
    <t>www.yishuzi.com</t>
  </si>
  <si>
    <t>www.yisu.com</t>
  </si>
  <si>
    <t>www.yixue.com</t>
  </si>
  <si>
    <t>应届毕业生网</t>
  </si>
  <si>
    <t>www.yjbys.com</t>
  </si>
  <si>
    <t>www.yjpoo.com</t>
  </si>
  <si>
    <t>www.yjwujian.cn</t>
  </si>
  <si>
    <t>云南省人民政府</t>
  </si>
  <si>
    <t>www.yn.gov.cn</t>
  </si>
  <si>
    <t>www.ynzs.cn</t>
  </si>
  <si>
    <t>www.yonsuite.com</t>
  </si>
  <si>
    <t>www.yoojia.com</t>
  </si>
  <si>
    <t>www.youbianku.com</t>
  </si>
  <si>
    <t>www.youlai.cn</t>
  </si>
  <si>
    <t>www.yozocloud.cn</t>
  </si>
  <si>
    <t>www.yqtxt.cc</t>
  </si>
  <si>
    <t>言情中文小说阅读网</t>
  </si>
  <si>
    <t>www.yqzww.cc</t>
  </si>
  <si>
    <t>亿软网站</t>
  </si>
  <si>
    <t>www.yruan.com</t>
  </si>
  <si>
    <t>乐手网</t>
  </si>
  <si>
    <t>www.ys613.cn</t>
  </si>
  <si>
    <t>www.ysdaima.com</t>
  </si>
  <si>
    <t>www.ys-lab.com</t>
  </si>
  <si>
    <t>圆通速递</t>
  </si>
  <si>
    <t>www.yto.net.cn</t>
  </si>
  <si>
    <t>www.yuanlianjishu.com</t>
  </si>
  <si>
    <t>365音乐网</t>
  </si>
  <si>
    <t>www.yue365.com</t>
  </si>
  <si>
    <t>岳阳市政府门户网站</t>
  </si>
  <si>
    <t>www.yueyang.gov.cn</t>
  </si>
  <si>
    <t>www.yunjiasu.cc</t>
  </si>
  <si>
    <t>运维派</t>
  </si>
  <si>
    <t>www.yunweipai.com</t>
  </si>
  <si>
    <t>静谧星河Blog</t>
  </si>
  <si>
    <t>www.yuvin.cn</t>
  </si>
  <si>
    <t>易名网</t>
  </si>
  <si>
    <t>www.yw11.com</t>
  </si>
  <si>
    <t>www.yy.com</t>
  </si>
  <si>
    <t>中国招标与采购网</t>
  </si>
  <si>
    <t>www.zbytb.com</t>
  </si>
  <si>
    <t>站酷</t>
  </si>
  <si>
    <t>www.zcool.com.cn</t>
  </si>
  <si>
    <t>www.zcwx.org</t>
  </si>
  <si>
    <t>ZDOO全协同管理软件</t>
  </si>
  <si>
    <t>www.zdoo.com</t>
  </si>
  <si>
    <t>www.zgzgtest.com</t>
  </si>
  <si>
    <t>www.zhangqiaokeyan.com</t>
  </si>
  <si>
    <t>招考资讯网</t>
  </si>
  <si>
    <t>www.zhaokao.net</t>
  </si>
  <si>
    <t>智慧山教育</t>
  </si>
  <si>
    <t>www.zhihuishan.com</t>
  </si>
  <si>
    <t>网购值值值</t>
  </si>
  <si>
    <t>www.zhizhizhi.com</t>
  </si>
  <si>
    <t>装配图网</t>
  </si>
  <si>
    <t>www.zhuangpeitu.com</t>
  </si>
  <si>
    <t>浙江政务服务网</t>
  </si>
  <si>
    <t>www.zjzwfw.gov.cn</t>
  </si>
  <si>
    <t>能电视网</t>
  </si>
  <si>
    <t>www.znds.com</t>
  </si>
  <si>
    <t>纵横小说网</t>
  </si>
  <si>
    <t>www.zongheng.com</t>
  </si>
  <si>
    <t>纵书院小说阅读网</t>
  </si>
  <si>
    <t>www.zongshuyuan.com</t>
  </si>
  <si>
    <t>www.zonmind.com</t>
  </si>
  <si>
    <t>www.zpysoft.com</t>
  </si>
  <si>
    <t>中山市政府</t>
  </si>
  <si>
    <t>www.zs.gov.cn</t>
  </si>
  <si>
    <t>www.ztestin.com</t>
  </si>
  <si>
    <t>www.zuidaima.com</t>
  </si>
  <si>
    <t>www.zz123.com</t>
  </si>
  <si>
    <t>易点微信编辑器</t>
  </si>
  <si>
    <t>wxeditor.com</t>
  </si>
  <si>
    <t>无锡国旅汽车租赁</t>
  </si>
  <si>
    <t>wxguolv.net</t>
  </si>
  <si>
    <t>无锡太耀金属制品</t>
  </si>
  <si>
    <t>wxtyjs.com</t>
  </si>
  <si>
    <t>爱卡汽车</t>
  </si>
  <si>
    <t>xcar.com.cn</t>
  </si>
  <si>
    <t>Win10之家</t>
  </si>
  <si>
    <t>xh52.com</t>
  </si>
  <si>
    <t>呷哺呷哺</t>
  </si>
  <si>
    <t>xiabu.com</t>
  </si>
  <si>
    <t>远传下载无忧</t>
  </si>
  <si>
    <t>xiazai51.com</t>
  </si>
  <si>
    <t>新疆维吾尔自治区人民政府</t>
  </si>
  <si>
    <t>xinjiang.gov.cn</t>
  </si>
  <si>
    <t>北京新讯信通电子技术</t>
  </si>
  <si>
    <t>xinxuntech.cn</t>
  </si>
  <si>
    <t>色影无忌网站</t>
  </si>
  <si>
    <t>xitek.com</t>
  </si>
  <si>
    <t>西藏自治区人民政府</t>
  </si>
  <si>
    <t>xizang.gov.cn</t>
  </si>
  <si>
    <t>系统之家官网</t>
  </si>
  <si>
    <t>xp85.com</t>
  </si>
  <si>
    <t>宣城市人民政府网</t>
  </si>
  <si>
    <t>xuancheng.gov.cn</t>
  </si>
  <si>
    <t>百度学术</t>
  </si>
  <si>
    <t>xueshu.baidu.com</t>
  </si>
  <si>
    <t>欣欣互动公司官网</t>
  </si>
  <si>
    <t>xxhd-tech.com</t>
  </si>
  <si>
    <t>秀屿区精神病防治院</t>
  </si>
  <si>
    <t>xyqjsbfzy.com</t>
  </si>
  <si>
    <t>西亚兴安购物平台</t>
  </si>
  <si>
    <t>xyxacs.com</t>
  </si>
  <si>
    <t>燕赵人才网</t>
  </si>
  <si>
    <t>yanzhaorc.com</t>
  </si>
  <si>
    <t>雅文言情小说</t>
  </si>
  <si>
    <t>yawen8.com</t>
  </si>
  <si>
    <t>南京一丹软件</t>
  </si>
  <si>
    <t>yidansoft.com</t>
  </si>
  <si>
    <t>上海毅镤新能源科技</t>
  </si>
  <si>
    <t>yipu-tech.cn</t>
  </si>
  <si>
    <t>艺术签名</t>
  </si>
  <si>
    <t>yishuzi.com</t>
  </si>
  <si>
    <t>苏州优科道装饰</t>
  </si>
  <si>
    <t>ykdzs.cn</t>
  </si>
  <si>
    <t>人民网云南频道</t>
  </si>
  <si>
    <t>yn.people.com.cn</t>
  </si>
  <si>
    <t>北青网</t>
  </si>
  <si>
    <t>ynet.com</t>
  </si>
  <si>
    <t>优速办公软件</t>
  </si>
  <si>
    <t>yososoft.com</t>
  </si>
  <si>
    <t>苏州耀德科电磁技术</t>
  </si>
  <si>
    <t>youtech-sz.com</t>
  </si>
  <si>
    <t>永硕E盘</t>
  </si>
  <si>
    <t>ys168.com</t>
  </si>
  <si>
    <t>英特软件</t>
  </si>
  <si>
    <t>ystb.com</t>
  </si>
  <si>
    <t>宝鸡市永盛鑫钛镍金属材料</t>
  </si>
  <si>
    <t>ysxti.cn</t>
  </si>
  <si>
    <t>烟台市德诚彩色印刷</t>
  </si>
  <si>
    <t>ytdccsys.com</t>
  </si>
  <si>
    <t>圆通快递</t>
  </si>
  <si>
    <t>yto.net.cn</t>
  </si>
  <si>
    <t>365音乐网站</t>
  </si>
  <si>
    <t>yue365.com</t>
  </si>
  <si>
    <t>百度阅读</t>
  </si>
  <si>
    <t>yuedu.baidu.com</t>
  </si>
  <si>
    <t>云财经</t>
  </si>
  <si>
    <t>yuncaijing.com</t>
  </si>
  <si>
    <t>云南网</t>
  </si>
  <si>
    <t>yunnan.cn</t>
  </si>
  <si>
    <t>云南远信科技</t>
  </si>
  <si>
    <t>yxtech.cn</t>
  </si>
  <si>
    <t>扬子晚报网</t>
  </si>
  <si>
    <t>yzwb.net</t>
  </si>
  <si>
    <t>周公解梦</t>
  </si>
  <si>
    <t>zgjm.org</t>
  </si>
  <si>
    <t>黄石矿安科技</t>
  </si>
  <si>
    <t>zgkakj.com</t>
  </si>
  <si>
    <t>漳州市人民政府</t>
  </si>
  <si>
    <t>zhangzhou.gov.cn</t>
  </si>
  <si>
    <t>站帮网</t>
  </si>
  <si>
    <t>zhanhelp.com</t>
  </si>
  <si>
    <t>壮游科技</t>
  </si>
  <si>
    <t>zhaouc.com</t>
  </si>
  <si>
    <t>百度知道</t>
  </si>
  <si>
    <t>zhidao.baidu.com</t>
  </si>
  <si>
    <t>八图页面制作网</t>
  </si>
  <si>
    <t>zhizuoh5.com</t>
  </si>
  <si>
    <t>大众网淄博频道</t>
  </si>
  <si>
    <t>zibo.dzwww.com</t>
  </si>
  <si>
    <t>淄博市人民政府</t>
  </si>
  <si>
    <t>zibo.gov.cn</t>
  </si>
  <si>
    <t>资质管家信息技术</t>
  </si>
  <si>
    <t>zizhiguanjia.net</t>
  </si>
  <si>
    <t>浙江省人民政府</t>
  </si>
  <si>
    <t>zj.gov.cn</t>
  </si>
  <si>
    <t>浙江人事考试网</t>
  </si>
  <si>
    <t>zjks.com</t>
  </si>
  <si>
    <t>浙江体彩网</t>
  </si>
  <si>
    <t>zjlottery.com</t>
  </si>
  <si>
    <t>浙江卫视</t>
  </si>
  <si>
    <t>zjstv.com</t>
  </si>
  <si>
    <t>台州市人民政府网</t>
  </si>
  <si>
    <t>zjtz.gov.cn</t>
  </si>
  <si>
    <t>千栀网</t>
  </si>
  <si>
    <t>zjut.cc</t>
  </si>
  <si>
    <t>浙江水利</t>
  </si>
  <si>
    <t>zjwater.gov.cn</t>
  </si>
  <si>
    <t>广州中检仪器</t>
  </si>
  <si>
    <t>zon-test.com</t>
  </si>
  <si>
    <t>巨人网络</t>
  </si>
  <si>
    <t>ztgame.com</t>
  </si>
  <si>
    <t>镇江中天光学仪器有限责任公司</t>
  </si>
  <si>
    <t>ztgx.com</t>
  </si>
  <si>
    <t>浙江财经大学</t>
  </si>
  <si>
    <t>zufe.edu.cn</t>
  </si>
  <si>
    <t>绵阳卓想软件科技官网</t>
  </si>
  <si>
    <t>zxsoft.tech</t>
  </si>
  <si>
    <t>张宴的博客</t>
  </si>
  <si>
    <t>zyan.cc</t>
  </si>
  <si>
    <t>www.openeuler.org</t>
  </si>
  <si>
    <t>郑州日产汽车有限公司</t>
  </si>
  <si>
    <t>zznissan.com.cn</t>
  </si>
  <si>
    <t>综合流量</t>
  </si>
  <si>
    <t>开发者600排名</t>
  </si>
  <si>
    <t>wap.yesky.com</t>
  </si>
  <si>
    <t>MyPrice价格网</t>
  </si>
  <si>
    <t>netease.com</t>
  </si>
  <si>
    <t>稿定设计网</t>
  </si>
  <si>
    <t>gaoding.com</t>
  </si>
  <si>
    <t>火狐浏览器官网</t>
  </si>
  <si>
    <t>红动素材导航</t>
  </si>
  <si>
    <t>so.redocn.com</t>
  </si>
  <si>
    <t>news.mydrivers.com</t>
  </si>
  <si>
    <t>情报级安全防护工具</t>
  </si>
  <si>
    <t>huorong.cn</t>
  </si>
  <si>
    <t>ZOL产品风云榜</t>
  </si>
  <si>
    <t>top.zol.com.cn</t>
  </si>
  <si>
    <t>阿里巴巴矢量图标库</t>
  </si>
  <si>
    <t>iconfont.cn</t>
  </si>
  <si>
    <t>96新媒体</t>
  </si>
  <si>
    <t>96weixin.com</t>
  </si>
  <si>
    <t>百度AI</t>
  </si>
  <si>
    <t>ai.baidu.com</t>
  </si>
  <si>
    <t>凡科网站</t>
  </si>
  <si>
    <t>中企动力</t>
  </si>
  <si>
    <t>300.cn</t>
  </si>
  <si>
    <t>华为云网站</t>
  </si>
  <si>
    <t>bbs.huaweicloud.com</t>
  </si>
  <si>
    <t>腾讯手机管家</t>
  </si>
  <si>
    <t>m.qq.com</t>
  </si>
  <si>
    <t>数码之家网</t>
  </si>
  <si>
    <t>mydigit.cn</t>
  </si>
  <si>
    <t>异次元软件世界</t>
  </si>
  <si>
    <t>ADSafe净网大师</t>
  </si>
  <si>
    <t>ad-safe.com</t>
  </si>
  <si>
    <t>zhuangpeitu.com</t>
  </si>
  <si>
    <t>Razer</t>
  </si>
  <si>
    <t>razerzone.com</t>
  </si>
  <si>
    <t>weixueyuan.net</t>
  </si>
  <si>
    <t>微信小程序导航大全</t>
  </si>
  <si>
    <t>分区助手网</t>
  </si>
  <si>
    <t>disktool.cn</t>
  </si>
  <si>
    <t>猎豹安全浏览器</t>
  </si>
  <si>
    <t>liebao.cn</t>
  </si>
  <si>
    <t>鱼爪网</t>
  </si>
  <si>
    <t>yuzhua.com</t>
  </si>
  <si>
    <t>线刷宝网</t>
  </si>
  <si>
    <t>xianshuabao.com</t>
  </si>
  <si>
    <t>中国乐高</t>
  </si>
  <si>
    <t>lego.com</t>
  </si>
  <si>
    <t>ITPUB技术社区</t>
  </si>
  <si>
    <t>墨刀</t>
  </si>
  <si>
    <t>modao.cc</t>
  </si>
  <si>
    <t>文库吧</t>
  </si>
  <si>
    <t>wenkub.com</t>
  </si>
  <si>
    <t>tedu.cn</t>
  </si>
  <si>
    <t>f360f建站</t>
  </si>
  <si>
    <t>f360f.com</t>
  </si>
  <si>
    <t>水星网络</t>
  </si>
  <si>
    <t>mercurycom.com.cn</t>
  </si>
  <si>
    <t>装机之家网</t>
  </si>
  <si>
    <t>lotpc.com</t>
  </si>
  <si>
    <t>我拉网转转大师</t>
  </si>
  <si>
    <t>pdftoword.55.la</t>
  </si>
  <si>
    <t>锐捷网络</t>
  </si>
  <si>
    <t>ruijie.com.cn</t>
  </si>
  <si>
    <t>ndiy.cn</t>
  </si>
  <si>
    <t>Zoho中国</t>
  </si>
  <si>
    <t>zoho.com.cn</t>
  </si>
  <si>
    <t>acer.com.cn</t>
  </si>
  <si>
    <t>急切网</t>
  </si>
  <si>
    <t>jiqie.com</t>
  </si>
  <si>
    <t>不移之火</t>
  </si>
  <si>
    <t>byzhihuo.com</t>
  </si>
  <si>
    <t>雷锋网</t>
  </si>
  <si>
    <t>leiphone.com</t>
  </si>
  <si>
    <t>鸟哥笔记网</t>
  </si>
  <si>
    <t>niaogebiji.com</t>
  </si>
  <si>
    <t>迅维网</t>
  </si>
  <si>
    <t>chinafix.com</t>
  </si>
  <si>
    <t>Apowersoft网</t>
  </si>
  <si>
    <t>中企动力网</t>
  </si>
  <si>
    <t>m.300.cn</t>
  </si>
  <si>
    <t>瑞星网</t>
  </si>
  <si>
    <t>rising.cn</t>
  </si>
  <si>
    <t>七彩虹</t>
  </si>
  <si>
    <t>colorful.cn</t>
  </si>
  <si>
    <t>合肥荣事达电子电器集团</t>
  </si>
  <si>
    <t>rsdgzn.com</t>
  </si>
  <si>
    <t>my.oschina.net</t>
  </si>
  <si>
    <t>一品威客</t>
  </si>
  <si>
    <t>epwk.com</t>
  </si>
  <si>
    <t>thermofisher.com</t>
  </si>
  <si>
    <t>印象笔记网站</t>
  </si>
  <si>
    <t>yinxiang.com</t>
  </si>
  <si>
    <t>冰封娱乐网</t>
  </si>
  <si>
    <t>zzlzl.com</t>
  </si>
  <si>
    <t>newhua.com</t>
  </si>
  <si>
    <t>显卡频道</t>
  </si>
  <si>
    <t>vga.zol.com.cn</t>
  </si>
  <si>
    <t>itcast.cn</t>
  </si>
  <si>
    <t>点点网络</t>
  </si>
  <si>
    <t>diandian.com</t>
  </si>
  <si>
    <t>卢松松博客</t>
  </si>
  <si>
    <t>lusongsong.com</t>
  </si>
  <si>
    <t>IT天空网</t>
  </si>
  <si>
    <t>抖媒推运营推广平台</t>
  </si>
  <si>
    <t>3835.com</t>
  </si>
  <si>
    <t>Opera浏览器网站</t>
  </si>
  <si>
    <t>opera.com</t>
  </si>
  <si>
    <t>AI写作助手</t>
  </si>
  <si>
    <t>aixzzs.com</t>
  </si>
  <si>
    <t>人民网通信频道</t>
  </si>
  <si>
    <t>mobile.people.com.cn</t>
  </si>
  <si>
    <t>物友网</t>
  </si>
  <si>
    <t>56ye.net</t>
  </si>
  <si>
    <t>神州电脑</t>
  </si>
  <si>
    <t>hasee.com</t>
  </si>
  <si>
    <t>比特网</t>
  </si>
  <si>
    <t>chinabyte.com</t>
  </si>
  <si>
    <t>阿里云云市场</t>
  </si>
  <si>
    <t>market.aliyun.com</t>
  </si>
  <si>
    <t>Microsoft outlook 网</t>
  </si>
  <si>
    <t>picclife.com</t>
  </si>
  <si>
    <t>中关村在线家电频道</t>
  </si>
  <si>
    <t>jd.zol.com.cn</t>
  </si>
  <si>
    <t>希捷</t>
  </si>
  <si>
    <t>seagate.com</t>
  </si>
  <si>
    <t>慕课</t>
  </si>
  <si>
    <t>m.imooc.com</t>
  </si>
  <si>
    <t>优帮云网</t>
  </si>
  <si>
    <t>youbangyun.com</t>
  </si>
  <si>
    <t>freebuf.com</t>
  </si>
  <si>
    <t>东软</t>
  </si>
  <si>
    <t>neusoft.com</t>
  </si>
  <si>
    <t>百度脑图</t>
  </si>
  <si>
    <t>naotu.baidu.com</t>
  </si>
  <si>
    <t>方维网络</t>
  </si>
  <si>
    <t>szfangwei.cn</t>
  </si>
  <si>
    <t>雷柏科技</t>
  </si>
  <si>
    <t>rapoo.cn</t>
  </si>
  <si>
    <t>win7china.com</t>
  </si>
  <si>
    <t>昂达电子网站</t>
  </si>
  <si>
    <t>onda.cn</t>
  </si>
  <si>
    <t>悟空CRM</t>
  </si>
  <si>
    <t>crm.cc</t>
  </si>
  <si>
    <t>应用公园网</t>
  </si>
  <si>
    <t>网易免费企业邮</t>
  </si>
  <si>
    <t>ym.163.com</t>
  </si>
  <si>
    <t>天下数据平台</t>
  </si>
  <si>
    <t>idcbest.com</t>
  </si>
  <si>
    <t>明基</t>
  </si>
  <si>
    <t>benq.com.cn</t>
  </si>
  <si>
    <t>AA2站长工具</t>
  </si>
  <si>
    <t>aa2.cn</t>
  </si>
  <si>
    <t>2025最新游戏下载</t>
  </si>
  <si>
    <t>lulinux.com</t>
  </si>
  <si>
    <t>56dr.com</t>
  </si>
  <si>
    <t>UG爱好者</t>
  </si>
  <si>
    <t>ugsnx.com</t>
  </si>
  <si>
    <t>bsstar.net</t>
  </si>
  <si>
    <t>百度众测</t>
  </si>
  <si>
    <t>test.baidu.com</t>
  </si>
  <si>
    <t>mobanwang.com</t>
  </si>
  <si>
    <t>张士玉小黑屋</t>
  </si>
  <si>
    <t>zhangshiyu.com</t>
  </si>
  <si>
    <t>软通动力</t>
  </si>
  <si>
    <t>isoftstone.com</t>
  </si>
  <si>
    <t>超图</t>
  </si>
  <si>
    <t>supermap.com</t>
  </si>
  <si>
    <t>青云</t>
  </si>
  <si>
    <t>qingcloud.com</t>
  </si>
  <si>
    <t>fastcom.com.cn</t>
  </si>
  <si>
    <t>ACG17</t>
  </si>
  <si>
    <t>acg17.com</t>
  </si>
  <si>
    <t>weiyuekj.com</t>
  </si>
  <si>
    <t>海洋网络公司</t>
  </si>
  <si>
    <t>hy755.cn</t>
  </si>
  <si>
    <t>cssmoban.com</t>
  </si>
  <si>
    <t>微讯云端平台</t>
  </si>
  <si>
    <t>weixinyunduan.com</t>
  </si>
  <si>
    <t>SEOWHY</t>
  </si>
  <si>
    <t>seowhy.com</t>
  </si>
  <si>
    <t>tech.gmw.cn</t>
  </si>
  <si>
    <t>中关村在线显示器频道</t>
  </si>
  <si>
    <t>lcd.zol.com.cn</t>
  </si>
  <si>
    <t>微微二维码</t>
  </si>
  <si>
    <t>wwei.cn</t>
  </si>
  <si>
    <t>jiusi.net</t>
  </si>
  <si>
    <t>U盘系统之家</t>
  </si>
  <si>
    <t>ghostwin7win8.com</t>
  </si>
  <si>
    <t>haolizi.net</t>
  </si>
  <si>
    <t>代代SEO基础知识网</t>
  </si>
  <si>
    <t>seocer.com</t>
  </si>
  <si>
    <t>wrgho.com</t>
  </si>
  <si>
    <t>程序员客栈</t>
  </si>
  <si>
    <t>proginn.com</t>
  </si>
  <si>
    <t>C++博客</t>
  </si>
  <si>
    <t>金山云平台</t>
  </si>
  <si>
    <t>ksyun.com</t>
  </si>
  <si>
    <t>易恢复</t>
  </si>
  <si>
    <t>easyrecoverychina.com</t>
  </si>
  <si>
    <t>上犹电脑信息网</t>
  </si>
  <si>
    <t>shangyouw.cn</t>
  </si>
  <si>
    <t>QQ网吧管理平台</t>
  </si>
  <si>
    <t>netbar.qq.com</t>
  </si>
  <si>
    <t>安卓中国</t>
  </si>
  <si>
    <t>anzhuo.cn</t>
  </si>
  <si>
    <t>徐州华英网络科技</t>
  </si>
  <si>
    <t>quxianzhuan.com</t>
  </si>
  <si>
    <t>佳炎日志网</t>
  </si>
  <si>
    <t>duolakai.com</t>
  </si>
  <si>
    <t>bbs.125.la</t>
  </si>
  <si>
    <t>手机软件游戏下载</t>
  </si>
  <si>
    <t>jsons.cn</t>
  </si>
  <si>
    <t>5kcrm.com</t>
  </si>
  <si>
    <t>chrome插件网</t>
  </si>
  <si>
    <t>cnplugins.com</t>
  </si>
  <si>
    <t>联商网站</t>
  </si>
  <si>
    <t>linkshop.com.cn</t>
  </si>
  <si>
    <t>ManageEngine</t>
  </si>
  <si>
    <t>manageengine.cn</t>
  </si>
  <si>
    <t>中关村在线高清频道</t>
  </si>
  <si>
    <t>hd.zol.com.cn</t>
  </si>
  <si>
    <t>众展网络推广公司</t>
  </si>
  <si>
    <t>zzrseo.com</t>
  </si>
  <si>
    <t>news.newhua.com</t>
  </si>
  <si>
    <t>有人物联网</t>
  </si>
  <si>
    <t>usr.cn</t>
  </si>
  <si>
    <t>LiveSino</t>
  </si>
  <si>
    <t>livesino.net</t>
  </si>
  <si>
    <t>数商云</t>
  </si>
  <si>
    <t>shushangyun.com</t>
  </si>
  <si>
    <t>华胜天成</t>
  </si>
  <si>
    <t>teamsun.com.cn</t>
  </si>
  <si>
    <t>电脑爱好者</t>
  </si>
  <si>
    <t>cfan.com.cn</t>
  </si>
  <si>
    <t>网络人</t>
  </si>
  <si>
    <t>织梦CMS网</t>
  </si>
  <si>
    <t>dedecms.com</t>
  </si>
  <si>
    <t>iThome</t>
  </si>
  <si>
    <t>ithome.com.tw</t>
  </si>
  <si>
    <t>苏州科达科技股份有限公司</t>
  </si>
  <si>
    <t>kedacom.com</t>
  </si>
  <si>
    <t>新普</t>
  </si>
  <si>
    <t>xpshop.cn</t>
  </si>
  <si>
    <t>星网锐捷</t>
  </si>
  <si>
    <t>star-net.cn</t>
  </si>
  <si>
    <t>中国IT网</t>
  </si>
  <si>
    <t>it.huangye88.com</t>
  </si>
  <si>
    <t>weste.net</t>
  </si>
  <si>
    <t>eMule Fans 电骡爱好者</t>
  </si>
  <si>
    <t>emulefans.com</t>
  </si>
  <si>
    <t>xiuzhanwang.com</t>
  </si>
  <si>
    <t>IT技术博客</t>
  </si>
  <si>
    <t>tydic.com</t>
  </si>
  <si>
    <t>cnjunnet.com</t>
  </si>
  <si>
    <t>PCEVA</t>
  </si>
  <si>
    <t>pceva.com.cn</t>
  </si>
  <si>
    <t>奇客软件中文官网：免费PDF工具、数据恢复、录屏、手机解锁、OCR、分区工具、多媒体转换等。</t>
  </si>
  <si>
    <t>geekersoft.cn</t>
  </si>
  <si>
    <t>dsjpt.net</t>
  </si>
  <si>
    <t>株洲爱货贸易</t>
  </si>
  <si>
    <t>6by5.com</t>
  </si>
  <si>
    <t>重庆江小白酒业</t>
  </si>
  <si>
    <t>ijovo.com</t>
  </si>
  <si>
    <t>编玩边学</t>
  </si>
  <si>
    <t>codepku.com</t>
  </si>
  <si>
    <t>全国计算机等级考试网</t>
  </si>
  <si>
    <t>jsjdjks.cn</t>
  </si>
  <si>
    <t>kubernetes.org.cn</t>
  </si>
  <si>
    <t>jsoncloud.org</t>
  </si>
  <si>
    <t>深圳市凉屋游戏科技</t>
  </si>
  <si>
    <t>chilly.tech</t>
  </si>
  <si>
    <t>艾丝特仪表气体流量计官方网站</t>
  </si>
  <si>
    <t>aistey.com</t>
  </si>
  <si>
    <t>程序员联合开发网</t>
  </si>
  <si>
    <t>pudn.com</t>
  </si>
  <si>
    <t>奔跑中的奶酪</t>
  </si>
  <si>
    <t>runningcheese.com</t>
  </si>
  <si>
    <t>青岛乐中环保科技</t>
  </si>
  <si>
    <t>leptech.cn</t>
  </si>
  <si>
    <t>成都仁品耳鼻喉专科医院</t>
  </si>
  <si>
    <t>rpent-cd.com</t>
  </si>
  <si>
    <t>eyuyan.com</t>
  </si>
  <si>
    <t>湖南烈岩科技</t>
  </si>
  <si>
    <t>lieyankeji.cn</t>
  </si>
  <si>
    <t>dtwave.com</t>
  </si>
  <si>
    <t>江苏省证券业协会</t>
  </si>
  <si>
    <t>sajs.net.cn</t>
  </si>
  <si>
    <t>蓝云历史人物故事网</t>
  </si>
  <si>
    <t>www.cycod.cn</t>
  </si>
  <si>
    <t>贝尔科教集团官网</t>
  </si>
  <si>
    <t>bell.ai</t>
  </si>
  <si>
    <t>康希诺生物公司英文站</t>
  </si>
  <si>
    <t>cansinotech.com</t>
  </si>
  <si>
    <t>北京威动科技</t>
  </si>
  <si>
    <t>vidonme.cn</t>
  </si>
  <si>
    <t>厦门逸漠生物科技</t>
  </si>
  <si>
    <t>immocell.com</t>
  </si>
  <si>
    <t>云呐资产物联服务平台产品官网</t>
  </si>
  <si>
    <t>easyitom.com</t>
  </si>
  <si>
    <t>携笔同道——公文写作万能模板</t>
  </si>
  <si>
    <t>xiebitongdao.com</t>
  </si>
  <si>
    <t>北京度量科技</t>
  </si>
  <si>
    <t>nokov.com</t>
  </si>
  <si>
    <t>leetcodechina.com</t>
  </si>
  <si>
    <t>中码新游网</t>
  </si>
  <si>
    <t>chinapccode.com</t>
  </si>
  <si>
    <t>掌控板社区</t>
  </si>
  <si>
    <t>mpython.cn</t>
  </si>
  <si>
    <t>上海优帜电子科技</t>
  </si>
  <si>
    <t>yoztek.com</t>
  </si>
  <si>
    <t>Bootstrap · www.bootstrapcn.net</t>
  </si>
  <si>
    <t>bootstrapcn.net</t>
  </si>
  <si>
    <t>河南云和数据信息技术</t>
  </si>
  <si>
    <t>haoracle.com</t>
  </si>
  <si>
    <t>ZenCart论坛</t>
  </si>
  <si>
    <t>zencart-bbs.com</t>
  </si>
  <si>
    <t>南京中博教育</t>
  </si>
  <si>
    <t>nj-test.com</t>
  </si>
  <si>
    <t>东莞市三瑞自动化科技</t>
  </si>
  <si>
    <t>srtech.com.cn</t>
  </si>
  <si>
    <t>游侠网游戏硬件</t>
  </si>
  <si>
    <t>未找到</t>
  </si>
  <si>
    <t>openeuler.openatom.cn</t>
  </si>
  <si>
    <t>全网流量左</t>
  </si>
  <si>
    <t>全网流量右</t>
  </si>
  <si>
    <t>综合排名</t>
  </si>
  <si>
    <t>百度翻译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</si>
</sst>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_ "/>
  </numFmts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11"/>
      <color rgb="FF000000"/>
      <name val="宋体"/>
    </font>
    <font>
      <u/>
      <sz val="11"/>
      <color rgb="FF0026E5"/>
      <name val="宋体"/>
    </font>
    <font>
      <sz val="11"/>
      <color rgb="FF000000"/>
      <name val="Courier New"/>
    </font>
    <font>
      <u/>
      <sz val="11"/>
      <color theme="10"/>
      <name val="宋体"/>
    </font>
  </fonts>
  <fills count="9">
    <fill>
      <patternFill patternType="none"/>
    </fill>
    <fill>
      <patternFill patternType="gray125"/>
    </fill>
    <fill>
      <patternFill patternType="solid">
        <fgColor rgb="FFFEF2CA"/>
      </patternFill>
    </fill>
    <fill>
      <patternFill patternType="solid">
        <fgColor rgb="FFFFFFFF"/>
      </patternFill>
    </fill>
    <fill>
      <patternFill patternType="solid">
        <fgColor rgb="FFFCC102"/>
      </patternFill>
    </fill>
    <fill>
      <patternFill patternType="solid">
        <fgColor rgb="FF6E30A4"/>
      </patternFill>
    </fill>
    <fill>
      <patternFill patternType="solid">
        <fgColor rgb="FFDDD9C3"/>
      </patternFill>
    </fill>
    <fill>
      <patternFill patternType="solid">
        <fgColor rgb="FFFEFF00"/>
      </patternFill>
    </fill>
    <fill>
      <patternFill patternType="solid">
        <fgColor rgb="FFC6D9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164" fontId="5" fillId="0" borderId="0" xfId="0" applyNumberFormat="1" applyFont="1">
      <alignment horizontal="general" vertical="center"/>
    </xf>
    <xf numFmtId="164" fontId="5" fillId="2" borderId="0" xfId="0" applyNumberFormat="1" applyFont="1" applyFill="1">
      <alignment horizontal="general" vertical="center"/>
    </xf>
    <xf numFmtId="0" fontId="6" fillId="0" borderId="1" xfId="0" applyFont="1" applyBorder="1" applyProtection="1">
      <alignment horizontal="center" vertical="top"/>
    </xf>
    <xf numFmtId="164" fontId="6" fillId="0" borderId="1" xfId="0" applyNumberFormat="1" applyFont="1" applyBorder="1" applyProtection="1">
      <alignment horizontal="center" vertical="top"/>
    </xf>
    <xf numFmtId="0" fontId="5" fillId="0" borderId="0" xfId="0" applyFont="1">
      <alignment horizontal="general" vertical="bottom"/>
    </xf>
    <xf numFmtId="164" fontId="5" fillId="0" borderId="0" xfId="0" applyNumberFormat="1" applyFont="1">
      <alignment horizontal="general" vertical="bottom"/>
    </xf>
    <xf numFmtId="3" fontId="5" fillId="0" borderId="0" xfId="0" applyNumberFormat="1" applyFont="1">
      <alignment horizontal="general" vertical="center"/>
    </xf>
    <xf numFmtId="3" fontId="5" fillId="0" borderId="0" xfId="0" applyNumberFormat="1" applyFont="1">
      <alignment horizontal="general" vertical="bottom"/>
    </xf>
    <xf numFmtId="165" fontId="5" fillId="0" borderId="0" xfId="0" applyNumberFormat="1" applyFont="1">
      <alignment horizontal="general" vertical="bottom"/>
    </xf>
    <xf numFmtId="164" fontId="6" fillId="2" borderId="1" xfId="0" applyNumberFormat="1" applyFont="1" applyFill="1" applyBorder="1" applyProtection="1">
      <alignment horizontal="center" vertical="top"/>
    </xf>
    <xf numFmtId="164" fontId="5" fillId="2" borderId="0" xfId="0" applyNumberFormat="1" applyFont="1" applyFill="1">
      <alignment horizontal="general" vertical="bottom"/>
    </xf>
    <xf numFmtId="0" fontId="7" fillId="0" borderId="0" xfId="0" applyFont="1">
      <alignment horizontal="general" vertical="bottom"/>
    </xf>
    <xf numFmtId="0" fontId="5" fillId="0" borderId="0" xfId="0" applyFont="1">
      <alignment horizontal="general"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0" xfId="0" applyFont="1" applyFill="1">
      <alignment horizontal="general" vertical="bottom"/>
    </xf>
    <xf numFmtId="0" fontId="6" fillId="3" borderId="1" xfId="0" applyFont="1" applyFill="1" applyBorder="1" applyProtection="1">
      <alignment horizontal="center" vertical="top"/>
    </xf>
    <xf numFmtId="0" fontId="5" fillId="3" borderId="0" xfId="0" applyFont="1" applyFill="1">
      <alignment horizontal="general" vertical="bottom"/>
    </xf>
    <xf numFmtId="0" fontId="5" fillId="3" borderId="0" xfId="0" applyFont="1" applyFill="1">
      <alignment horizontal="general" vertical="center"/>
    </xf>
    <xf numFmtId="0" fontId="4" fillId="5" borderId="0" xfId="0" applyFont="1" applyFill="1">
      <alignment vertical="center"/>
    </xf>
    <xf numFmtId="0" fontId="8" fillId="0" borderId="0" xfId="0" applyFont="1">
      <alignment horizontal="general" vertical="bottom"/>
    </xf>
    <xf numFmtId="0" fontId="5" fillId="6" borderId="0" xfId="0" applyFont="1" applyFill="1">
      <alignment horizontal="general" vertical="center"/>
    </xf>
    <xf numFmtId="0" fontId="4" fillId="7" borderId="0" xfId="0" applyFont="1" applyFill="1">
      <alignment vertical="center"/>
    </xf>
    <xf numFmtId="0" fontId="5" fillId="7" borderId="0" xfId="0" applyFont="1" applyFill="1">
      <alignment horizontal="general" vertical="bottom"/>
    </xf>
    <xf numFmtId="0" fontId="5" fillId="6" borderId="0" xfId="0" applyFont="1" applyFill="1">
      <alignment horizontal="general" vertical="bottom"/>
    </xf>
    <xf numFmtId="0" fontId="5" fillId="8" borderId="0" xfId="0" applyFont="1" applyFill="1">
      <alignment horizontal="general" vertical="bottom"/>
    </xf>
    <xf numFmtId="0" fontId="5" fillId="8" borderId="0" xfId="0" applyFont="1" applyFill="1">
      <alignment horizontal="general" vertical="center"/>
    </xf>
    <xf numFmtId="0" fontId="9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dxfs count="2">
    <dxf>
      <fill>
        <patternFill>
          <bgColor rgb="FFBAC6F8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2345.com/tianqi2345.htm" TargetMode="Externa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hyperlink" Target="http://www.xfyun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399999999999999" customHeight="1"/>
  <cols>
    <col min="1" max="1" width="33.1640625" customWidth="1" style="24"/>
    <col min="2" max="2" width="30" customWidth="1" style="24"/>
  </cols>
  <sheetData>
    <row r="1" ht="14.399999999999999" customHeight="1">
      <c r="A1" s="22" t="s">
        <v>0</v>
      </c>
      <c r="B1" s="22" t="s">
        <v>1</v>
      </c>
    </row>
    <row r="2" s="5" customFormat="1" ht="14.399999999999999" customHeight="1">
      <c r="A2" s="27" t="s">
        <v>2</v>
      </c>
      <c r="B2" s="24" t="s">
        <v>3</v>
      </c>
      <c r="C2" s="10"/>
    </row>
    <row r="3" s="5" customFormat="1" ht="14.399999999999999" customHeight="1">
      <c r="A3" s="27" t="s">
        <v>4</v>
      </c>
      <c r="B3" s="24" t="s">
        <v>5</v>
      </c>
      <c r="C3" s="10"/>
    </row>
    <row r="4" s="5" customFormat="1" ht="14.399999999999999" customHeight="1">
      <c r="A4" s="30" t="s">
        <v>6</v>
      </c>
      <c r="B4" s="23" t="s">
        <v>7</v>
      </c>
      <c r="C4" s="10"/>
    </row>
    <row r="5" s="5" customFormat="1" ht="14.399999999999999" customHeight="1">
      <c r="A5" s="30" t="s">
        <v>8</v>
      </c>
      <c r="B5" s="23" t="s">
        <v>9</v>
      </c>
      <c r="C5" s="10"/>
    </row>
    <row r="6" s="5" customFormat="1" ht="14.399999999999999" customHeight="1">
      <c r="A6" s="30" t="s">
        <v>10</v>
      </c>
      <c r="B6" s="23" t="s">
        <v>11</v>
      </c>
      <c r="C6" s="10"/>
    </row>
    <row r="7" s="5" customFormat="1" ht="14.399999999999999" customHeight="1">
      <c r="A7" s="30" t="s">
        <v>12</v>
      </c>
      <c r="B7" s="23" t="s">
        <v>13</v>
      </c>
      <c r="C7" s="10"/>
    </row>
    <row r="8" s="5" customFormat="1" ht="14.399999999999999" customHeight="1">
      <c r="A8" s="30" t="s">
        <v>14</v>
      </c>
      <c r="B8" s="23" t="s">
        <v>15</v>
      </c>
      <c r="C8" s="10"/>
    </row>
    <row r="9" s="5" customFormat="1" ht="14.399999999999999" customHeight="1">
      <c r="A9" s="30" t="s">
        <v>16</v>
      </c>
      <c r="B9" s="23" t="s">
        <v>17</v>
      </c>
      <c r="C9" s="10"/>
    </row>
    <row r="10" s="5" customFormat="1" ht="14.399999999999999" customHeight="1">
      <c r="A10" s="30" t="s">
        <v>18</v>
      </c>
      <c r="B10" s="23" t="s">
        <v>19</v>
      </c>
      <c r="C10" s="10"/>
    </row>
    <row r="11" s="5" customFormat="1" ht="14.399999999999999" customHeight="1">
      <c r="A11" s="30" t="s">
        <v>20</v>
      </c>
      <c r="B11" s="23" t="s">
        <v>21</v>
      </c>
      <c r="C11" s="10"/>
    </row>
    <row r="12" s="5" customFormat="1" ht="14.399999999999999" customHeight="1">
      <c r="A12" s="30" t="s">
        <v>22</v>
      </c>
      <c r="B12" s="23" t="s">
        <v>23</v>
      </c>
      <c r="C12" s="10"/>
    </row>
    <row r="13" s="5" customFormat="1" ht="14.399999999999999" customHeight="1">
      <c r="A13" s="30" t="s">
        <v>24</v>
      </c>
      <c r="B13" s="23" t="s">
        <v>25</v>
      </c>
      <c r="C13" s="10"/>
    </row>
    <row r="14" s="5" customFormat="1" ht="14.399999999999999" customHeight="1">
      <c r="A14" s="30" t="s">
        <v>26</v>
      </c>
      <c r="B14" s="23" t="s">
        <v>27</v>
      </c>
      <c r="C14" s="10"/>
    </row>
    <row r="15" s="5" customFormat="1" ht="14.399999999999999" customHeight="1">
      <c r="A15" s="30" t="s">
        <v>28</v>
      </c>
      <c r="B15" s="23" t="s">
        <v>29</v>
      </c>
      <c r="C15" s="10"/>
    </row>
    <row r="16" s="5" customFormat="1" ht="14.399999999999999" customHeight="1">
      <c r="A16" s="30" t="s">
        <v>30</v>
      </c>
      <c r="B16" s="23" t="s">
        <v>31</v>
      </c>
      <c r="C16" s="10"/>
    </row>
    <row r="17" s="5" customFormat="1" ht="14.399999999999999" customHeight="1">
      <c r="A17" s="30" t="s">
        <v>32</v>
      </c>
      <c r="B17" s="23" t="s">
        <v>33</v>
      </c>
      <c r="C17" s="10"/>
    </row>
    <row r="18" s="5" customFormat="1" ht="14.399999999999999" customHeight="1">
      <c r="A18" s="30" t="s">
        <v>34</v>
      </c>
      <c r="B18" s="23" t="s">
        <v>35</v>
      </c>
      <c r="C18" s="10"/>
    </row>
    <row r="19" s="5" customFormat="1" ht="14.399999999999999" customHeight="1">
      <c r="A19" s="30" t="s">
        <v>36</v>
      </c>
      <c r="B19" s="23" t="s">
        <v>37</v>
      </c>
      <c r="C19" s="10"/>
    </row>
    <row r="20" s="5" customFormat="1" ht="14.399999999999999" customHeight="1">
      <c r="A20" s="30" t="s">
        <v>38</v>
      </c>
      <c r="B20" s="23" t="s">
        <v>39</v>
      </c>
      <c r="C20" s="10"/>
    </row>
    <row r="21" s="5" customFormat="1" ht="14.399999999999999" customHeight="1">
      <c r="A21" s="30" t="s">
        <v>40</v>
      </c>
      <c r="B21" s="23" t="s">
        <v>41</v>
      </c>
      <c r="C21" s="10"/>
    </row>
    <row r="22" s="5" customFormat="1" ht="14.399999999999999" customHeight="1">
      <c r="A22" s="30" t="s">
        <v>42</v>
      </c>
      <c r="B22" s="23" t="s">
        <v>43</v>
      </c>
      <c r="C22" s="10"/>
    </row>
    <row r="23" s="5" customFormat="1" ht="14.399999999999999" customHeight="1">
      <c r="A23" s="30" t="s">
        <v>44</v>
      </c>
      <c r="B23" s="23" t="s">
        <v>45</v>
      </c>
      <c r="C23" s="10"/>
    </row>
    <row r="24" s="5" customFormat="1" ht="14.399999999999999" customHeight="1">
      <c r="A24" s="30" t="s">
        <v>46</v>
      </c>
      <c r="B24" s="23" t="s">
        <v>47</v>
      </c>
      <c r="C24" s="10"/>
    </row>
    <row r="25" s="5" customFormat="1" ht="14.399999999999999" customHeight="1">
      <c r="A25" s="30" t="s">
        <v>48</v>
      </c>
      <c r="B25" s="23" t="s">
        <v>49</v>
      </c>
      <c r="C25" s="10"/>
    </row>
    <row r="26" s="5" customFormat="1" ht="14.399999999999999" customHeight="1">
      <c r="A26" s="30" t="s">
        <v>50</v>
      </c>
      <c r="B26" s="23" t="s">
        <v>51</v>
      </c>
      <c r="C26" s="10"/>
    </row>
    <row r="27" s="5" customFormat="1" ht="14.399999999999999" customHeight="1">
      <c r="A27" s="30" t="s">
        <v>52</v>
      </c>
      <c r="B27" s="23" t="s">
        <v>53</v>
      </c>
      <c r="C27" s="10"/>
    </row>
    <row r="28" s="5" customFormat="1" ht="14.399999999999999" customHeight="1">
      <c r="A28" s="30" t="s">
        <v>54</v>
      </c>
      <c r="B28" s="23" t="s">
        <v>55</v>
      </c>
      <c r="C28" s="10"/>
    </row>
    <row r="29" s="5" customFormat="1" ht="14.399999999999999" customHeight="1">
      <c r="A29" s="30" t="s">
        <v>56</v>
      </c>
      <c r="B29" s="23" t="s">
        <v>57</v>
      </c>
      <c r="C29" s="10"/>
    </row>
    <row r="30" s="5" customFormat="1" ht="14.399999999999999" customHeight="1">
      <c r="A30" s="30" t="s">
        <v>58</v>
      </c>
      <c r="B30" s="23" t="s">
        <v>59</v>
      </c>
      <c r="C30" s="10"/>
    </row>
    <row r="31" s="5" customFormat="1" ht="14.399999999999999" customHeight="1">
      <c r="A31" s="30" t="s">
        <v>60</v>
      </c>
      <c r="B31" s="23" t="s">
        <v>61</v>
      </c>
      <c r="C31" s="10"/>
    </row>
    <row r="32" s="5" customFormat="1" ht="14.399999999999999" customHeight="1">
      <c r="A32" s="30" t="s">
        <v>62</v>
      </c>
      <c r="B32" s="23" t="s">
        <v>63</v>
      </c>
      <c r="C32" s="10"/>
    </row>
    <row r="33" s="5" customFormat="1" ht="14.399999999999999" customHeight="1">
      <c r="A33" s="30" t="s">
        <v>64</v>
      </c>
      <c r="B33" s="23" t="s">
        <v>65</v>
      </c>
      <c r="C33" s="10"/>
    </row>
    <row r="34" s="5" customFormat="1" ht="14.399999999999999" customHeight="1">
      <c r="A34" s="30" t="s">
        <v>66</v>
      </c>
      <c r="B34" s="23" t="s">
        <v>67</v>
      </c>
      <c r="C34" s="10"/>
    </row>
    <row r="35" s="5" customFormat="1" ht="14.399999999999999" customHeight="1">
      <c r="A35" s="30" t="s">
        <v>68</v>
      </c>
      <c r="B35" s="23" t="s">
        <v>69</v>
      </c>
      <c r="C35" s="10"/>
    </row>
    <row r="36" s="5" customFormat="1" ht="14.399999999999999" customHeight="1">
      <c r="A36" s="30" t="s">
        <v>70</v>
      </c>
      <c r="B36" s="23" t="s">
        <v>71</v>
      </c>
      <c r="C36" s="10"/>
    </row>
    <row r="37" s="5" customFormat="1" ht="14.399999999999999" customHeight="1">
      <c r="A37" s="30" t="s">
        <v>72</v>
      </c>
      <c r="B37" s="23" t="s">
        <v>73</v>
      </c>
      <c r="C37" s="10"/>
    </row>
    <row r="38" s="5" customFormat="1" ht="14.399999999999999" customHeight="1">
      <c r="A38" s="30" t="s">
        <v>74</v>
      </c>
      <c r="B38" s="23" t="s">
        <v>75</v>
      </c>
      <c r="C38" s="10"/>
    </row>
    <row r="39" s="5" customFormat="1" ht="14.399999999999999" customHeight="1">
      <c r="A39" s="30" t="s">
        <v>76</v>
      </c>
      <c r="B39" s="23" t="s">
        <v>77</v>
      </c>
      <c r="C39" s="10"/>
    </row>
    <row r="40" s="5" customFormat="1" ht="14.399999999999999" customHeight="1">
      <c r="A40" s="30" t="s">
        <v>78</v>
      </c>
      <c r="B40" s="23" t="s">
        <v>79</v>
      </c>
      <c r="C40" s="10"/>
    </row>
    <row r="41" s="5" customFormat="1" ht="14.399999999999999" customHeight="1">
      <c r="A41" s="30" t="s">
        <v>80</v>
      </c>
      <c r="B41" s="23" t="s">
        <v>81</v>
      </c>
      <c r="C41" s="10"/>
    </row>
    <row r="42" s="5" customFormat="1" ht="14.399999999999999" customHeight="1">
      <c r="A42" s="30" t="s">
        <v>82</v>
      </c>
      <c r="B42" s="23" t="s">
        <v>83</v>
      </c>
      <c r="C42" s="10"/>
    </row>
    <row r="43" s="5" customFormat="1" ht="14.399999999999999" customHeight="1">
      <c r="A43" s="30" t="s">
        <v>84</v>
      </c>
      <c r="B43" s="23" t="s">
        <v>85</v>
      </c>
      <c r="C43" s="10"/>
    </row>
    <row r="44" s="5" customFormat="1" ht="14.399999999999999" customHeight="1">
      <c r="A44" s="30" t="s">
        <v>86</v>
      </c>
      <c r="B44" s="23" t="s">
        <v>87</v>
      </c>
      <c r="C44" s="10"/>
    </row>
    <row r="45" s="5" customFormat="1" ht="14.399999999999999" customHeight="1">
      <c r="A45" s="30" t="s">
        <v>88</v>
      </c>
      <c r="B45" s="23" t="s">
        <v>89</v>
      </c>
      <c r="C45" s="10"/>
    </row>
    <row r="46" s="5" customFormat="1" ht="14.399999999999999" customHeight="1">
      <c r="A46" s="30" t="s">
        <v>90</v>
      </c>
      <c r="B46" s="23" t="s">
        <v>91</v>
      </c>
      <c r="C46" s="10"/>
    </row>
    <row r="47" s="5" customFormat="1" ht="14.399999999999999" customHeight="1">
      <c r="A47" s="30" t="s">
        <v>92</v>
      </c>
      <c r="B47" s="23" t="s">
        <v>93</v>
      </c>
      <c r="C47" s="10"/>
    </row>
    <row r="48" s="5" customFormat="1" ht="14.399999999999999" customHeight="1">
      <c r="A48" s="30" t="s">
        <v>94</v>
      </c>
      <c r="B48" s="23" t="s">
        <v>95</v>
      </c>
      <c r="C48" s="10"/>
    </row>
    <row r="49" s="5" customFormat="1" ht="14.399999999999999" customHeight="1">
      <c r="A49" s="30" t="s">
        <v>96</v>
      </c>
      <c r="B49" s="23" t="s">
        <v>97</v>
      </c>
      <c r="C49" s="10"/>
    </row>
    <row r="50" s="5" customFormat="1" ht="14.399999999999999" customHeight="1">
      <c r="A50" s="30" t="s">
        <v>98</v>
      </c>
      <c r="B50" s="23" t="s">
        <v>99</v>
      </c>
      <c r="C50" s="10"/>
    </row>
    <row r="51" s="5" customFormat="1" ht="14.399999999999999" customHeight="1">
      <c r="A51" s="30" t="s">
        <v>100</v>
      </c>
      <c r="B51" s="23" t="s">
        <v>101</v>
      </c>
      <c r="C51" s="10"/>
    </row>
    <row r="52" s="5" customFormat="1" ht="14.399999999999999" customHeight="1">
      <c r="A52" s="30" t="s">
        <v>102</v>
      </c>
      <c r="B52" s="23" t="s">
        <v>103</v>
      </c>
      <c r="C52" s="10"/>
    </row>
    <row r="53" s="5" customFormat="1" ht="14.399999999999999" customHeight="1">
      <c r="A53" s="30" t="s">
        <v>104</v>
      </c>
      <c r="B53" s="23" t="s">
        <v>105</v>
      </c>
      <c r="C53" s="10"/>
    </row>
    <row r="54" s="5" customFormat="1" ht="14.399999999999999" customHeight="1">
      <c r="A54" s="30" t="s">
        <v>106</v>
      </c>
      <c r="B54" s="23" t="s">
        <v>107</v>
      </c>
      <c r="C54" s="10"/>
    </row>
    <row r="55" s="5" customFormat="1" ht="14.399999999999999" customHeight="1">
      <c r="A55" s="30" t="s">
        <v>108</v>
      </c>
      <c r="B55" s="23" t="s">
        <v>109</v>
      </c>
      <c r="C55" s="10"/>
    </row>
    <row r="56" s="5" customFormat="1" ht="14.399999999999999" customHeight="1">
      <c r="A56" s="30" t="s">
        <v>110</v>
      </c>
      <c r="B56" s="23" t="s">
        <v>111</v>
      </c>
      <c r="C56" s="10"/>
    </row>
    <row r="57" s="5" customFormat="1" ht="14.399999999999999" customHeight="1">
      <c r="A57" s="30" t="s">
        <v>112</v>
      </c>
      <c r="B57" s="23" t="s">
        <v>113</v>
      </c>
      <c r="C57" s="10"/>
    </row>
    <row r="58" s="5" customFormat="1" ht="14.399999999999999" customHeight="1">
      <c r="A58" s="30" t="s">
        <v>114</v>
      </c>
      <c r="B58" s="23" t="s">
        <v>115</v>
      </c>
      <c r="C58" s="10"/>
    </row>
    <row r="59" s="5" customFormat="1" ht="14.399999999999999" customHeight="1">
      <c r="A59" s="30" t="s">
        <v>116</v>
      </c>
      <c r="B59" s="23" t="s">
        <v>117</v>
      </c>
      <c r="C59" s="10"/>
    </row>
    <row r="60" s="5" customFormat="1" ht="14.399999999999999" customHeight="1">
      <c r="A60" s="30" t="s">
        <v>118</v>
      </c>
      <c r="B60" s="23" t="s">
        <v>119</v>
      </c>
      <c r="C60" s="10"/>
    </row>
    <row r="61" s="5" customFormat="1" ht="14.399999999999999" customHeight="1">
      <c r="A61" s="30" t="s">
        <v>120</v>
      </c>
      <c r="B61" s="23" t="s">
        <v>121</v>
      </c>
      <c r="C61" s="10"/>
    </row>
    <row r="62" s="5" customFormat="1" ht="14.399999999999999" customHeight="1">
      <c r="A62" s="30" t="s">
        <v>122</v>
      </c>
      <c r="B62" s="23" t="s">
        <v>123</v>
      </c>
      <c r="C62" s="10"/>
    </row>
    <row r="63" s="5" customFormat="1" ht="14.399999999999999" customHeight="1">
      <c r="A63" s="30" t="s">
        <v>124</v>
      </c>
      <c r="B63" s="23" t="s">
        <v>125</v>
      </c>
      <c r="C63" s="10"/>
    </row>
    <row r="64" s="5" customFormat="1" ht="14.399999999999999" customHeight="1">
      <c r="A64" s="30" t="s">
        <v>126</v>
      </c>
      <c r="B64" s="23" t="s">
        <v>127</v>
      </c>
      <c r="C64" s="10"/>
    </row>
    <row r="65" s="5" customFormat="1" ht="14.399999999999999" customHeight="1">
      <c r="A65" s="30" t="s">
        <v>128</v>
      </c>
      <c r="B65" s="23" t="s">
        <v>129</v>
      </c>
      <c r="C65" s="10"/>
    </row>
    <row r="66" s="5" customFormat="1" ht="14.399999999999999" customHeight="1">
      <c r="A66" s="30" t="s">
        <v>130</v>
      </c>
      <c r="B66" s="23" t="s">
        <v>131</v>
      </c>
      <c r="C66" s="10"/>
    </row>
    <row r="67" s="5" customFormat="1" ht="14.399999999999999" customHeight="1">
      <c r="A67" s="30" t="s">
        <v>132</v>
      </c>
      <c r="B67" s="23" t="s">
        <v>133</v>
      </c>
      <c r="C67" s="10"/>
    </row>
    <row r="68" s="5" customFormat="1" ht="14.399999999999999" customHeight="1">
      <c r="A68" s="30" t="s">
        <v>134</v>
      </c>
      <c r="B68" s="23" t="s">
        <v>135</v>
      </c>
      <c r="C68" s="10"/>
    </row>
    <row r="69" s="5" customFormat="1" ht="14.399999999999999" customHeight="1">
      <c r="A69" s="30" t="s">
        <v>136</v>
      </c>
      <c r="B69" s="23" t="s">
        <v>137</v>
      </c>
      <c r="C69" s="10"/>
    </row>
    <row r="70" s="5" customFormat="1" ht="14.399999999999999" customHeight="1">
      <c r="A70" s="30" t="s">
        <v>138</v>
      </c>
      <c r="B70" s="23" t="s">
        <v>139</v>
      </c>
      <c r="C70" s="10"/>
    </row>
    <row r="71" s="5" customFormat="1" ht="14.399999999999999" customHeight="1">
      <c r="A71" s="30" t="s">
        <v>140</v>
      </c>
      <c r="B71" s="23" t="s">
        <v>141</v>
      </c>
      <c r="C71" s="10"/>
    </row>
    <row r="72" s="5" customFormat="1" ht="14.399999999999999" customHeight="1">
      <c r="A72" s="30" t="s">
        <v>142</v>
      </c>
      <c r="B72" s="23" t="s">
        <v>143</v>
      </c>
      <c r="C72" s="10"/>
    </row>
    <row r="73" s="5" customFormat="1" ht="14.399999999999999" customHeight="1">
      <c r="A73" s="30" t="s">
        <v>144</v>
      </c>
      <c r="B73" s="23" t="s">
        <v>145</v>
      </c>
      <c r="C73" s="10"/>
    </row>
    <row r="74" s="5" customFormat="1" ht="14.399999999999999" customHeight="1">
      <c r="A74" s="30" t="s">
        <v>146</v>
      </c>
      <c r="B74" s="23" t="s">
        <v>147</v>
      </c>
      <c r="C74" s="10"/>
    </row>
    <row r="75" s="5" customFormat="1" ht="14.399999999999999" customHeight="1">
      <c r="A75" s="30" t="s">
        <v>148</v>
      </c>
      <c r="B75" s="23" t="s">
        <v>149</v>
      </c>
      <c r="C75" s="10"/>
    </row>
    <row r="76" s="5" customFormat="1" ht="14.399999999999999" customHeight="1">
      <c r="A76" s="30" t="s">
        <v>150</v>
      </c>
      <c r="B76" s="23" t="s">
        <v>151</v>
      </c>
      <c r="C76" s="10"/>
    </row>
    <row r="77" s="5" customFormat="1" ht="14.399999999999999" customHeight="1">
      <c r="A77" s="30" t="s">
        <v>152</v>
      </c>
      <c r="B77" s="23" t="s">
        <v>153</v>
      </c>
      <c r="C77" s="10"/>
    </row>
    <row r="78" s="5" customFormat="1" ht="14.399999999999999" customHeight="1">
      <c r="A78" s="30" t="s">
        <v>154</v>
      </c>
      <c r="B78" s="23" t="s">
        <v>155</v>
      </c>
      <c r="C78" s="10"/>
    </row>
    <row r="79" s="5" customFormat="1" ht="14.399999999999999" customHeight="1">
      <c r="A79" s="30" t="s">
        <v>156</v>
      </c>
      <c r="B79" s="23" t="s">
        <v>157</v>
      </c>
      <c r="C79" s="10"/>
    </row>
    <row r="80" s="5" customFormat="1" ht="14.399999999999999" customHeight="1">
      <c r="A80" s="30" t="s">
        <v>158</v>
      </c>
      <c r="B80" s="23" t="s">
        <v>159</v>
      </c>
      <c r="C80" s="10"/>
    </row>
    <row r="81" s="5" customFormat="1" ht="14.399999999999999" customHeight="1">
      <c r="A81" s="30" t="s">
        <v>160</v>
      </c>
      <c r="B81" s="23" t="s">
        <v>161</v>
      </c>
      <c r="C81" s="10"/>
    </row>
    <row r="82" s="5" customFormat="1" ht="14.399999999999999" customHeight="1">
      <c r="A82" s="30" t="s">
        <v>162</v>
      </c>
      <c r="B82" s="23" t="s">
        <v>163</v>
      </c>
      <c r="C82" s="10"/>
    </row>
    <row r="83" s="5" customFormat="1" ht="14.399999999999999" customHeight="1">
      <c r="A83" s="30" t="s">
        <v>164</v>
      </c>
      <c r="B83" s="23" t="s">
        <v>165</v>
      </c>
      <c r="C83" s="10"/>
    </row>
    <row r="84" s="5" customFormat="1" ht="14.399999999999999" customHeight="1">
      <c r="A84" s="30" t="s">
        <v>166</v>
      </c>
      <c r="B84" s="23" t="s">
        <v>167</v>
      </c>
      <c r="C84" s="10"/>
    </row>
    <row r="85" s="5" customFormat="1" ht="14.399999999999999" customHeight="1">
      <c r="A85" s="30" t="s">
        <v>168</v>
      </c>
      <c r="B85" s="23" t="s">
        <v>169</v>
      </c>
      <c r="C85" s="10"/>
    </row>
    <row r="86" s="5" customFormat="1" ht="14.399999999999999" customHeight="1">
      <c r="A86" s="30" t="s">
        <v>170</v>
      </c>
      <c r="B86" s="23" t="s">
        <v>171</v>
      </c>
      <c r="C86" s="10"/>
    </row>
    <row r="87" s="5" customFormat="1" ht="14.399999999999999" customHeight="1">
      <c r="A87" s="30" t="s">
        <v>172</v>
      </c>
      <c r="B87" s="23" t="s">
        <v>173</v>
      </c>
      <c r="C87" s="10"/>
    </row>
    <row r="88" s="5" customFormat="1" ht="14.399999999999999" customHeight="1">
      <c r="A88" s="30" t="s">
        <v>174</v>
      </c>
      <c r="B88" s="23" t="s">
        <v>175</v>
      </c>
      <c r="C88" s="10"/>
    </row>
    <row r="89" s="5" customFormat="1" ht="14.399999999999999" customHeight="1">
      <c r="A89" s="30" t="s">
        <v>176</v>
      </c>
      <c r="B89" s="23" t="s">
        <v>177</v>
      </c>
      <c r="C89" s="10"/>
    </row>
    <row r="90" s="5" customFormat="1" ht="14.399999999999999" customHeight="1">
      <c r="A90" s="30" t="s">
        <v>178</v>
      </c>
      <c r="B90" s="23" t="s">
        <v>179</v>
      </c>
      <c r="C90" s="10"/>
    </row>
    <row r="91" s="5" customFormat="1" ht="14.399999999999999" customHeight="1">
      <c r="A91" s="30" t="s">
        <v>180</v>
      </c>
      <c r="B91" s="23" t="s">
        <v>181</v>
      </c>
      <c r="C91" s="10"/>
    </row>
    <row r="92" s="5" customFormat="1" ht="14.399999999999999" customHeight="1">
      <c r="A92" s="30" t="s">
        <v>182</v>
      </c>
      <c r="B92" s="23" t="s">
        <v>183</v>
      </c>
      <c r="C92" s="10"/>
    </row>
    <row r="93" s="5" customFormat="1" ht="14.399999999999999" customHeight="1">
      <c r="A93" s="30" t="s">
        <v>184</v>
      </c>
      <c r="B93" s="23" t="s">
        <v>185</v>
      </c>
      <c r="C93" s="10"/>
    </row>
    <row r="94" s="5" customFormat="1" ht="14.399999999999999" customHeight="1">
      <c r="A94" s="30" t="s">
        <v>186</v>
      </c>
      <c r="B94" s="23" t="s">
        <v>187</v>
      </c>
      <c r="C94" s="10"/>
    </row>
    <row r="95" s="5" customFormat="1" ht="14.399999999999999" customHeight="1">
      <c r="A95" s="30" t="s">
        <v>188</v>
      </c>
      <c r="B95" s="23" t="s">
        <v>189</v>
      </c>
      <c r="C95" s="10"/>
    </row>
    <row r="96" s="5" customFormat="1" ht="14.399999999999999" customHeight="1">
      <c r="A96" s="30" t="s">
        <v>190</v>
      </c>
      <c r="B96" s="23" t="s">
        <v>191</v>
      </c>
      <c r="C96" s="10"/>
    </row>
    <row r="97" s="5" customFormat="1" ht="14.399999999999999" customHeight="1">
      <c r="A97" s="31" t="s">
        <v>192</v>
      </c>
      <c r="B97" s="23" t="s">
        <v>193</v>
      </c>
      <c r="C97" s="10"/>
    </row>
    <row r="98" s="5" customFormat="1" ht="14.399999999999999" customHeight="1">
      <c r="A98" s="31" t="s">
        <v>194</v>
      </c>
      <c r="B98" s="23" t="s">
        <v>195</v>
      </c>
      <c r="C98" s="10"/>
    </row>
    <row r="99" s="5" customFormat="1" ht="14.399999999999999" customHeight="1">
      <c r="A99" s="32" t="s">
        <v>196</v>
      </c>
      <c r="B99" s="24" t="s">
        <v>197</v>
      </c>
      <c r="C99" s="10"/>
    </row>
    <row r="100" s="5" customFormat="1" ht="14.399999999999999" customHeight="1">
      <c r="A100" s="32" t="s">
        <v>198</v>
      </c>
      <c r="B100" s="24" t="s">
        <v>199</v>
      </c>
      <c r="C100" s="10"/>
    </row>
    <row r="101" s="5" customFormat="1" ht="14.399999999999999" customHeight="1">
      <c r="A101" s="31" t="s">
        <v>200</v>
      </c>
      <c r="B101" s="23" t="s">
        <v>201</v>
      </c>
      <c r="C101" s="10"/>
    </row>
    <row r="102" s="5" customFormat="1" ht="14.399999999999999" customHeight="1">
      <c r="A102" s="31" t="s">
        <v>202</v>
      </c>
      <c r="B102" s="23" t="s">
        <v>203</v>
      </c>
      <c r="C102" s="10"/>
    </row>
    <row r="103" s="5" customFormat="1" ht="14.399999999999999" customHeight="1">
      <c r="A103" s="31" t="s">
        <v>204</v>
      </c>
      <c r="B103" s="23" t="s">
        <v>205</v>
      </c>
      <c r="C103" s="10"/>
    </row>
    <row r="104" s="5" customFormat="1" ht="14.399999999999999" customHeight="1">
      <c r="A104" s="31" t="s">
        <v>206</v>
      </c>
      <c r="B104" s="23" t="s">
        <v>207</v>
      </c>
      <c r="C104" s="10"/>
    </row>
    <row r="105" s="5" customFormat="1" ht="14.399999999999999" customHeight="1">
      <c r="A105" s="10" t="s">
        <v>208</v>
      </c>
      <c r="B105" s="23" t="s">
        <v>209</v>
      </c>
      <c r="C105" s="10"/>
    </row>
    <row r="106" s="5" customFormat="1" ht="14.399999999999999" customHeight="1">
      <c r="A106" s="10" t="s">
        <v>210</v>
      </c>
      <c r="B106" s="23" t="s">
        <v>211</v>
      </c>
      <c r="C106" s="10"/>
    </row>
    <row r="107" s="5" customFormat="1" ht="14.399999999999999" customHeight="1">
      <c r="A107" s="10" t="s">
        <v>212</v>
      </c>
      <c r="B107" s="23" t="s">
        <v>213</v>
      </c>
      <c r="C107" s="10"/>
    </row>
    <row r="108" s="5" customFormat="1" ht="14.399999999999999" customHeight="1">
      <c r="A108" s="10" t="s">
        <v>214</v>
      </c>
      <c r="B108" s="23" t="s">
        <v>215</v>
      </c>
      <c r="C108" s="10"/>
    </row>
    <row r="109" s="5" customFormat="1" ht="14.399999999999999" customHeight="1">
      <c r="A109" s="10" t="s">
        <v>216</v>
      </c>
      <c r="B109" s="23" t="s">
        <v>217</v>
      </c>
      <c r="C109" s="10"/>
    </row>
    <row r="110" s="5" customFormat="1" ht="14.399999999999999" customHeight="1">
      <c r="A110" s="10" t="s">
        <v>218</v>
      </c>
      <c r="B110" s="23" t="s">
        <v>219</v>
      </c>
      <c r="C110" s="10"/>
    </row>
    <row r="111" s="5" customFormat="1" ht="14.399999999999999" customHeight="1">
      <c r="A111" s="26" t="s">
        <v>220</v>
      </c>
      <c r="B111" s="23" t="s">
        <v>221</v>
      </c>
      <c r="C111" s="10"/>
    </row>
    <row r="112" s="5" customFormat="1" ht="14.399999999999999" customHeight="1">
      <c r="A112" s="10" t="s">
        <v>222</v>
      </c>
      <c r="B112" s="23" t="s">
        <v>223</v>
      </c>
      <c r="C112" s="10"/>
    </row>
    <row r="113" s="5" customFormat="1" ht="14.399999999999999" customHeight="1">
      <c r="A113" s="10" t="s">
        <v>224</v>
      </c>
      <c r="B113" s="23" t="s">
        <v>225</v>
      </c>
      <c r="C113" s="10"/>
    </row>
    <row r="114" s="5" customFormat="1" ht="14.399999999999999" customHeight="1">
      <c r="A114" s="10" t="s">
        <v>226</v>
      </c>
      <c r="B114" s="23" t="s">
        <v>227</v>
      </c>
      <c r="C114" s="10"/>
    </row>
    <row r="115" s="5" customFormat="1" ht="14.399999999999999" customHeight="1">
      <c r="A115" s="10" t="s">
        <v>228</v>
      </c>
      <c r="B115" s="23" t="s">
        <v>229</v>
      </c>
      <c r="C115" s="10"/>
    </row>
    <row r="116" s="5" customFormat="1" ht="14.399999999999999" customHeight="1">
      <c r="A116" s="10" t="s">
        <v>230</v>
      </c>
      <c r="B116" s="23" t="s">
        <v>231</v>
      </c>
      <c r="C116" s="10"/>
    </row>
    <row r="117" s="5" customFormat="1" ht="14.399999999999999" customHeight="1">
      <c r="A117" s="10" t="s">
        <v>232</v>
      </c>
      <c r="B117" s="23" t="s">
        <v>233</v>
      </c>
      <c r="C117" s="10"/>
    </row>
    <row r="118" s="5" customFormat="1" ht="14.399999999999999" customHeight="1">
      <c r="A118" s="10" t="s">
        <v>234</v>
      </c>
      <c r="B118" s="23" t="s">
        <v>235</v>
      </c>
      <c r="C118" s="10"/>
    </row>
    <row r="119" s="5" customFormat="1" ht="14.399999999999999" customHeight="1">
      <c r="A119" s="10" t="s">
        <v>236</v>
      </c>
      <c r="B119" s="23" t="s">
        <v>237</v>
      </c>
      <c r="C119" s="10"/>
    </row>
    <row r="120" s="5" customFormat="1" ht="14.399999999999999" customHeight="1">
      <c r="A120" s="10" t="s">
        <v>238</v>
      </c>
      <c r="B120" s="23" t="s">
        <v>239</v>
      </c>
      <c r="C120" s="10"/>
    </row>
    <row r="121" s="5" customFormat="1" ht="14.399999999999999" customHeight="1">
      <c r="A121" s="10" t="s">
        <v>240</v>
      </c>
      <c r="B121" s="23" t="s">
        <v>241</v>
      </c>
      <c r="C121" s="10"/>
    </row>
    <row r="122" s="5" customFormat="1" ht="14.399999999999999" customHeight="1">
      <c r="A122" s="10" t="s">
        <v>242</v>
      </c>
      <c r="B122" s="23" t="s">
        <v>243</v>
      </c>
      <c r="C122" s="10"/>
    </row>
    <row r="123" s="5" customFormat="1" ht="14.399999999999999" customHeight="1">
      <c r="A123" s="10" t="s">
        <v>244</v>
      </c>
      <c r="B123" s="23" t="s">
        <v>245</v>
      </c>
      <c r="C123" s="10"/>
    </row>
    <row r="124" s="5" customFormat="1" ht="14.399999999999999" customHeight="1">
      <c r="A124" s="10" t="s">
        <v>246</v>
      </c>
      <c r="B124" s="23" t="s">
        <v>247</v>
      </c>
      <c r="C124" s="10"/>
    </row>
    <row r="125" s="5" customFormat="1" ht="14.399999999999999" customHeight="1">
      <c r="A125" s="10" t="s">
        <v>248</v>
      </c>
      <c r="B125" s="23" t="s">
        <v>249</v>
      </c>
      <c r="C125" s="10"/>
    </row>
    <row r="126" s="5" customFormat="1" ht="14.399999999999999" customHeight="1">
      <c r="A126" s="10" t="s">
        <v>250</v>
      </c>
      <c r="B126" s="23" t="s">
        <v>251</v>
      </c>
      <c r="C126" s="10"/>
    </row>
    <row r="127" s="5" customFormat="1" ht="14.399999999999999" customHeight="1">
      <c r="A127" s="10" t="s">
        <v>252</v>
      </c>
      <c r="B127" s="23" t="s">
        <v>253</v>
      </c>
      <c r="C127" s="10"/>
    </row>
    <row r="128" s="5" customFormat="1" ht="14.399999999999999" customHeight="1">
      <c r="A128" s="10" t="s">
        <v>254</v>
      </c>
      <c r="B128" s="23" t="s">
        <v>255</v>
      </c>
      <c r="C128" s="10"/>
    </row>
    <row r="129" s="5" customFormat="1" ht="14.399999999999999" customHeight="1">
      <c r="A129" s="10" t="s">
        <v>256</v>
      </c>
      <c r="B129" s="23" t="s">
        <v>257</v>
      </c>
      <c r="C129" s="10"/>
    </row>
    <row r="130" s="5" customFormat="1" ht="14.399999999999999" customHeight="1">
      <c r="A130" s="10" t="s">
        <v>258</v>
      </c>
      <c r="B130" s="23" t="s">
        <v>259</v>
      </c>
      <c r="C130" s="10"/>
    </row>
    <row r="131" s="5" customFormat="1" ht="14.399999999999999" customHeight="1">
      <c r="A131" s="10" t="s">
        <v>260</v>
      </c>
      <c r="B131" s="23" t="s">
        <v>261</v>
      </c>
      <c r="C131" s="10"/>
    </row>
    <row r="132" s="5" customFormat="1" ht="14.399999999999999" customHeight="1">
      <c r="A132" s="10" t="s">
        <v>262</v>
      </c>
      <c r="B132" s="23" t="s">
        <v>263</v>
      </c>
      <c r="C132" s="10"/>
    </row>
    <row r="133" s="5" customFormat="1" ht="14.399999999999999" customHeight="1">
      <c r="A133" s="10" t="s">
        <v>264</v>
      </c>
      <c r="B133" s="23" t="s">
        <v>265</v>
      </c>
      <c r="C133" s="10"/>
    </row>
    <row r="134" s="5" customFormat="1" ht="14.399999999999999" customHeight="1">
      <c r="A134" s="10" t="s">
        <v>266</v>
      </c>
      <c r="B134" s="23" t="s">
        <v>267</v>
      </c>
      <c r="C134" s="10"/>
    </row>
    <row r="135" s="5" customFormat="1" ht="14.399999999999999" customHeight="1">
      <c r="A135" s="26" t="s">
        <v>268</v>
      </c>
      <c r="B135" s="23" t="s">
        <v>269</v>
      </c>
      <c r="C135" s="10"/>
    </row>
    <row r="136" s="5" customFormat="1" ht="14.399999999999999" customHeight="1">
      <c r="A136" s="10" t="s">
        <v>270</v>
      </c>
      <c r="B136" s="23" t="s">
        <v>271</v>
      </c>
      <c r="C136" s="10"/>
    </row>
    <row r="137" s="5" customFormat="1" ht="14.399999999999999" customHeight="1">
      <c r="A137" s="10" t="s">
        <v>272</v>
      </c>
      <c r="B137" s="23" t="s">
        <v>273</v>
      </c>
      <c r="C137" s="10"/>
    </row>
    <row r="138" s="5" customFormat="1" ht="14.399999999999999" customHeight="1">
      <c r="A138" s="10" t="s">
        <v>274</v>
      </c>
      <c r="B138" s="23" t="s">
        <v>275</v>
      </c>
      <c r="C138" s="10"/>
    </row>
    <row r="139" s="5" customFormat="1" ht="14.399999999999999" customHeight="1">
      <c r="A139" s="10" t="s">
        <v>276</v>
      </c>
      <c r="B139" s="23" t="s">
        <v>277</v>
      </c>
      <c r="C139" s="10"/>
    </row>
    <row r="140" s="5" customFormat="1" ht="14.399999999999999" customHeight="1">
      <c r="A140" s="10" t="s">
        <v>278</v>
      </c>
      <c r="B140" s="23" t="s">
        <v>279</v>
      </c>
      <c r="C140" s="10"/>
    </row>
    <row r="141" s="5" customFormat="1" ht="14.399999999999999" customHeight="1">
      <c r="A141" s="10" t="s">
        <v>280</v>
      </c>
      <c r="B141" s="23" t="s">
        <v>281</v>
      </c>
      <c r="C141" s="10"/>
    </row>
    <row r="142" s="5" customFormat="1" ht="14.399999999999999" customHeight="1">
      <c r="A142" s="10" t="s">
        <v>282</v>
      </c>
      <c r="B142" s="23" t="s">
        <v>283</v>
      </c>
      <c r="C142" s="10"/>
    </row>
    <row r="143" s="5" customFormat="1" ht="14.399999999999999" customHeight="1">
      <c r="A143" s="10" t="s">
        <v>284</v>
      </c>
      <c r="B143" s="23" t="s">
        <v>285</v>
      </c>
      <c r="C143" s="10"/>
    </row>
    <row r="144" s="5" customFormat="1" ht="14.399999999999999" customHeight="1">
      <c r="A144" s="10" t="s">
        <v>286</v>
      </c>
      <c r="B144" s="23" t="s">
        <v>287</v>
      </c>
      <c r="C144" s="10"/>
    </row>
    <row r="145" s="5" customFormat="1" ht="14.399999999999999" customHeight="1">
      <c r="A145" s="10" t="s">
        <v>288</v>
      </c>
      <c r="B145" s="23" t="s">
        <v>289</v>
      </c>
      <c r="C145" s="10"/>
    </row>
    <row r="146" s="5" customFormat="1" ht="14.399999999999999" customHeight="1">
      <c r="A146" s="10" t="s">
        <v>290</v>
      </c>
      <c r="B146" s="23" t="s">
        <v>291</v>
      </c>
      <c r="C146" s="10"/>
    </row>
    <row r="147" s="5" customFormat="1" ht="14.399999999999999" customHeight="1">
      <c r="A147" s="10" t="s">
        <v>292</v>
      </c>
      <c r="B147" s="23" t="s">
        <v>293</v>
      </c>
      <c r="C147" s="10"/>
    </row>
    <row r="148" s="5" customFormat="1" ht="14.399999999999999" customHeight="1">
      <c r="A148" s="10" t="s">
        <v>294</v>
      </c>
      <c r="B148" s="23" t="s">
        <v>295</v>
      </c>
      <c r="C148" s="10"/>
    </row>
    <row r="149" s="5" customFormat="1" ht="14.399999999999999" customHeight="1">
      <c r="A149" s="10" t="s">
        <v>296</v>
      </c>
      <c r="B149" s="23" t="s">
        <v>297</v>
      </c>
      <c r="C149" s="10"/>
    </row>
    <row r="150" s="5" customFormat="1" ht="14.399999999999999" customHeight="1">
      <c r="A150" s="10" t="s">
        <v>298</v>
      </c>
      <c r="B150" s="23" t="s">
        <v>299</v>
      </c>
      <c r="C150" s="10"/>
    </row>
    <row r="151" s="5" customFormat="1" ht="14.399999999999999" customHeight="1">
      <c r="A151" s="10" t="s">
        <v>300</v>
      </c>
      <c r="B151" s="23" t="s">
        <v>301</v>
      </c>
      <c r="C151" s="10"/>
    </row>
    <row r="152" s="5" customFormat="1" ht="14.399999999999999" customHeight="1">
      <c r="A152" s="10" t="s">
        <v>302</v>
      </c>
      <c r="B152" s="23" t="s">
        <v>303</v>
      </c>
      <c r="C152" s="10"/>
    </row>
    <row r="153" s="5" customFormat="1" ht="14.399999999999999" customHeight="1">
      <c r="A153" s="10" t="s">
        <v>304</v>
      </c>
      <c r="B153" s="23" t="s">
        <v>305</v>
      </c>
      <c r="C153" s="10"/>
    </row>
    <row r="154" s="5" customFormat="1" ht="14.399999999999999" customHeight="1">
      <c r="A154" s="10" t="s">
        <v>306</v>
      </c>
      <c r="B154" s="23" t="s">
        <v>307</v>
      </c>
      <c r="C154" s="10"/>
    </row>
    <row r="155" s="5" customFormat="1" ht="14.399999999999999" customHeight="1">
      <c r="A155" s="10" t="s">
        <v>308</v>
      </c>
      <c r="B155" s="23" t="s">
        <v>309</v>
      </c>
      <c r="C155" s="10"/>
    </row>
    <row r="156" s="5" customFormat="1" ht="14.399999999999999" customHeight="1">
      <c r="A156" s="10" t="s">
        <v>310</v>
      </c>
      <c r="B156" s="23" t="s">
        <v>311</v>
      </c>
      <c r="C156" s="10"/>
    </row>
    <row r="157" s="5" customFormat="1" ht="14.399999999999999" customHeight="1">
      <c r="A157" s="10" t="s">
        <v>312</v>
      </c>
      <c r="B157" s="23" t="s">
        <v>313</v>
      </c>
      <c r="C157" s="10"/>
    </row>
    <row r="158" s="5" customFormat="1" ht="14.399999999999999" customHeight="1">
      <c r="A158" s="10" t="s">
        <v>314</v>
      </c>
      <c r="B158" s="23" t="s">
        <v>315</v>
      </c>
      <c r="C158" s="10"/>
    </row>
    <row r="159" s="5" customFormat="1" ht="14.399999999999999" customHeight="1">
      <c r="A159" s="10" t="s">
        <v>316</v>
      </c>
      <c r="B159" s="23" t="s">
        <v>317</v>
      </c>
      <c r="C159" s="10"/>
    </row>
    <row r="160" s="5" customFormat="1" ht="14.399999999999999" customHeight="1">
      <c r="A160" s="10" t="s">
        <v>318</v>
      </c>
      <c r="B160" s="23" t="s">
        <v>319</v>
      </c>
      <c r="C160" s="10"/>
    </row>
    <row r="161" s="5" customFormat="1" ht="14.399999999999999" customHeight="1">
      <c r="A161" s="10" t="s">
        <v>320</v>
      </c>
      <c r="B161" s="23" t="s">
        <v>321</v>
      </c>
      <c r="C161" s="10"/>
    </row>
    <row r="162" s="5" customFormat="1" ht="14.399999999999999" customHeight="1">
      <c r="A162" s="10" t="s">
        <v>322</v>
      </c>
      <c r="B162" s="23" t="s">
        <v>323</v>
      </c>
      <c r="C162" s="10"/>
    </row>
    <row r="163" s="5" customFormat="1" ht="14.399999999999999" customHeight="1">
      <c r="A163" s="10" t="s">
        <v>324</v>
      </c>
      <c r="B163" s="23" t="s">
        <v>325</v>
      </c>
      <c r="C163" s="10"/>
    </row>
    <row r="164" s="5" customFormat="1" ht="14.399999999999999" customHeight="1">
      <c r="A164" s="10" t="s">
        <v>326</v>
      </c>
      <c r="B164" s="23" t="s">
        <v>327</v>
      </c>
      <c r="C164" s="10"/>
    </row>
    <row r="165" s="5" customFormat="1" ht="14.399999999999999" customHeight="1">
      <c r="A165" s="10" t="s">
        <v>328</v>
      </c>
      <c r="B165" s="23" t="s">
        <v>329</v>
      </c>
      <c r="C165" s="10"/>
    </row>
    <row r="166" s="5" customFormat="1" ht="14.399999999999999" customHeight="1">
      <c r="A166" s="10" t="s">
        <v>330</v>
      </c>
      <c r="B166" s="23" t="s">
        <v>331</v>
      </c>
      <c r="C166" s="10"/>
    </row>
    <row r="167" s="5" customFormat="1" ht="14.399999999999999" customHeight="1">
      <c r="A167" s="10" t="s">
        <v>332</v>
      </c>
      <c r="B167" s="23" t="s">
        <v>333</v>
      </c>
      <c r="C167" s="10"/>
    </row>
    <row r="168" s="5" customFormat="1" ht="14.399999999999999" customHeight="1">
      <c r="A168" s="10" t="s">
        <v>334</v>
      </c>
      <c r="B168" s="23" t="s">
        <v>335</v>
      </c>
      <c r="C168" s="10"/>
    </row>
    <row r="169" s="5" customFormat="1" ht="14.399999999999999" customHeight="1">
      <c r="A169" s="10" t="s">
        <v>336</v>
      </c>
      <c r="B169" s="23" t="s">
        <v>337</v>
      </c>
      <c r="C169" s="10"/>
    </row>
    <row r="170" s="5" customFormat="1" ht="14.399999999999999" customHeight="1">
      <c r="A170" s="10" t="s">
        <v>338</v>
      </c>
      <c r="B170" s="23" t="s">
        <v>339</v>
      </c>
      <c r="C170" s="10"/>
    </row>
    <row r="171" s="5" customFormat="1" ht="14.399999999999999" customHeight="1">
      <c r="A171" s="10" t="s">
        <v>340</v>
      </c>
      <c r="B171" s="23" t="s">
        <v>341</v>
      </c>
      <c r="C171" s="10"/>
    </row>
    <row r="172" s="5" customFormat="1" ht="14.399999999999999" customHeight="1">
      <c r="A172" s="10" t="s">
        <v>342</v>
      </c>
      <c r="B172" s="23" t="s">
        <v>343</v>
      </c>
      <c r="C172" s="10"/>
    </row>
    <row r="173" s="5" customFormat="1" ht="14.399999999999999" customHeight="1">
      <c r="A173" s="10" t="s">
        <v>344</v>
      </c>
      <c r="B173" s="23" t="s">
        <v>345</v>
      </c>
      <c r="C173" s="10"/>
    </row>
    <row r="174" s="5" customFormat="1" ht="14.399999999999999" customHeight="1">
      <c r="A174" s="10" t="s">
        <v>346</v>
      </c>
      <c r="B174" s="23" t="s">
        <v>347</v>
      </c>
      <c r="C174" s="10"/>
    </row>
    <row r="175" s="5" customFormat="1" ht="14.399999999999999" customHeight="1">
      <c r="A175" s="10" t="s">
        <v>348</v>
      </c>
      <c r="B175" s="23" t="s">
        <v>349</v>
      </c>
      <c r="C175" s="10"/>
    </row>
    <row r="176" s="5" customFormat="1" ht="14.399999999999999" customHeight="1">
      <c r="A176" s="10" t="s">
        <v>350</v>
      </c>
      <c r="B176" s="23" t="s">
        <v>351</v>
      </c>
      <c r="C176" s="10"/>
    </row>
    <row r="177" s="5" customFormat="1" ht="14.399999999999999" customHeight="1">
      <c r="A177" s="10" t="s">
        <v>352</v>
      </c>
      <c r="B177" s="23" t="s">
        <v>353</v>
      </c>
      <c r="C177" s="10"/>
    </row>
    <row r="178" s="5" customFormat="1" ht="14.399999999999999" customHeight="1">
      <c r="A178" s="10" t="s">
        <v>354</v>
      </c>
      <c r="B178" s="23" t="s">
        <v>355</v>
      </c>
      <c r="C178" s="10"/>
    </row>
    <row r="179" s="5" customFormat="1" ht="14.399999999999999" customHeight="1">
      <c r="A179" s="10" t="s">
        <v>356</v>
      </c>
      <c r="B179" s="23" t="s">
        <v>357</v>
      </c>
      <c r="C179" s="10"/>
    </row>
    <row r="180" s="5" customFormat="1" ht="14.399999999999999" customHeight="1">
      <c r="A180" s="10" t="s">
        <v>358</v>
      </c>
      <c r="B180" s="23" t="s">
        <v>359</v>
      </c>
      <c r="C180" s="10"/>
    </row>
    <row r="181" s="5" customFormat="1" ht="14.399999999999999" customHeight="1">
      <c r="A181" s="10" t="s">
        <v>360</v>
      </c>
      <c r="B181" s="23" t="s">
        <v>361</v>
      </c>
      <c r="C181" s="10"/>
    </row>
    <row r="182" s="5" customFormat="1" ht="14.399999999999999" customHeight="1">
      <c r="A182" s="10" t="s">
        <v>362</v>
      </c>
      <c r="B182" s="23" t="s">
        <v>363</v>
      </c>
      <c r="C182" s="10"/>
    </row>
    <row r="183" s="5" customFormat="1" ht="14.399999999999999" customHeight="1">
      <c r="A183" s="10" t="s">
        <v>364</v>
      </c>
      <c r="B183" s="23" t="s">
        <v>365</v>
      </c>
      <c r="C183" s="10"/>
    </row>
    <row r="184" s="5" customFormat="1" ht="14.399999999999999" customHeight="1">
      <c r="A184" s="10" t="s">
        <v>366</v>
      </c>
      <c r="B184" s="23" t="s">
        <v>367</v>
      </c>
      <c r="C184" s="10"/>
    </row>
    <row r="185" s="5" customFormat="1" ht="14.399999999999999" customHeight="1">
      <c r="A185" s="10" t="s">
        <v>368</v>
      </c>
      <c r="B185" s="23" t="s">
        <v>369</v>
      </c>
      <c r="C185" s="10"/>
    </row>
    <row r="186" s="5" customFormat="1" ht="14.399999999999999" customHeight="1">
      <c r="A186" s="10" t="s">
        <v>370</v>
      </c>
      <c r="B186" s="23" t="s">
        <v>371</v>
      </c>
      <c r="C186" s="10"/>
    </row>
    <row r="187" s="5" customFormat="1" ht="14.399999999999999" customHeight="1">
      <c r="A187" s="10" t="s">
        <v>372</v>
      </c>
      <c r="B187" s="23" t="s">
        <v>373</v>
      </c>
      <c r="C187" s="10"/>
    </row>
    <row r="188" s="5" customFormat="1" ht="14.399999999999999" customHeight="1">
      <c r="A188" s="10" t="s">
        <v>374</v>
      </c>
      <c r="B188" s="23" t="s">
        <v>375</v>
      </c>
      <c r="C188" s="10"/>
    </row>
    <row r="189" s="5" customFormat="1" ht="14.399999999999999" customHeight="1">
      <c r="A189" s="10" t="s">
        <v>376</v>
      </c>
      <c r="B189" s="23" t="s">
        <v>377</v>
      </c>
      <c r="C189" s="10"/>
    </row>
    <row r="190" s="5" customFormat="1" ht="14.399999999999999" customHeight="1">
      <c r="A190" s="10" t="s">
        <v>378</v>
      </c>
      <c r="B190" s="23" t="s">
        <v>379</v>
      </c>
      <c r="C190" s="10"/>
    </row>
    <row r="191" s="5" customFormat="1" ht="14.399999999999999" customHeight="1">
      <c r="A191" s="10" t="s">
        <v>380</v>
      </c>
      <c r="B191" s="23" t="s">
        <v>381</v>
      </c>
      <c r="C191" s="10"/>
    </row>
    <row r="192" s="5" customFormat="1" ht="14.399999999999999" customHeight="1">
      <c r="A192" s="10" t="s">
        <v>382</v>
      </c>
      <c r="B192" s="23" t="s">
        <v>383</v>
      </c>
      <c r="C192" s="10"/>
    </row>
    <row r="193" s="5" customFormat="1" ht="14.399999999999999" customHeight="1">
      <c r="A193" s="10" t="s">
        <v>384</v>
      </c>
      <c r="B193" s="23" t="s">
        <v>385</v>
      </c>
      <c r="C193" s="10"/>
    </row>
    <row r="194" s="5" customFormat="1" ht="14.399999999999999" customHeight="1">
      <c r="A194" s="26" t="s">
        <v>386</v>
      </c>
      <c r="B194" s="23" t="s">
        <v>387</v>
      </c>
      <c r="C194" s="10"/>
    </row>
    <row r="195" s="5" customFormat="1" ht="14.399999999999999" customHeight="1">
      <c r="A195" s="10" t="s">
        <v>388</v>
      </c>
      <c r="B195" s="23" t="s">
        <v>389</v>
      </c>
      <c r="C195" s="10"/>
    </row>
    <row r="196" s="5" customFormat="1" ht="14.399999999999999" customHeight="1">
      <c r="A196" s="10" t="s">
        <v>390</v>
      </c>
      <c r="B196" s="23" t="s">
        <v>391</v>
      </c>
      <c r="C196" s="10"/>
    </row>
    <row r="197" s="5" customFormat="1" ht="14.399999999999999" customHeight="1">
      <c r="A197" s="10" t="s">
        <v>392</v>
      </c>
      <c r="B197" s="23" t="s">
        <v>393</v>
      </c>
      <c r="C197" s="10"/>
    </row>
    <row r="198" s="5" customFormat="1" ht="14.399999999999999" customHeight="1">
      <c r="A198" s="10" t="s">
        <v>394</v>
      </c>
      <c r="B198" s="23" t="s">
        <v>395</v>
      </c>
      <c r="C198" s="10"/>
    </row>
    <row r="199" s="5" customFormat="1" ht="14.399999999999999" customHeight="1">
      <c r="A199" s="10" t="s">
        <v>396</v>
      </c>
      <c r="B199" s="23" t="s">
        <v>397</v>
      </c>
      <c r="C199" s="10"/>
    </row>
    <row r="200" s="5" customFormat="1" ht="14.399999999999999" customHeight="1">
      <c r="A200" s="10" t="s">
        <v>398</v>
      </c>
      <c r="B200" s="23" t="s">
        <v>399</v>
      </c>
      <c r="C200" s="10"/>
    </row>
    <row r="201" s="5" customFormat="1" ht="14.399999999999999" customHeight="1">
      <c r="A201" s="26" t="s">
        <v>400</v>
      </c>
      <c r="B201" s="23" t="s">
        <v>401</v>
      </c>
      <c r="C201" s="10"/>
    </row>
    <row r="202" s="5" customFormat="1" ht="14.399999999999999" customHeight="1">
      <c r="A202" s="10" t="s">
        <v>402</v>
      </c>
      <c r="B202" s="23" t="s">
        <v>403</v>
      </c>
      <c r="C202" s="10"/>
    </row>
    <row r="203" s="5" customFormat="1" ht="14.399999999999999" customHeight="1">
      <c r="A203" s="10" t="s">
        <v>404</v>
      </c>
      <c r="B203" s="23" t="s">
        <v>405</v>
      </c>
      <c r="C203" s="10"/>
    </row>
    <row r="204" s="5" customFormat="1" ht="14.399999999999999" customHeight="1">
      <c r="A204" s="10" t="s">
        <v>406</v>
      </c>
      <c r="B204" s="23" t="s">
        <v>407</v>
      </c>
      <c r="C204" s="10"/>
    </row>
    <row r="205" s="5" customFormat="1" ht="14.399999999999999" customHeight="1">
      <c r="A205" s="10" t="s">
        <v>408</v>
      </c>
      <c r="B205" s="23" t="s">
        <v>409</v>
      </c>
      <c r="C205" s="10"/>
    </row>
    <row r="206" s="5" customFormat="1" ht="14.399999999999999" customHeight="1">
      <c r="A206" s="10" t="s">
        <v>410</v>
      </c>
      <c r="B206" s="23" t="s">
        <v>411</v>
      </c>
      <c r="C206" s="10"/>
    </row>
    <row r="207" s="5" customFormat="1" ht="14.399999999999999" customHeight="1">
      <c r="A207" s="10" t="s">
        <v>412</v>
      </c>
      <c r="B207" s="23" t="s">
        <v>413</v>
      </c>
      <c r="C207" s="10"/>
    </row>
    <row r="208" s="5" customFormat="1" ht="14.399999999999999" customHeight="1">
      <c r="A208" s="10" t="s">
        <v>414</v>
      </c>
      <c r="B208" s="23" t="s">
        <v>415</v>
      </c>
      <c r="C208" s="10"/>
    </row>
    <row r="209" s="5" customFormat="1" ht="14.399999999999999" customHeight="1">
      <c r="A209" s="10" t="s">
        <v>416</v>
      </c>
      <c r="B209" s="23" t="s">
        <v>417</v>
      </c>
      <c r="C209" s="10"/>
    </row>
    <row r="210" s="5" customFormat="1" ht="14.399999999999999" customHeight="1">
      <c r="A210" s="10" t="s">
        <v>418</v>
      </c>
      <c r="B210" s="23" t="s">
        <v>419</v>
      </c>
      <c r="C210" s="10"/>
    </row>
    <row r="211" s="5" customFormat="1" ht="14.399999999999999" customHeight="1">
      <c r="A211" s="10" t="s">
        <v>420</v>
      </c>
      <c r="B211" s="23" t="s">
        <v>421</v>
      </c>
      <c r="C211" s="10"/>
    </row>
    <row r="212" s="5" customFormat="1" ht="14.399999999999999" customHeight="1">
      <c r="A212" s="10" t="s">
        <v>422</v>
      </c>
      <c r="B212" s="23" t="s">
        <v>423</v>
      </c>
      <c r="C212" s="10"/>
    </row>
    <row r="213" s="5" customFormat="1" ht="14.399999999999999" customHeight="1">
      <c r="A213" s="10" t="s">
        <v>424</v>
      </c>
      <c r="B213" s="23" t="s">
        <v>425</v>
      </c>
      <c r="C213" s="10"/>
    </row>
    <row r="214" s="5" customFormat="1" ht="14.399999999999999" customHeight="1">
      <c r="A214" s="10" t="s">
        <v>426</v>
      </c>
      <c r="B214" s="23" t="s">
        <v>427</v>
      </c>
      <c r="C214" s="10"/>
    </row>
    <row r="215" s="5" customFormat="1" ht="14.399999999999999" customHeight="1">
      <c r="A215" s="10" t="s">
        <v>428</v>
      </c>
      <c r="B215" s="23" t="s">
        <v>429</v>
      </c>
      <c r="C215" s="10"/>
    </row>
    <row r="216" s="5" customFormat="1" ht="14.399999999999999" customHeight="1">
      <c r="A216" s="10" t="s">
        <v>430</v>
      </c>
      <c r="B216" s="23" t="s">
        <v>431</v>
      </c>
      <c r="C216" s="10"/>
    </row>
    <row r="217" s="5" customFormat="1" ht="14.399999999999999" customHeight="1">
      <c r="A217" s="10" t="s">
        <v>432</v>
      </c>
      <c r="B217" s="23" t="s">
        <v>433</v>
      </c>
      <c r="C217" s="10"/>
    </row>
    <row r="218" s="5" customFormat="1" ht="14.399999999999999" customHeight="1">
      <c r="A218" s="10" t="s">
        <v>434</v>
      </c>
      <c r="B218" s="23" t="s">
        <v>435</v>
      </c>
      <c r="C218" s="10"/>
    </row>
    <row r="219" s="5" customFormat="1" ht="14.399999999999999" customHeight="1">
      <c r="A219" s="10" t="s">
        <v>436</v>
      </c>
      <c r="B219" s="23" t="s">
        <v>437</v>
      </c>
      <c r="C219" s="10"/>
    </row>
    <row r="220" s="5" customFormat="1" ht="14.399999999999999" customHeight="1">
      <c r="A220" s="10" t="s">
        <v>438</v>
      </c>
      <c r="B220" s="23" t="s">
        <v>439</v>
      </c>
      <c r="C220" s="10"/>
    </row>
    <row r="221" s="5" customFormat="1" ht="14.399999999999999" customHeight="1">
      <c r="A221" s="10" t="s">
        <v>440</v>
      </c>
      <c r="B221" s="23" t="s">
        <v>441</v>
      </c>
      <c r="C221" s="10"/>
    </row>
    <row r="222" s="5" customFormat="1" ht="14.399999999999999" customHeight="1">
      <c r="A222" s="10" t="s">
        <v>442</v>
      </c>
      <c r="B222" s="23" t="s">
        <v>443</v>
      </c>
      <c r="C222" s="10"/>
    </row>
    <row r="223" s="5" customFormat="1" ht="14.399999999999999" customHeight="1">
      <c r="A223" s="10" t="s">
        <v>444</v>
      </c>
      <c r="B223" s="23" t="s">
        <v>445</v>
      </c>
      <c r="C223" s="10"/>
    </row>
    <row r="224" s="5" customFormat="1" ht="14.399999999999999" customHeight="1">
      <c r="A224" s="10" t="s">
        <v>446</v>
      </c>
      <c r="B224" s="23" t="s">
        <v>447</v>
      </c>
      <c r="C224" s="10"/>
    </row>
    <row r="225" s="5" customFormat="1" ht="14.399999999999999" customHeight="1">
      <c r="A225" s="10" t="s">
        <v>448</v>
      </c>
      <c r="B225" s="23" t="s">
        <v>449</v>
      </c>
      <c r="C225" s="10"/>
    </row>
    <row r="226" s="5" customFormat="1" ht="14.399999999999999" customHeight="1">
      <c r="A226" s="10" t="s">
        <v>450</v>
      </c>
      <c r="B226" s="23" t="s">
        <v>451</v>
      </c>
      <c r="C226" s="10"/>
    </row>
    <row r="227" s="5" customFormat="1" ht="14.399999999999999" customHeight="1">
      <c r="A227" s="10" t="s">
        <v>452</v>
      </c>
      <c r="B227" s="23" t="s">
        <v>453</v>
      </c>
      <c r="C227" s="10"/>
    </row>
    <row r="228" s="5" customFormat="1" ht="14.399999999999999" customHeight="1">
      <c r="A228" s="10" t="s">
        <v>454</v>
      </c>
      <c r="B228" s="23" t="s">
        <v>455</v>
      </c>
      <c r="C228" s="10"/>
    </row>
    <row r="229" s="5" customFormat="1" ht="14.399999999999999" customHeight="1">
      <c r="A229" s="10" t="s">
        <v>456</v>
      </c>
      <c r="B229" s="23" t="s">
        <v>457</v>
      </c>
      <c r="C229" s="10"/>
    </row>
    <row r="230" s="5" customFormat="1" ht="14.399999999999999" customHeight="1">
      <c r="A230" s="10" t="s">
        <v>458</v>
      </c>
      <c r="B230" s="23" t="s">
        <v>459</v>
      </c>
      <c r="C230" s="10"/>
    </row>
    <row r="231" s="5" customFormat="1" ht="14.399999999999999" customHeight="1">
      <c r="A231" s="10" t="s">
        <v>460</v>
      </c>
      <c r="B231" s="23" t="s">
        <v>461</v>
      </c>
      <c r="C231" s="10"/>
    </row>
    <row r="232" s="5" customFormat="1" ht="14.399999999999999" customHeight="1">
      <c r="A232" s="26" t="s">
        <v>462</v>
      </c>
      <c r="B232" s="23" t="s">
        <v>463</v>
      </c>
      <c r="C232" s="10"/>
    </row>
    <row r="233" s="5" customFormat="1" ht="14.399999999999999" customHeight="1">
      <c r="A233" s="10" t="s">
        <v>464</v>
      </c>
      <c r="B233" s="23" t="s">
        <v>465</v>
      </c>
      <c r="C233" s="10"/>
    </row>
    <row r="234" s="5" customFormat="1" ht="14.399999999999999" customHeight="1">
      <c r="A234" s="10" t="s">
        <v>466</v>
      </c>
      <c r="B234" s="23" t="s">
        <v>467</v>
      </c>
      <c r="C234" s="10"/>
    </row>
    <row r="235" s="5" customFormat="1" ht="14.399999999999999" customHeight="1">
      <c r="A235" s="10" t="s">
        <v>468</v>
      </c>
      <c r="B235" s="23" t="s">
        <v>469</v>
      </c>
      <c r="C235" s="10"/>
    </row>
    <row r="236" s="5" customFormat="1" ht="14.399999999999999" customHeight="1">
      <c r="A236" s="10" t="s">
        <v>470</v>
      </c>
      <c r="B236" s="23" t="s">
        <v>471</v>
      </c>
      <c r="C236" s="10"/>
    </row>
    <row r="237" s="5" customFormat="1" ht="14.399999999999999" customHeight="1">
      <c r="A237" s="10" t="s">
        <v>472</v>
      </c>
      <c r="B237" s="23" t="s">
        <v>473</v>
      </c>
      <c r="C237" s="10"/>
    </row>
    <row r="238" s="5" customFormat="1" ht="14.399999999999999" customHeight="1">
      <c r="A238" s="10" t="s">
        <v>474</v>
      </c>
      <c r="B238" s="23" t="s">
        <v>475</v>
      </c>
      <c r="C238" s="10"/>
    </row>
    <row r="239" s="5" customFormat="1" ht="14.399999999999999" customHeight="1">
      <c r="A239" s="10" t="s">
        <v>476</v>
      </c>
      <c r="B239" s="23" t="s">
        <v>477</v>
      </c>
      <c r="C239" s="10"/>
    </row>
    <row r="240" s="5" customFormat="1" ht="14.399999999999999" customHeight="1">
      <c r="A240" s="10" t="s">
        <v>478</v>
      </c>
      <c r="B240" s="23" t="s">
        <v>479</v>
      </c>
      <c r="C240" s="10"/>
    </row>
    <row r="241" s="5" customFormat="1" ht="14.399999999999999" customHeight="1">
      <c r="A241" s="10" t="s">
        <v>480</v>
      </c>
      <c r="B241" s="23" t="s">
        <v>481</v>
      </c>
      <c r="C241" s="10"/>
    </row>
    <row r="242" s="5" customFormat="1" ht="14.399999999999999" customHeight="1">
      <c r="A242" s="10" t="s">
        <v>482</v>
      </c>
      <c r="B242" s="23" t="s">
        <v>483</v>
      </c>
      <c r="C242" s="10"/>
    </row>
    <row r="243" s="5" customFormat="1" ht="14.399999999999999" customHeight="1">
      <c r="A243" s="10" t="s">
        <v>484</v>
      </c>
      <c r="B243" s="23" t="s">
        <v>485</v>
      </c>
      <c r="C243" s="10"/>
    </row>
    <row r="244" s="5" customFormat="1" ht="14.399999999999999" customHeight="1">
      <c r="A244" s="10" t="s">
        <v>486</v>
      </c>
      <c r="B244" s="23" t="s">
        <v>487</v>
      </c>
      <c r="C244" s="10"/>
    </row>
    <row r="245" s="5" customFormat="1" ht="14.399999999999999" customHeight="1">
      <c r="A245" s="26" t="s">
        <v>488</v>
      </c>
      <c r="B245" s="23" t="s">
        <v>489</v>
      </c>
      <c r="C245" s="10"/>
    </row>
    <row r="246" s="5" customFormat="1" ht="14.399999999999999" customHeight="1">
      <c r="A246" s="10" t="s">
        <v>490</v>
      </c>
      <c r="B246" s="23" t="s">
        <v>491</v>
      </c>
      <c r="C246" s="10"/>
    </row>
    <row r="247" s="5" customFormat="1" ht="14.399999999999999" customHeight="1">
      <c r="A247" s="10" t="s">
        <v>492</v>
      </c>
      <c r="B247" s="23" t="s">
        <v>493</v>
      </c>
      <c r="C247" s="10"/>
    </row>
    <row r="248" s="5" customFormat="1" ht="14.399999999999999" customHeight="1">
      <c r="A248" s="10" t="s">
        <v>494</v>
      </c>
      <c r="B248" s="23" t="s">
        <v>495</v>
      </c>
      <c r="C248" s="10"/>
    </row>
    <row r="249" s="5" customFormat="1" ht="14.399999999999999" customHeight="1">
      <c r="A249" s="10" t="s">
        <v>496</v>
      </c>
      <c r="B249" s="23" t="s">
        <v>497</v>
      </c>
      <c r="C249" s="10"/>
    </row>
    <row r="250" s="5" customFormat="1" ht="14.399999999999999" customHeight="1">
      <c r="A250" s="10" t="s">
        <v>498</v>
      </c>
      <c r="B250" s="23" t="s">
        <v>499</v>
      </c>
      <c r="C250" s="10"/>
    </row>
    <row r="251" s="5" customFormat="1" ht="14.399999999999999" customHeight="1">
      <c r="A251" s="26" t="s">
        <v>500</v>
      </c>
      <c r="B251" s="23" t="s">
        <v>501</v>
      </c>
      <c r="C251" s="10"/>
    </row>
    <row r="252" s="5" customFormat="1" ht="14.399999999999999" customHeight="1">
      <c r="A252" s="10" t="s">
        <v>502</v>
      </c>
      <c r="B252" s="23" t="s">
        <v>503</v>
      </c>
      <c r="C252" s="10"/>
    </row>
    <row r="253" s="5" customFormat="1" ht="14.399999999999999" customHeight="1">
      <c r="A253" s="26" t="s">
        <v>504</v>
      </c>
      <c r="B253" s="23" t="s">
        <v>505</v>
      </c>
      <c r="C253" s="10"/>
    </row>
    <row r="254" s="5" customFormat="1" ht="14.399999999999999" customHeight="1">
      <c r="A254" s="10" t="s">
        <v>506</v>
      </c>
      <c r="B254" s="23" t="s">
        <v>507</v>
      </c>
      <c r="C254" s="10"/>
    </row>
    <row r="255" s="5" customFormat="1" ht="14.399999999999999" customHeight="1">
      <c r="A255" s="10" t="s">
        <v>508</v>
      </c>
      <c r="B255" s="23" t="s">
        <v>509</v>
      </c>
      <c r="C255" s="10"/>
    </row>
    <row r="256" s="5" customFormat="1" ht="14.399999999999999" customHeight="1">
      <c r="A256" s="10" t="s">
        <v>510</v>
      </c>
      <c r="B256" s="23" t="s">
        <v>511</v>
      </c>
      <c r="C256" s="10"/>
    </row>
    <row r="257" s="5" customFormat="1" ht="14.399999999999999" customHeight="1">
      <c r="A257" s="10" t="s">
        <v>512</v>
      </c>
      <c r="B257" s="23" t="s">
        <v>513</v>
      </c>
      <c r="C257" s="10"/>
    </row>
    <row r="258" s="5" customFormat="1" ht="14.399999999999999" customHeight="1">
      <c r="A258" s="10" t="s">
        <v>514</v>
      </c>
      <c r="B258" s="23" t="s">
        <v>515</v>
      </c>
      <c r="C258" s="10"/>
    </row>
    <row r="259" s="5" customFormat="1" ht="14.399999999999999" customHeight="1">
      <c r="A259" s="10" t="s">
        <v>516</v>
      </c>
      <c r="B259" s="23" t="s">
        <v>517</v>
      </c>
      <c r="C259" s="10"/>
    </row>
    <row r="260" s="5" customFormat="1" ht="14.399999999999999" customHeight="1">
      <c r="A260" s="10" t="s">
        <v>518</v>
      </c>
      <c r="B260" s="23" t="s">
        <v>519</v>
      </c>
      <c r="C260" s="10"/>
    </row>
    <row r="261" s="5" customFormat="1" ht="14.399999999999999" customHeight="1">
      <c r="A261" s="10" t="s">
        <v>520</v>
      </c>
      <c r="B261" s="23" t="s">
        <v>521</v>
      </c>
      <c r="C261" s="10"/>
    </row>
    <row r="262" s="5" customFormat="1" ht="14.399999999999999" customHeight="1">
      <c r="A262" s="10" t="s">
        <v>522</v>
      </c>
      <c r="B262" s="23" t="s">
        <v>523</v>
      </c>
      <c r="C262" s="10"/>
    </row>
    <row r="263" s="5" customFormat="1" ht="14.399999999999999" customHeight="1">
      <c r="A263" s="26" t="s">
        <v>524</v>
      </c>
      <c r="B263" s="23" t="s">
        <v>525</v>
      </c>
      <c r="C263" s="10"/>
    </row>
    <row r="264" s="5" customFormat="1" ht="14.399999999999999" customHeight="1">
      <c r="A264" s="10" t="s">
        <v>526</v>
      </c>
      <c r="B264" s="23" t="s">
        <v>527</v>
      </c>
      <c r="C264" s="10"/>
    </row>
    <row r="265" s="5" customFormat="1" ht="14.399999999999999" customHeight="1">
      <c r="A265" s="10" t="s">
        <v>528</v>
      </c>
      <c r="B265" s="23" t="s">
        <v>529</v>
      </c>
      <c r="C265" s="10"/>
    </row>
    <row r="266" s="5" customFormat="1" ht="14.399999999999999" customHeight="1">
      <c r="A266" s="10" t="s">
        <v>530</v>
      </c>
      <c r="B266" s="23" t="s">
        <v>531</v>
      </c>
      <c r="C266" s="10"/>
    </row>
    <row r="267" s="5" customFormat="1" ht="14.399999999999999" customHeight="1">
      <c r="A267" s="10" t="s">
        <v>532</v>
      </c>
      <c r="B267" s="23" t="s">
        <v>533</v>
      </c>
      <c r="C267" s="10"/>
    </row>
    <row r="268" s="5" customFormat="1" ht="14.399999999999999" customHeight="1">
      <c r="A268" s="10" t="s">
        <v>534</v>
      </c>
      <c r="B268" s="23" t="s">
        <v>535</v>
      </c>
      <c r="C268" s="10"/>
    </row>
    <row r="269" s="5" customFormat="1" ht="14.399999999999999" customHeight="1">
      <c r="A269" s="10" t="s">
        <v>536</v>
      </c>
      <c r="B269" s="23" t="s">
        <v>537</v>
      </c>
      <c r="C269" s="10"/>
    </row>
    <row r="270" s="5" customFormat="1" ht="14.399999999999999" customHeight="1">
      <c r="A270" s="10" t="s">
        <v>538</v>
      </c>
      <c r="B270" s="23" t="s">
        <v>539</v>
      </c>
      <c r="C270" s="10"/>
    </row>
    <row r="271" s="5" customFormat="1" ht="14.399999999999999" customHeight="1">
      <c r="A271" s="10" t="s">
        <v>540</v>
      </c>
      <c r="B271" s="23" t="s">
        <v>541</v>
      </c>
      <c r="C271" s="10"/>
    </row>
    <row r="272" s="5" customFormat="1" ht="14.399999999999999" customHeight="1">
      <c r="A272" s="10" t="s">
        <v>542</v>
      </c>
      <c r="B272" s="23" t="s">
        <v>543</v>
      </c>
      <c r="C272" s="10"/>
    </row>
    <row r="273" s="5" customFormat="1" ht="14.399999999999999" customHeight="1">
      <c r="A273" s="10" t="s">
        <v>544</v>
      </c>
      <c r="B273" s="23" t="s">
        <v>545</v>
      </c>
      <c r="C273" s="10"/>
    </row>
    <row r="274" s="5" customFormat="1" ht="14.399999999999999" customHeight="1">
      <c r="A274" s="10" t="s">
        <v>546</v>
      </c>
      <c r="B274" s="23" t="s">
        <v>547</v>
      </c>
      <c r="C274" s="10"/>
    </row>
    <row r="275" s="5" customFormat="1" ht="14.399999999999999" customHeight="1">
      <c r="A275" s="10" t="s">
        <v>548</v>
      </c>
      <c r="B275" s="23" t="s">
        <v>549</v>
      </c>
      <c r="C275" s="10"/>
    </row>
    <row r="276" s="5" customFormat="1" ht="14.399999999999999" customHeight="1">
      <c r="A276" s="10" t="s">
        <v>550</v>
      </c>
      <c r="B276" s="23" t="s">
        <v>551</v>
      </c>
      <c r="C276" s="10"/>
    </row>
    <row r="277" s="5" customFormat="1" ht="14.399999999999999" customHeight="1">
      <c r="A277" s="10" t="s">
        <v>552</v>
      </c>
      <c r="B277" s="23" t="s">
        <v>553</v>
      </c>
      <c r="C277" s="10"/>
    </row>
    <row r="278" s="5" customFormat="1" ht="14.399999999999999" customHeight="1">
      <c r="A278" s="10" t="s">
        <v>554</v>
      </c>
      <c r="B278" s="23" t="s">
        <v>555</v>
      </c>
      <c r="C278" s="10"/>
    </row>
    <row r="279" s="5" customFormat="1" ht="14.399999999999999" customHeight="1">
      <c r="A279" s="26" t="s">
        <v>556</v>
      </c>
      <c r="B279" s="23" t="s">
        <v>557</v>
      </c>
      <c r="C279" s="10"/>
    </row>
    <row r="280" s="5" customFormat="1" ht="14.399999999999999" customHeight="1">
      <c r="A280" s="10" t="s">
        <v>558</v>
      </c>
      <c r="B280" s="23" t="s">
        <v>559</v>
      </c>
      <c r="C280" s="10"/>
    </row>
    <row r="281" s="5" customFormat="1" ht="14.399999999999999" customHeight="1">
      <c r="A281" s="10" t="s">
        <v>560</v>
      </c>
      <c r="B281" s="23" t="s">
        <v>561</v>
      </c>
      <c r="C281" s="10"/>
    </row>
    <row r="282" s="5" customFormat="1" ht="14.399999999999999" customHeight="1">
      <c r="A282" s="10" t="s">
        <v>562</v>
      </c>
      <c r="B282" s="23" t="s">
        <v>563</v>
      </c>
      <c r="C282" s="10"/>
    </row>
    <row r="283" s="5" customFormat="1" ht="14.399999999999999" customHeight="1">
      <c r="A283" s="10" t="s">
        <v>564</v>
      </c>
      <c r="B283" s="23" t="s">
        <v>565</v>
      </c>
      <c r="C283" s="10"/>
    </row>
    <row r="284" s="5" customFormat="1" ht="14.399999999999999" customHeight="1">
      <c r="A284" s="10" t="s">
        <v>566</v>
      </c>
      <c r="B284" s="23" t="s">
        <v>567</v>
      </c>
      <c r="C284" s="10"/>
    </row>
    <row r="285" s="5" customFormat="1" ht="14.399999999999999" customHeight="1">
      <c r="A285" s="10" t="s">
        <v>568</v>
      </c>
      <c r="B285" s="23" t="s">
        <v>569</v>
      </c>
      <c r="C285" s="10"/>
    </row>
    <row r="286" s="5" customFormat="1" ht="14.399999999999999" customHeight="1">
      <c r="A286" s="10" t="s">
        <v>570</v>
      </c>
      <c r="B286" s="23" t="s">
        <v>571</v>
      </c>
      <c r="C286" s="10"/>
    </row>
    <row r="287" s="5" customFormat="1" ht="14.399999999999999" customHeight="1">
      <c r="A287" s="10" t="s">
        <v>572</v>
      </c>
      <c r="B287" s="23" t="s">
        <v>573</v>
      </c>
      <c r="C287" s="10"/>
    </row>
    <row r="288" s="5" customFormat="1" ht="14.399999999999999" customHeight="1">
      <c r="A288" s="10" t="s">
        <v>574</v>
      </c>
      <c r="B288" s="23" t="s">
        <v>575</v>
      </c>
      <c r="C288" s="10"/>
    </row>
    <row r="289" s="5" customFormat="1" ht="14.399999999999999" customHeight="1">
      <c r="A289" s="10" t="s">
        <v>576</v>
      </c>
      <c r="B289" s="23" t="s">
        <v>577</v>
      </c>
      <c r="C289" s="10"/>
    </row>
    <row r="290" s="5" customFormat="1" ht="14.399999999999999" customHeight="1">
      <c r="A290" s="10" t="s">
        <v>578</v>
      </c>
      <c r="B290" s="23" t="s">
        <v>579</v>
      </c>
      <c r="C290" s="10"/>
    </row>
    <row r="291" s="5" customFormat="1" ht="14.399999999999999" customHeight="1">
      <c r="A291" s="10" t="s">
        <v>580</v>
      </c>
      <c r="B291" s="23" t="s">
        <v>581</v>
      </c>
      <c r="C291" s="10"/>
    </row>
    <row r="292" s="5" customFormat="1" ht="14.399999999999999" customHeight="1">
      <c r="A292" s="10" t="s">
        <v>582</v>
      </c>
      <c r="B292" s="23" t="s">
        <v>583</v>
      </c>
      <c r="C292" s="10"/>
    </row>
    <row r="293" s="5" customFormat="1" ht="14.399999999999999" customHeight="1">
      <c r="A293" s="10" t="s">
        <v>584</v>
      </c>
      <c r="B293" s="23" t="s">
        <v>585</v>
      </c>
      <c r="C293" s="10"/>
    </row>
    <row r="294" s="5" customFormat="1" ht="14.399999999999999" customHeight="1">
      <c r="A294" s="10" t="s">
        <v>586</v>
      </c>
      <c r="B294" s="23" t="s">
        <v>587</v>
      </c>
      <c r="C294" s="10"/>
    </row>
    <row r="295" s="5" customFormat="1" ht="14.399999999999999" customHeight="1">
      <c r="A295" s="10" t="s">
        <v>588</v>
      </c>
      <c r="B295" s="23" t="s">
        <v>589</v>
      </c>
      <c r="C295" s="10"/>
    </row>
    <row r="296" s="5" customFormat="1" ht="14.399999999999999" customHeight="1">
      <c r="A296" s="10" t="s">
        <v>590</v>
      </c>
      <c r="B296" s="23" t="s">
        <v>591</v>
      </c>
      <c r="C296" s="10"/>
    </row>
    <row r="297" s="5" customFormat="1" ht="14.399999999999999" customHeight="1">
      <c r="A297" s="10" t="s">
        <v>592</v>
      </c>
      <c r="B297" s="23" t="s">
        <v>593</v>
      </c>
      <c r="C297" s="10"/>
    </row>
    <row r="298" s="5" customFormat="1" ht="14.399999999999999" customHeight="1">
      <c r="A298" s="10" t="s">
        <v>594</v>
      </c>
      <c r="B298" s="23" t="s">
        <v>595</v>
      </c>
      <c r="C298" s="10"/>
    </row>
    <row r="299" s="5" customFormat="1" ht="14.399999999999999" customHeight="1">
      <c r="A299" s="10" t="s">
        <v>596</v>
      </c>
      <c r="B299" s="23" t="s">
        <v>597</v>
      </c>
      <c r="C299" s="10"/>
    </row>
    <row r="300" s="5" customFormat="1" ht="14.399999999999999" customHeight="1">
      <c r="A300" s="10" t="s">
        <v>598</v>
      </c>
      <c r="B300" s="23" t="s">
        <v>599</v>
      </c>
      <c r="C300" s="10"/>
    </row>
    <row r="301" s="5" customFormat="1" ht="14.399999999999999" customHeight="1">
      <c r="A301" s="10" t="s">
        <v>600</v>
      </c>
      <c r="B301" s="23" t="s">
        <v>601</v>
      </c>
      <c r="C301" s="10"/>
    </row>
    <row r="302" s="5" customFormat="1" ht="14.399999999999999" customHeight="1">
      <c r="A302" s="10" t="s">
        <v>602</v>
      </c>
      <c r="B302" s="23" t="s">
        <v>603</v>
      </c>
      <c r="C302" s="10"/>
    </row>
    <row r="303" s="5" customFormat="1" ht="14.399999999999999" customHeight="1">
      <c r="A303" s="10" t="s">
        <v>604</v>
      </c>
      <c r="B303" s="23" t="s">
        <v>605</v>
      </c>
      <c r="C303" s="10"/>
    </row>
    <row r="304" s="5" customFormat="1" ht="14.399999999999999" customHeight="1">
      <c r="A304" s="10" t="s">
        <v>606</v>
      </c>
      <c r="B304" s="23" t="s">
        <v>607</v>
      </c>
      <c r="C304" s="10"/>
    </row>
    <row r="305" s="5" customFormat="1" ht="14.399999999999999" customHeight="1">
      <c r="A305" s="10" t="s">
        <v>608</v>
      </c>
      <c r="B305" s="23" t="s">
        <v>609</v>
      </c>
      <c r="C305" s="10"/>
    </row>
    <row r="306" s="5" customFormat="1" ht="14.399999999999999" customHeight="1">
      <c r="A306" s="10" t="s">
        <v>610</v>
      </c>
      <c r="B306" s="23" t="s">
        <v>611</v>
      </c>
      <c r="C306" s="10"/>
    </row>
    <row r="307" s="5" customFormat="1" ht="14.399999999999999" customHeight="1">
      <c r="A307" s="10" t="s">
        <v>612</v>
      </c>
      <c r="B307" s="23" t="s">
        <v>613</v>
      </c>
      <c r="C307" s="10"/>
    </row>
    <row r="308" s="5" customFormat="1" ht="14.399999999999999" customHeight="1">
      <c r="A308" s="10" t="s">
        <v>614</v>
      </c>
      <c r="B308" s="23" t="s">
        <v>615</v>
      </c>
      <c r="C308" s="10"/>
    </row>
    <row r="309" s="5" customFormat="1" ht="14.399999999999999" customHeight="1">
      <c r="A309" s="10" t="s">
        <v>616</v>
      </c>
      <c r="B309" s="23" t="s">
        <v>617</v>
      </c>
      <c r="C309" s="10"/>
    </row>
    <row r="310" s="5" customFormat="1" ht="14.399999999999999" customHeight="1">
      <c r="A310" s="10" t="s">
        <v>618</v>
      </c>
      <c r="B310" s="23" t="s">
        <v>619</v>
      </c>
      <c r="C310" s="10"/>
    </row>
    <row r="311" s="5" customFormat="1" ht="14.399999999999999" customHeight="1">
      <c r="A311" s="26" t="s">
        <v>620</v>
      </c>
      <c r="B311" s="23" t="s">
        <v>621</v>
      </c>
      <c r="C311" s="10"/>
    </row>
    <row r="312" s="5" customFormat="1" ht="14.399999999999999" customHeight="1">
      <c r="A312" s="10" t="s">
        <v>622</v>
      </c>
      <c r="B312" s="23" t="s">
        <v>623</v>
      </c>
      <c r="C312" s="10"/>
    </row>
    <row r="313" s="5" customFormat="1" ht="14.399999999999999" customHeight="1">
      <c r="A313" s="10" t="s">
        <v>624</v>
      </c>
      <c r="B313" s="23" t="s">
        <v>625</v>
      </c>
      <c r="C313" s="10"/>
    </row>
    <row r="314" s="5" customFormat="1" ht="14.399999999999999" customHeight="1">
      <c r="A314" s="10" t="s">
        <v>626</v>
      </c>
      <c r="B314" s="23" t="s">
        <v>627</v>
      </c>
      <c r="C314" s="10"/>
    </row>
    <row r="315" s="5" customFormat="1" ht="14.399999999999999" customHeight="1">
      <c r="A315" s="10" t="s">
        <v>628</v>
      </c>
      <c r="B315" s="23" t="s">
        <v>629</v>
      </c>
      <c r="C315" s="10"/>
    </row>
    <row r="316" s="5" customFormat="1" ht="14.399999999999999" customHeight="1">
      <c r="A316" s="10" t="s">
        <v>630</v>
      </c>
      <c r="B316" s="23" t="s">
        <v>631</v>
      </c>
      <c r="C316" s="10"/>
    </row>
    <row r="317" s="5" customFormat="1" ht="14.399999999999999" customHeight="1">
      <c r="A317" s="10" t="s">
        <v>632</v>
      </c>
      <c r="B317" s="23" t="s">
        <v>633</v>
      </c>
      <c r="C317" s="10"/>
    </row>
    <row r="318" s="5" customFormat="1" ht="14.399999999999999" customHeight="1">
      <c r="A318" s="10" t="s">
        <v>634</v>
      </c>
      <c r="B318" s="23" t="s">
        <v>635</v>
      </c>
      <c r="C318" s="10"/>
    </row>
    <row r="319" s="5" customFormat="1" ht="14.399999999999999" customHeight="1">
      <c r="A319" s="10" t="s">
        <v>636</v>
      </c>
      <c r="B319" s="23" t="s">
        <v>637</v>
      </c>
      <c r="C319" s="10"/>
    </row>
    <row r="320" s="5" customFormat="1" ht="14.399999999999999" customHeight="1">
      <c r="A320" s="10" t="s">
        <v>638</v>
      </c>
      <c r="B320" s="23" t="s">
        <v>639</v>
      </c>
      <c r="C320" s="10"/>
    </row>
    <row r="321" s="5" customFormat="1" ht="14.399999999999999" customHeight="1">
      <c r="A321" s="10" t="s">
        <v>640</v>
      </c>
      <c r="B321" s="23" t="s">
        <v>641</v>
      </c>
      <c r="C321" s="10"/>
    </row>
    <row r="322" s="5" customFormat="1" ht="14.399999999999999" customHeight="1">
      <c r="A322" s="26" t="s">
        <v>642</v>
      </c>
      <c r="B322" s="23" t="s">
        <v>643</v>
      </c>
      <c r="C322" s="10"/>
    </row>
    <row r="323" s="5" customFormat="1" ht="14.399999999999999" customHeight="1">
      <c r="A323" s="10" t="s">
        <v>644</v>
      </c>
      <c r="B323" s="23" t="s">
        <v>645</v>
      </c>
      <c r="C323" s="10"/>
    </row>
    <row r="324" s="5" customFormat="1" ht="14.399999999999999" customHeight="1">
      <c r="A324" s="10" t="s">
        <v>646</v>
      </c>
      <c r="B324" s="23" t="s">
        <v>647</v>
      </c>
      <c r="C324" s="10"/>
    </row>
    <row r="325" s="5" customFormat="1" ht="14.399999999999999" customHeight="1">
      <c r="A325" s="10" t="s">
        <v>648</v>
      </c>
      <c r="B325" s="23" t="s">
        <v>649</v>
      </c>
      <c r="C325" s="10"/>
    </row>
    <row r="326" s="5" customFormat="1" ht="14.399999999999999" customHeight="1">
      <c r="A326" s="10" t="s">
        <v>650</v>
      </c>
      <c r="B326" s="23" t="s">
        <v>651</v>
      </c>
      <c r="C326" s="10"/>
    </row>
    <row r="327" s="5" customFormat="1" ht="14.399999999999999" customHeight="1">
      <c r="A327" s="10" t="s">
        <v>652</v>
      </c>
      <c r="B327" s="23" t="s">
        <v>653</v>
      </c>
      <c r="C327" s="10"/>
    </row>
    <row r="328" s="5" customFormat="1" ht="14.399999999999999" customHeight="1">
      <c r="A328" s="10" t="s">
        <v>654</v>
      </c>
      <c r="B328" s="23" t="s">
        <v>655</v>
      </c>
      <c r="C328" s="10"/>
    </row>
    <row r="329" s="5" customFormat="1" ht="14.399999999999999" customHeight="1">
      <c r="A329" s="10" t="s">
        <v>656</v>
      </c>
      <c r="B329" s="23" t="s">
        <v>657</v>
      </c>
      <c r="C329" s="10"/>
    </row>
    <row r="330" s="5" customFormat="1" ht="14.399999999999999" customHeight="1">
      <c r="A330" s="10" t="s">
        <v>658</v>
      </c>
      <c r="B330" s="23" t="s">
        <v>659</v>
      </c>
      <c r="C330" s="10"/>
    </row>
    <row r="331" s="5" customFormat="1" ht="14.399999999999999" customHeight="1">
      <c r="A331" s="10" t="s">
        <v>660</v>
      </c>
      <c r="B331" s="23" t="s">
        <v>661</v>
      </c>
      <c r="C331" s="10"/>
    </row>
    <row r="332" s="5" customFormat="1" ht="14.399999999999999" customHeight="1">
      <c r="A332" s="10" t="s">
        <v>662</v>
      </c>
      <c r="B332" s="23" t="s">
        <v>663</v>
      </c>
      <c r="C332" s="10"/>
    </row>
    <row r="333" s="5" customFormat="1" ht="14.399999999999999" customHeight="1">
      <c r="A333" s="10" t="s">
        <v>664</v>
      </c>
      <c r="B333" s="23" t="s">
        <v>665</v>
      </c>
      <c r="C333" s="10"/>
    </row>
    <row r="334" s="5" customFormat="1" ht="14.399999999999999" customHeight="1">
      <c r="A334" s="10" t="s">
        <v>666</v>
      </c>
      <c r="B334" s="23" t="s">
        <v>667</v>
      </c>
      <c r="C334" s="10"/>
    </row>
    <row r="335" s="5" customFormat="1" ht="14.399999999999999" customHeight="1">
      <c r="A335" s="10" t="s">
        <v>668</v>
      </c>
      <c r="B335" s="23" t="s">
        <v>669</v>
      </c>
      <c r="C335" s="10"/>
    </row>
    <row r="336" s="5" customFormat="1" ht="14.399999999999999" customHeight="1">
      <c r="A336" s="10" t="s">
        <v>670</v>
      </c>
      <c r="B336" s="23" t="s">
        <v>671</v>
      </c>
      <c r="C336" s="10"/>
    </row>
    <row r="337" s="5" customFormat="1" ht="14.399999999999999" customHeight="1">
      <c r="A337" s="10" t="s">
        <v>672</v>
      </c>
      <c r="B337" s="23" t="s">
        <v>673</v>
      </c>
      <c r="C337" s="10"/>
    </row>
    <row r="338" s="5" customFormat="1" ht="14.399999999999999" customHeight="1">
      <c r="A338" s="10" t="s">
        <v>674</v>
      </c>
      <c r="B338" s="23" t="s">
        <v>675</v>
      </c>
      <c r="C338" s="10"/>
    </row>
    <row r="339" s="5" customFormat="1" ht="14.399999999999999" customHeight="1">
      <c r="A339" s="10" t="s">
        <v>676</v>
      </c>
      <c r="B339" s="23" t="s">
        <v>677</v>
      </c>
      <c r="C339" s="10"/>
    </row>
    <row r="340" s="5" customFormat="1" ht="14.399999999999999" customHeight="1">
      <c r="A340" s="10" t="s">
        <v>678</v>
      </c>
      <c r="B340" s="23" t="s">
        <v>679</v>
      </c>
      <c r="C340" s="10"/>
    </row>
    <row r="341" s="5" customFormat="1" ht="14.399999999999999" customHeight="1">
      <c r="A341" s="10" t="s">
        <v>680</v>
      </c>
      <c r="B341" s="23" t="s">
        <v>681</v>
      </c>
      <c r="C341" s="10"/>
    </row>
    <row r="342" s="5" customFormat="1" ht="14.399999999999999" customHeight="1">
      <c r="A342" s="10" t="s">
        <v>682</v>
      </c>
      <c r="B342" s="23" t="s">
        <v>683</v>
      </c>
      <c r="C342" s="10"/>
    </row>
    <row r="343" s="5" customFormat="1" ht="14.399999999999999" customHeight="1">
      <c r="A343" s="10" t="s">
        <v>684</v>
      </c>
      <c r="B343" s="23" t="s">
        <v>685</v>
      </c>
      <c r="C343" s="10"/>
    </row>
    <row r="344" s="5" customFormat="1" ht="14.399999999999999" customHeight="1">
      <c r="A344" s="10" t="s">
        <v>686</v>
      </c>
      <c r="B344" s="23" t="s">
        <v>687</v>
      </c>
      <c r="C344" s="10"/>
    </row>
    <row r="345" s="5" customFormat="1" ht="14.399999999999999" customHeight="1">
      <c r="A345" s="10" t="s">
        <v>688</v>
      </c>
      <c r="B345" s="23" t="s">
        <v>689</v>
      </c>
      <c r="C345" s="10"/>
    </row>
    <row r="346" s="5" customFormat="1" ht="14.399999999999999" customHeight="1">
      <c r="A346" s="10" t="s">
        <v>690</v>
      </c>
      <c r="B346" s="23" t="s">
        <v>691</v>
      </c>
      <c r="C346" s="10"/>
    </row>
    <row r="347" s="5" customFormat="1" ht="14.399999999999999" customHeight="1">
      <c r="A347" s="10" t="s">
        <v>692</v>
      </c>
      <c r="B347" s="23" t="s">
        <v>693</v>
      </c>
      <c r="C347" s="10"/>
    </row>
    <row r="348" s="5" customFormat="1" ht="14.399999999999999" customHeight="1">
      <c r="A348" s="10" t="s">
        <v>694</v>
      </c>
      <c r="B348" s="23" t="s">
        <v>695</v>
      </c>
      <c r="C348" s="10"/>
    </row>
    <row r="349" s="5" customFormat="1" ht="14.399999999999999" customHeight="1">
      <c r="A349" s="10" t="s">
        <v>696</v>
      </c>
      <c r="B349" s="23" t="s">
        <v>697</v>
      </c>
      <c r="C349" s="10"/>
    </row>
    <row r="350" s="5" customFormat="1" ht="14.399999999999999" customHeight="1">
      <c r="A350" s="10" t="s">
        <v>698</v>
      </c>
      <c r="B350" s="23" t="s">
        <v>699</v>
      </c>
      <c r="C350" s="10"/>
    </row>
    <row r="351" s="5" customFormat="1" ht="14.399999999999999" customHeight="1">
      <c r="A351" s="10" t="s">
        <v>700</v>
      </c>
      <c r="B351" s="23" t="s">
        <v>701</v>
      </c>
      <c r="C351" s="10"/>
    </row>
    <row r="352" s="5" customFormat="1" ht="14.399999999999999" customHeight="1">
      <c r="A352" s="10" t="s">
        <v>702</v>
      </c>
      <c r="B352" s="23" t="s">
        <v>703</v>
      </c>
      <c r="C352" s="10"/>
    </row>
    <row r="353" s="5" customFormat="1" ht="14.399999999999999" customHeight="1">
      <c r="A353" s="10" t="s">
        <v>704</v>
      </c>
      <c r="B353" s="23" t="s">
        <v>705</v>
      </c>
      <c r="C353" s="10"/>
    </row>
    <row r="354" s="5" customFormat="1" ht="14.399999999999999" customHeight="1">
      <c r="A354" s="10" t="s">
        <v>706</v>
      </c>
      <c r="B354" s="23" t="s">
        <v>707</v>
      </c>
      <c r="C354" s="10"/>
    </row>
    <row r="355" s="5" customFormat="1" ht="14.399999999999999" customHeight="1">
      <c r="A355" s="10" t="s">
        <v>708</v>
      </c>
      <c r="B355" s="23" t="s">
        <v>709</v>
      </c>
      <c r="C355" s="10"/>
    </row>
    <row r="356" s="5" customFormat="1" ht="14.399999999999999" customHeight="1">
      <c r="A356" s="10" t="s">
        <v>710</v>
      </c>
      <c r="B356" s="23" t="s">
        <v>711</v>
      </c>
      <c r="C356" s="10"/>
    </row>
    <row r="357" s="5" customFormat="1" ht="14.399999999999999" customHeight="1">
      <c r="A357" s="10" t="s">
        <v>712</v>
      </c>
      <c r="B357" s="23" t="s">
        <v>713</v>
      </c>
      <c r="C357" s="10"/>
    </row>
    <row r="358" s="5" customFormat="1" ht="14.399999999999999" customHeight="1">
      <c r="A358" s="10" t="s">
        <v>714</v>
      </c>
      <c r="B358" s="23" t="s">
        <v>715</v>
      </c>
      <c r="C358" s="10"/>
    </row>
    <row r="359" s="5" customFormat="1" ht="14.399999999999999" customHeight="1">
      <c r="A359" s="10" t="s">
        <v>716</v>
      </c>
      <c r="B359" s="23" t="s">
        <v>717</v>
      </c>
      <c r="C359" s="10"/>
    </row>
    <row r="360" s="5" customFormat="1" ht="14.399999999999999" customHeight="1">
      <c r="A360" s="10" t="s">
        <v>718</v>
      </c>
      <c r="B360" s="23" t="s">
        <v>719</v>
      </c>
      <c r="C360" s="10"/>
    </row>
    <row r="361" s="5" customFormat="1" ht="14.399999999999999" customHeight="1">
      <c r="A361" s="10" t="s">
        <v>720</v>
      </c>
      <c r="B361" s="23" t="s">
        <v>721</v>
      </c>
      <c r="C361" s="10"/>
    </row>
    <row r="362" s="5" customFormat="1" ht="14.399999999999999" customHeight="1">
      <c r="A362" s="10" t="s">
        <v>722</v>
      </c>
      <c r="B362" s="23" t="s">
        <v>723</v>
      </c>
      <c r="C362" s="10"/>
    </row>
    <row r="363" s="5" customFormat="1" ht="14.399999999999999" customHeight="1">
      <c r="A363" s="10" t="s">
        <v>724</v>
      </c>
      <c r="B363" s="23" t="s">
        <v>725</v>
      </c>
      <c r="C363" s="10"/>
    </row>
    <row r="364" s="5" customFormat="1" ht="14.399999999999999" customHeight="1">
      <c r="A364" s="10" t="s">
        <v>726</v>
      </c>
      <c r="B364" s="23" t="s">
        <v>727</v>
      </c>
      <c r="C364" s="10"/>
    </row>
    <row r="365" s="5" customFormat="1" ht="14.399999999999999" customHeight="1">
      <c r="A365" s="10" t="s">
        <v>728</v>
      </c>
      <c r="B365" s="23" t="s">
        <v>729</v>
      </c>
      <c r="C365" s="10"/>
    </row>
    <row r="366" s="5" customFormat="1" ht="14.399999999999999" customHeight="1">
      <c r="A366" s="10" t="s">
        <v>730</v>
      </c>
      <c r="B366" s="23" t="s">
        <v>731</v>
      </c>
      <c r="C366" s="10"/>
    </row>
    <row r="367" s="5" customFormat="1" ht="14.399999999999999" customHeight="1">
      <c r="A367" s="10" t="s">
        <v>732</v>
      </c>
      <c r="B367" s="23" t="s">
        <v>733</v>
      </c>
      <c r="C367" s="10"/>
    </row>
    <row r="368" s="5" customFormat="1" ht="14.399999999999999" customHeight="1">
      <c r="A368" s="10" t="s">
        <v>734</v>
      </c>
      <c r="B368" s="23" t="s">
        <v>735</v>
      </c>
      <c r="C368" s="10"/>
    </row>
    <row r="369" s="5" customFormat="1" ht="14.399999999999999" customHeight="1">
      <c r="A369" s="10" t="s">
        <v>736</v>
      </c>
      <c r="B369" s="23" t="s">
        <v>737</v>
      </c>
      <c r="C369" s="10"/>
    </row>
    <row r="370" s="5" customFormat="1" ht="14.399999999999999" customHeight="1">
      <c r="A370" s="10" t="s">
        <v>738</v>
      </c>
      <c r="B370" s="23" t="s">
        <v>739</v>
      </c>
      <c r="C370" s="10"/>
    </row>
    <row r="371" s="5" customFormat="1" ht="14.399999999999999" customHeight="1">
      <c r="A371" s="10" t="s">
        <v>740</v>
      </c>
      <c r="B371" s="23" t="s">
        <v>741</v>
      </c>
      <c r="C371" s="10"/>
    </row>
    <row r="372" s="5" customFormat="1" ht="14.399999999999999" customHeight="1">
      <c r="A372" s="10" t="s">
        <v>742</v>
      </c>
      <c r="B372" s="23" t="s">
        <v>743</v>
      </c>
      <c r="C372" s="10"/>
    </row>
    <row r="373" s="5" customFormat="1" ht="14.399999999999999" customHeight="1">
      <c r="A373" s="10" t="s">
        <v>744</v>
      </c>
      <c r="B373" s="23" t="s">
        <v>745</v>
      </c>
      <c r="C373" s="10"/>
    </row>
    <row r="374" s="5" customFormat="1" ht="14.399999999999999" customHeight="1">
      <c r="A374" s="10" t="s">
        <v>746</v>
      </c>
      <c r="B374" s="23" t="s">
        <v>747</v>
      </c>
      <c r="C374" s="10"/>
    </row>
    <row r="375" s="5" customFormat="1" ht="14.399999999999999" customHeight="1">
      <c r="A375" s="10" t="s">
        <v>748</v>
      </c>
      <c r="B375" s="23" t="s">
        <v>749</v>
      </c>
      <c r="C375" s="10"/>
    </row>
    <row r="376" s="5" customFormat="1" ht="14.399999999999999" customHeight="1">
      <c r="A376" s="10" t="s">
        <v>750</v>
      </c>
      <c r="B376" s="23" t="s">
        <v>751</v>
      </c>
      <c r="C376" s="10"/>
    </row>
    <row r="377" s="5" customFormat="1" ht="14.399999999999999" customHeight="1">
      <c r="A377" s="10" t="s">
        <v>752</v>
      </c>
      <c r="B377" s="23" t="s">
        <v>753</v>
      </c>
      <c r="C377" s="10"/>
    </row>
    <row r="378" s="5" customFormat="1" ht="14.399999999999999" customHeight="1">
      <c r="A378" s="10" t="s">
        <v>754</v>
      </c>
      <c r="B378" s="23" t="s">
        <v>755</v>
      </c>
      <c r="C378" s="10"/>
    </row>
    <row r="379" s="5" customFormat="1" ht="14.399999999999999" customHeight="1">
      <c r="A379" s="10" t="s">
        <v>756</v>
      </c>
      <c r="B379" s="23" t="s">
        <v>757</v>
      </c>
      <c r="C379" s="10"/>
    </row>
    <row r="380" s="5" customFormat="1" ht="14.399999999999999" customHeight="1">
      <c r="A380" s="10" t="s">
        <v>758</v>
      </c>
      <c r="B380" s="23" t="s">
        <v>759</v>
      </c>
      <c r="C380" s="10"/>
    </row>
    <row r="381" s="5" customFormat="1" ht="14.399999999999999" customHeight="1">
      <c r="A381" s="10" t="s">
        <v>760</v>
      </c>
      <c r="B381" s="23" t="s">
        <v>761</v>
      </c>
      <c r="C381" s="10"/>
    </row>
    <row r="382" s="5" customFormat="1" ht="14.399999999999999" customHeight="1">
      <c r="A382" s="10" t="s">
        <v>762</v>
      </c>
      <c r="B382" s="23" t="s">
        <v>763</v>
      </c>
      <c r="C382" s="10"/>
    </row>
    <row r="383" s="5" customFormat="1" ht="14.399999999999999" customHeight="1">
      <c r="A383" s="10" t="s">
        <v>764</v>
      </c>
      <c r="B383" s="23" t="s">
        <v>765</v>
      </c>
      <c r="C383" s="10"/>
    </row>
    <row r="384" s="5" customFormat="1" ht="14.399999999999999" customHeight="1">
      <c r="A384" s="10" t="s">
        <v>766</v>
      </c>
      <c r="B384" s="23" t="s">
        <v>767</v>
      </c>
      <c r="C384" s="10"/>
    </row>
    <row r="385" s="5" customFormat="1" ht="14.399999999999999" customHeight="1">
      <c r="A385" s="10" t="s">
        <v>768</v>
      </c>
      <c r="B385" s="23" t="s">
        <v>769</v>
      </c>
      <c r="C385" s="10"/>
    </row>
    <row r="386" s="5" customFormat="1" ht="14.399999999999999" customHeight="1">
      <c r="A386" s="10" t="s">
        <v>770</v>
      </c>
      <c r="B386" s="23" t="s">
        <v>771</v>
      </c>
      <c r="C386" s="10"/>
    </row>
    <row r="387" s="5" customFormat="1" ht="14.399999999999999" customHeight="1">
      <c r="A387" s="10" t="s">
        <v>772</v>
      </c>
      <c r="B387" s="23" t="s">
        <v>773</v>
      </c>
      <c r="C387" s="10"/>
    </row>
    <row r="388" s="5" customFormat="1" ht="14.399999999999999" customHeight="1">
      <c r="A388" s="10" t="s">
        <v>774</v>
      </c>
      <c r="B388" s="23" t="s">
        <v>775</v>
      </c>
      <c r="C388" s="10"/>
    </row>
    <row r="389" s="5" customFormat="1" ht="14.399999999999999" customHeight="1">
      <c r="A389" s="10" t="s">
        <v>776</v>
      </c>
      <c r="B389" s="23" t="s">
        <v>777</v>
      </c>
      <c r="C389" s="10"/>
    </row>
    <row r="390" s="5" customFormat="1" ht="14.399999999999999" customHeight="1">
      <c r="A390" s="10" t="s">
        <v>778</v>
      </c>
      <c r="B390" s="23" t="s">
        <v>779</v>
      </c>
      <c r="C390" s="10"/>
    </row>
    <row r="391" s="5" customFormat="1" ht="14.399999999999999" customHeight="1">
      <c r="A391" s="10" t="s">
        <v>780</v>
      </c>
      <c r="B391" s="23" t="s">
        <v>781</v>
      </c>
      <c r="C391" s="10"/>
    </row>
    <row r="392" s="5" customFormat="1" ht="14.399999999999999" customHeight="1">
      <c r="A392" s="10" t="s">
        <v>782</v>
      </c>
      <c r="B392" s="23" t="s">
        <v>783</v>
      </c>
      <c r="C392" s="10"/>
    </row>
    <row r="393" s="5" customFormat="1" ht="14.399999999999999" customHeight="1">
      <c r="A393" s="10" t="s">
        <v>784</v>
      </c>
      <c r="B393" s="23" t="s">
        <v>785</v>
      </c>
      <c r="C393" s="10"/>
    </row>
    <row r="394" s="5" customFormat="1" ht="14.399999999999999" customHeight="1">
      <c r="A394" s="10" t="s">
        <v>786</v>
      </c>
      <c r="B394" s="23" t="s">
        <v>787</v>
      </c>
      <c r="C394" s="10"/>
    </row>
    <row r="395" s="5" customFormat="1" ht="14.399999999999999" customHeight="1">
      <c r="A395" s="10" t="s">
        <v>788</v>
      </c>
      <c r="B395" s="23" t="s">
        <v>789</v>
      </c>
      <c r="C395" s="10"/>
    </row>
    <row r="396" s="5" customFormat="1" ht="14.399999999999999" customHeight="1">
      <c r="A396" s="10" t="s">
        <v>790</v>
      </c>
      <c r="B396" s="23" t="s">
        <v>791</v>
      </c>
      <c r="C396" s="10"/>
    </row>
    <row r="397" s="5" customFormat="1" ht="14.399999999999999" customHeight="1">
      <c r="A397" s="10" t="s">
        <v>792</v>
      </c>
      <c r="B397" s="23" t="s">
        <v>793</v>
      </c>
      <c r="C397" s="10"/>
    </row>
    <row r="398" s="5" customFormat="1" ht="14.399999999999999" customHeight="1">
      <c r="A398" s="10" t="s">
        <v>794</v>
      </c>
      <c r="B398" s="23" t="s">
        <v>795</v>
      </c>
      <c r="C398" s="10"/>
    </row>
    <row r="399" s="5" customFormat="1" ht="14.399999999999999" customHeight="1">
      <c r="A399" s="10" t="s">
        <v>796</v>
      </c>
      <c r="B399" s="23" t="s">
        <v>797</v>
      </c>
      <c r="C399" s="10"/>
    </row>
    <row r="400" s="5" customFormat="1" ht="14.399999999999999" customHeight="1">
      <c r="A400" s="10" t="s">
        <v>798</v>
      </c>
      <c r="B400" s="23" t="s">
        <v>799</v>
      </c>
      <c r="C400" s="10"/>
    </row>
    <row r="401" s="5" customFormat="1" ht="14.399999999999999" customHeight="1">
      <c r="A401" s="10" t="s">
        <v>800</v>
      </c>
      <c r="B401" s="23" t="s">
        <v>801</v>
      </c>
      <c r="C401" s="10"/>
    </row>
    <row r="402" s="5" customFormat="1" ht="14.399999999999999" customHeight="1">
      <c r="A402" s="10" t="s">
        <v>802</v>
      </c>
      <c r="B402" s="23" t="s">
        <v>803</v>
      </c>
      <c r="C402" s="10"/>
    </row>
    <row r="403" s="5" customFormat="1" ht="14.399999999999999" customHeight="1">
      <c r="A403" s="10" t="s">
        <v>804</v>
      </c>
      <c r="B403" s="23" t="s">
        <v>805</v>
      </c>
      <c r="C403" s="10"/>
    </row>
    <row r="404" s="5" customFormat="1" ht="14.399999999999999" customHeight="1">
      <c r="A404" s="10" t="s">
        <v>806</v>
      </c>
      <c r="B404" s="23" t="s">
        <v>807</v>
      </c>
      <c r="C404" s="10"/>
    </row>
    <row r="405" s="5" customFormat="1" ht="14.399999999999999" customHeight="1">
      <c r="A405" s="10" t="s">
        <v>808</v>
      </c>
      <c r="B405" s="23" t="s">
        <v>809</v>
      </c>
      <c r="C405" s="10"/>
    </row>
    <row r="406" s="5" customFormat="1" ht="14.399999999999999" customHeight="1">
      <c r="A406" s="10" t="s">
        <v>810</v>
      </c>
      <c r="B406" s="23" t="s">
        <v>811</v>
      </c>
      <c r="C406" s="10"/>
    </row>
    <row r="407" s="5" customFormat="1" ht="14.399999999999999" customHeight="1">
      <c r="A407" s="10" t="s">
        <v>812</v>
      </c>
      <c r="B407" s="23" t="s">
        <v>813</v>
      </c>
      <c r="C407" s="10"/>
    </row>
    <row r="408" s="5" customFormat="1" ht="14.399999999999999" customHeight="1">
      <c r="A408" s="10" t="s">
        <v>814</v>
      </c>
      <c r="B408" s="23" t="s">
        <v>815</v>
      </c>
      <c r="C408" s="10"/>
    </row>
    <row r="409" s="5" customFormat="1" ht="14.399999999999999" customHeight="1">
      <c r="A409" s="10" t="s">
        <v>816</v>
      </c>
      <c r="B409" s="23" t="s">
        <v>817</v>
      </c>
      <c r="C409" s="10"/>
    </row>
    <row r="410" s="5" customFormat="1" ht="14.399999999999999" customHeight="1">
      <c r="A410" s="10" t="s">
        <v>818</v>
      </c>
      <c r="B410" s="23" t="s">
        <v>819</v>
      </c>
      <c r="C410" s="10"/>
    </row>
    <row r="411" s="5" customFormat="1" ht="14.399999999999999" customHeight="1">
      <c r="A411" s="10" t="s">
        <v>820</v>
      </c>
      <c r="B411" s="23" t="s">
        <v>821</v>
      </c>
      <c r="C411" s="10"/>
    </row>
    <row r="412" s="5" customFormat="1" ht="14.399999999999999" customHeight="1">
      <c r="A412" s="10" t="n">
        <v>17173</v>
      </c>
      <c r="B412" s="23" t="s">
        <v>822</v>
      </c>
      <c r="C412" s="10"/>
    </row>
    <row r="413" s="5" customFormat="1" ht="14.399999999999999" customHeight="1">
      <c r="A413" s="10" t="s">
        <v>823</v>
      </c>
      <c r="B413" s="23" t="s">
        <v>824</v>
      </c>
      <c r="C413" s="10"/>
    </row>
    <row r="414" s="5" customFormat="1" ht="14.399999999999999" customHeight="1">
      <c r="A414" s="10" t="s">
        <v>825</v>
      </c>
      <c r="B414" s="23" t="s">
        <v>826</v>
      </c>
      <c r="C414" s="10"/>
    </row>
    <row r="415" s="5" customFormat="1" ht="14.399999999999999" customHeight="1">
      <c r="A415" s="10" t="s">
        <v>827</v>
      </c>
      <c r="B415" s="23" t="s">
        <v>828</v>
      </c>
      <c r="C415" s="10"/>
    </row>
    <row r="416" s="5" customFormat="1" ht="14.399999999999999" customHeight="1">
      <c r="A416" s="10" t="s">
        <v>829</v>
      </c>
      <c r="B416" s="23" t="s">
        <v>830</v>
      </c>
      <c r="C416" s="10"/>
    </row>
    <row r="417" s="5" customFormat="1" ht="14.399999999999999" customHeight="1">
      <c r="A417" s="10" t="s">
        <v>831</v>
      </c>
      <c r="B417" s="23" t="s">
        <v>832</v>
      </c>
      <c r="C417" s="10"/>
    </row>
    <row r="418" s="5" customFormat="1" ht="14.399999999999999" customHeight="1">
      <c r="A418" s="10" t="s">
        <v>833</v>
      </c>
      <c r="B418" s="23" t="s">
        <v>834</v>
      </c>
      <c r="C418" s="10"/>
    </row>
    <row r="419" s="5" customFormat="1" ht="14.399999999999999" customHeight="1">
      <c r="A419" s="10" t="s">
        <v>835</v>
      </c>
      <c r="B419" s="23" t="s">
        <v>836</v>
      </c>
      <c r="C419" s="10"/>
    </row>
    <row r="420" s="5" customFormat="1" ht="14.399999999999999" customHeight="1">
      <c r="A420" s="10" t="s">
        <v>837</v>
      </c>
      <c r="B420" s="23" t="s">
        <v>838</v>
      </c>
      <c r="C420" s="10"/>
    </row>
    <row r="421" s="5" customFormat="1" ht="14.399999999999999" customHeight="1">
      <c r="A421" s="10" t="s">
        <v>839</v>
      </c>
      <c r="B421" s="23" t="s">
        <v>840</v>
      </c>
      <c r="C421" s="10"/>
    </row>
    <row r="422" s="5" customFormat="1" ht="14.399999999999999" customHeight="1">
      <c r="A422" s="10" t="s">
        <v>841</v>
      </c>
      <c r="B422" s="23" t="s">
        <v>842</v>
      </c>
      <c r="C422" s="10"/>
    </row>
    <row r="423" s="5" customFormat="1" ht="14.399999999999999" customHeight="1">
      <c r="A423" s="10" t="s">
        <v>843</v>
      </c>
      <c r="B423" s="23" t="s">
        <v>844</v>
      </c>
      <c r="C423" s="10"/>
    </row>
    <row r="424" s="5" customFormat="1" ht="14.399999999999999" customHeight="1">
      <c r="A424" s="10" t="s">
        <v>845</v>
      </c>
      <c r="B424" s="23" t="s">
        <v>846</v>
      </c>
      <c r="C424" s="10"/>
    </row>
    <row r="425" s="5" customFormat="1" ht="14.399999999999999" customHeight="1">
      <c r="A425" s="10" t="s">
        <v>847</v>
      </c>
      <c r="B425" s="23" t="s">
        <v>848</v>
      </c>
      <c r="C425" s="10"/>
    </row>
    <row r="426" s="5" customFormat="1" ht="14.399999999999999" customHeight="1">
      <c r="A426" s="10" t="s">
        <v>849</v>
      </c>
      <c r="B426" s="23" t="s">
        <v>850</v>
      </c>
      <c r="C426" s="10"/>
    </row>
    <row r="427" s="5" customFormat="1" ht="14.399999999999999" customHeight="1">
      <c r="A427" s="10" t="s">
        <v>851</v>
      </c>
      <c r="B427" s="23" t="s">
        <v>852</v>
      </c>
      <c r="C427" s="10"/>
    </row>
    <row r="428" s="5" customFormat="1" ht="14.399999999999999" customHeight="1">
      <c r="A428" s="10" t="s">
        <v>853</v>
      </c>
      <c r="B428" s="23" t="s">
        <v>854</v>
      </c>
      <c r="C428" s="10"/>
    </row>
    <row r="429" s="5" customFormat="1" ht="14.399999999999999" customHeight="1">
      <c r="A429" s="10" t="s">
        <v>855</v>
      </c>
      <c r="B429" s="23" t="s">
        <v>856</v>
      </c>
      <c r="C429" s="10"/>
    </row>
    <row r="430" s="5" customFormat="1" ht="14.399999999999999" customHeight="1">
      <c r="A430" s="10" t="s">
        <v>857</v>
      </c>
      <c r="B430" s="23" t="s">
        <v>858</v>
      </c>
      <c r="C430" s="10"/>
    </row>
    <row r="431" s="5" customFormat="1" ht="14.399999999999999" customHeight="1">
      <c r="A431" s="10" t="s">
        <v>859</v>
      </c>
      <c r="B431" s="23" t="s">
        <v>860</v>
      </c>
      <c r="C431" s="10"/>
    </row>
    <row r="432" s="5" customFormat="1" ht="14.399999999999999" customHeight="1">
      <c r="A432" s="10" t="s">
        <v>861</v>
      </c>
      <c r="B432" s="23" t="s">
        <v>862</v>
      </c>
      <c r="C432" s="10"/>
    </row>
    <row r="433" s="5" customFormat="1" ht="14.399999999999999" customHeight="1">
      <c r="A433" s="10" t="s">
        <v>863</v>
      </c>
      <c r="B433" s="23" t="s">
        <v>864</v>
      </c>
      <c r="C433" s="10"/>
    </row>
    <row r="434" s="5" customFormat="1" ht="14.399999999999999" customHeight="1">
      <c r="A434" s="10" t="s">
        <v>865</v>
      </c>
      <c r="B434" s="23" t="s">
        <v>866</v>
      </c>
      <c r="C434" s="10"/>
    </row>
    <row r="435" s="5" customFormat="1" ht="14.399999999999999" customHeight="1">
      <c r="A435" s="10" t="s">
        <v>867</v>
      </c>
      <c r="B435" s="23" t="s">
        <v>868</v>
      </c>
      <c r="C435" s="10"/>
    </row>
    <row r="436" s="5" customFormat="1" ht="14.399999999999999" customHeight="1">
      <c r="A436" s="10" t="s">
        <v>869</v>
      </c>
      <c r="B436" s="23" t="s">
        <v>870</v>
      </c>
      <c r="C436" s="10"/>
    </row>
    <row r="437" s="5" customFormat="1" ht="14.399999999999999" customHeight="1">
      <c r="A437" s="10" t="s">
        <v>871</v>
      </c>
      <c r="B437" s="23" t="s">
        <v>872</v>
      </c>
      <c r="C437" s="10"/>
    </row>
    <row r="438" s="5" customFormat="1" ht="14.399999999999999" customHeight="1">
      <c r="A438" s="10" t="s">
        <v>873</v>
      </c>
      <c r="B438" s="23" t="s">
        <v>874</v>
      </c>
      <c r="C438" s="10"/>
    </row>
    <row r="439" s="5" customFormat="1" ht="14.399999999999999" customHeight="1">
      <c r="A439" s="10" t="s">
        <v>875</v>
      </c>
      <c r="B439" s="23" t="s">
        <v>876</v>
      </c>
      <c r="C439" s="10"/>
    </row>
    <row r="440" s="5" customFormat="1" ht="14.399999999999999" customHeight="1">
      <c r="A440" s="10" t="s">
        <v>877</v>
      </c>
      <c r="B440" s="23" t="s">
        <v>878</v>
      </c>
      <c r="C440" s="10"/>
    </row>
    <row r="441" s="5" customFormat="1" ht="14.399999999999999" customHeight="1">
      <c r="A441" s="10" t="s">
        <v>879</v>
      </c>
      <c r="B441" s="23" t="s">
        <v>880</v>
      </c>
      <c r="C441" s="10"/>
    </row>
    <row r="442" s="5" customFormat="1" ht="14.399999999999999" customHeight="1">
      <c r="A442" s="10" t="s">
        <v>881</v>
      </c>
      <c r="B442" s="23" t="s">
        <v>882</v>
      </c>
      <c r="C442" s="10"/>
    </row>
    <row r="443" s="5" customFormat="1" ht="14.399999999999999" customHeight="1">
      <c r="A443" s="10" t="s">
        <v>883</v>
      </c>
      <c r="B443" s="23" t="s">
        <v>884</v>
      </c>
      <c r="C443" s="10"/>
    </row>
    <row r="444" s="5" customFormat="1" ht="14.399999999999999" customHeight="1">
      <c r="A444" s="10" t="s">
        <v>885</v>
      </c>
      <c r="B444" s="23" t="s">
        <v>886</v>
      </c>
      <c r="C444" s="10"/>
    </row>
    <row r="445" s="5" customFormat="1" ht="14.399999999999999" customHeight="1">
      <c r="A445" s="10" t="s">
        <v>887</v>
      </c>
      <c r="B445" s="23" t="s">
        <v>888</v>
      </c>
      <c r="C445" s="10"/>
    </row>
    <row r="446" s="5" customFormat="1" ht="14.399999999999999" customHeight="1">
      <c r="A446" s="10" t="s">
        <v>889</v>
      </c>
      <c r="B446" s="23" t="s">
        <v>890</v>
      </c>
      <c r="C446" s="10"/>
    </row>
    <row r="447" s="5" customFormat="1" ht="14.399999999999999" customHeight="1">
      <c r="A447" s="10" t="s">
        <v>891</v>
      </c>
      <c r="B447" s="23" t="s">
        <v>892</v>
      </c>
      <c r="C447" s="10"/>
    </row>
    <row r="448" s="5" customFormat="1" ht="14.399999999999999" customHeight="1">
      <c r="A448" s="10" t="s">
        <v>893</v>
      </c>
      <c r="B448" s="23" t="s">
        <v>894</v>
      </c>
      <c r="C448" s="10"/>
    </row>
    <row r="449" s="5" customFormat="1" ht="14.399999999999999" customHeight="1">
      <c r="A449" s="10" t="s">
        <v>895</v>
      </c>
      <c r="B449" s="23" t="s">
        <v>896</v>
      </c>
      <c r="C449" s="10"/>
    </row>
    <row r="450" s="5" customFormat="1" ht="14.399999999999999" customHeight="1">
      <c r="A450" s="10" t="s">
        <v>897</v>
      </c>
      <c r="B450" s="23" t="s">
        <v>898</v>
      </c>
      <c r="C450" s="10"/>
    </row>
    <row r="451" s="5" customFormat="1" ht="14.399999999999999" customHeight="1">
      <c r="A451" s="10" t="s">
        <v>899</v>
      </c>
      <c r="B451" s="23" t="s">
        <v>900</v>
      </c>
      <c r="C451" s="10"/>
    </row>
    <row r="452" s="5" customFormat="1" ht="14.399999999999999" customHeight="1">
      <c r="A452" s="10" t="s">
        <v>901</v>
      </c>
      <c r="B452" s="23" t="s">
        <v>902</v>
      </c>
      <c r="C452" s="10"/>
    </row>
    <row r="453" s="5" customFormat="1" ht="14.399999999999999" customHeight="1">
      <c r="A453" s="10" t="s">
        <v>903</v>
      </c>
      <c r="B453" s="23" t="s">
        <v>904</v>
      </c>
      <c r="C453" s="10"/>
    </row>
    <row r="454" s="5" customFormat="1" ht="14.399999999999999" customHeight="1">
      <c r="A454" s="10" t="s">
        <v>905</v>
      </c>
      <c r="B454" s="23" t="s">
        <v>906</v>
      </c>
      <c r="C454" s="10"/>
    </row>
    <row r="455" s="5" customFormat="1" ht="14.399999999999999" customHeight="1">
      <c r="A455" s="10" t="s">
        <v>907</v>
      </c>
      <c r="B455" s="23" t="s">
        <v>908</v>
      </c>
      <c r="C455" s="10"/>
    </row>
    <row r="456" s="5" customFormat="1" ht="14.399999999999999" customHeight="1">
      <c r="A456" s="10" t="s">
        <v>909</v>
      </c>
      <c r="B456" s="23" t="s">
        <v>910</v>
      </c>
      <c r="C456" s="10"/>
    </row>
    <row r="457" s="5" customFormat="1" ht="14.399999999999999" customHeight="1">
      <c r="A457" s="10" t="s">
        <v>911</v>
      </c>
      <c r="B457" s="23" t="s">
        <v>912</v>
      </c>
      <c r="C457" s="10"/>
    </row>
    <row r="458" s="5" customFormat="1" ht="14.399999999999999" customHeight="1">
      <c r="A458" s="10" t="s">
        <v>913</v>
      </c>
      <c r="B458" s="23" t="s">
        <v>914</v>
      </c>
      <c r="C458" s="10"/>
    </row>
    <row r="459" s="5" customFormat="1" ht="14.399999999999999" customHeight="1">
      <c r="A459" s="10" t="s">
        <v>915</v>
      </c>
      <c r="B459" s="23" t="s">
        <v>916</v>
      </c>
      <c r="C459" s="10"/>
    </row>
    <row r="460" s="5" customFormat="1" ht="14.399999999999999" customHeight="1">
      <c r="A460" s="10" t="s">
        <v>917</v>
      </c>
      <c r="B460" s="23" t="s">
        <v>918</v>
      </c>
      <c r="C460" s="10"/>
    </row>
    <row r="461" s="5" customFormat="1" ht="14.399999999999999" customHeight="1">
      <c r="A461" s="10" t="s">
        <v>919</v>
      </c>
      <c r="B461" s="23" t="s">
        <v>920</v>
      </c>
      <c r="C461" s="10"/>
    </row>
    <row r="462" s="5" customFormat="1" ht="14.399999999999999" customHeight="1">
      <c r="A462" s="10" t="s">
        <v>921</v>
      </c>
      <c r="B462" s="23" t="s">
        <v>922</v>
      </c>
      <c r="C462" s="10"/>
    </row>
    <row r="463" s="5" customFormat="1" ht="14.399999999999999" customHeight="1">
      <c r="A463" s="10" t="s">
        <v>923</v>
      </c>
      <c r="B463" s="23" t="s">
        <v>924</v>
      </c>
      <c r="C463" s="10"/>
    </row>
    <row r="464" s="5" customFormat="1" ht="14.399999999999999" customHeight="1">
      <c r="A464" s="10" t="s">
        <v>925</v>
      </c>
      <c r="B464" s="23" t="s">
        <v>926</v>
      </c>
      <c r="C464" s="10"/>
    </row>
    <row r="465" s="5" customFormat="1" ht="14.399999999999999" customHeight="1">
      <c r="A465" s="10" t="s">
        <v>927</v>
      </c>
      <c r="B465" s="23" t="s">
        <v>928</v>
      </c>
      <c r="C465" s="10"/>
    </row>
    <row r="466" s="5" customFormat="1" ht="14.399999999999999" customHeight="1">
      <c r="A466" s="10" t="s">
        <v>929</v>
      </c>
      <c r="B466" s="23" t="s">
        <v>930</v>
      </c>
      <c r="C466" s="10"/>
    </row>
    <row r="467" s="5" customFormat="1" ht="14.399999999999999" customHeight="1">
      <c r="A467" s="10" t="s">
        <v>931</v>
      </c>
      <c r="B467" s="23" t="s">
        <v>932</v>
      </c>
      <c r="C467" s="10"/>
    </row>
    <row r="468" s="5" customFormat="1" ht="14.399999999999999" customHeight="1">
      <c r="A468" s="10" t="s">
        <v>933</v>
      </c>
      <c r="B468" s="23" t="s">
        <v>934</v>
      </c>
      <c r="C468" s="10"/>
    </row>
    <row r="469" s="5" customFormat="1" ht="14.399999999999999" customHeight="1">
      <c r="A469" s="10" t="s">
        <v>935</v>
      </c>
      <c r="B469" s="23" t="s">
        <v>936</v>
      </c>
      <c r="C469" s="10"/>
    </row>
    <row r="470" s="5" customFormat="1" ht="14.399999999999999" customHeight="1">
      <c r="A470" s="10" t="s">
        <v>937</v>
      </c>
      <c r="B470" s="23" t="s">
        <v>938</v>
      </c>
      <c r="C470" s="10"/>
    </row>
    <row r="471" s="5" customFormat="1" ht="14.399999999999999" customHeight="1">
      <c r="A471" s="10" t="s">
        <v>939</v>
      </c>
      <c r="B471" s="23" t="s">
        <v>940</v>
      </c>
      <c r="C471" s="10"/>
    </row>
    <row r="472" s="5" customFormat="1" ht="14.399999999999999" customHeight="1">
      <c r="A472" s="10" t="s">
        <v>941</v>
      </c>
      <c r="B472" s="23" t="s">
        <v>942</v>
      </c>
      <c r="C472" s="10"/>
    </row>
    <row r="473" s="5" customFormat="1" ht="14.399999999999999" customHeight="1">
      <c r="A473" s="10" t="s">
        <v>943</v>
      </c>
      <c r="B473" s="23" t="s">
        <v>944</v>
      </c>
      <c r="C473" s="10"/>
    </row>
    <row r="474" s="5" customFormat="1" ht="14.399999999999999" customHeight="1">
      <c r="A474" s="10" t="s">
        <v>945</v>
      </c>
      <c r="B474" s="23" t="s">
        <v>946</v>
      </c>
      <c r="C474" s="10"/>
    </row>
    <row r="475" s="5" customFormat="1" ht="14.399999999999999" customHeight="1">
      <c r="A475" s="10" t="s">
        <v>947</v>
      </c>
      <c r="B475" s="23" t="s">
        <v>948</v>
      </c>
      <c r="C475" s="10"/>
    </row>
    <row r="476" s="5" customFormat="1" ht="14.399999999999999" customHeight="1">
      <c r="A476" s="10" t="s">
        <v>949</v>
      </c>
      <c r="B476" s="23" t="s">
        <v>950</v>
      </c>
      <c r="C476" s="10"/>
    </row>
    <row r="477" s="5" customFormat="1" ht="14.399999999999999" customHeight="1">
      <c r="A477" s="10" t="s">
        <v>951</v>
      </c>
      <c r="B477" s="23" t="s">
        <v>952</v>
      </c>
      <c r="C477" s="10"/>
    </row>
    <row r="478" s="5" customFormat="1" ht="14.399999999999999" customHeight="1">
      <c r="A478" s="10" t="s">
        <v>953</v>
      </c>
      <c r="B478" s="23" t="s">
        <v>954</v>
      </c>
      <c r="C478" s="10"/>
    </row>
    <row r="479" s="5" customFormat="1" ht="14.399999999999999" customHeight="1">
      <c r="A479" s="10" t="s">
        <v>955</v>
      </c>
      <c r="B479" s="23" t="s">
        <v>956</v>
      </c>
      <c r="C479" s="10"/>
    </row>
    <row r="480" s="5" customFormat="1" ht="14.399999999999999" customHeight="1">
      <c r="A480" s="10" t="s">
        <v>957</v>
      </c>
      <c r="B480" s="23" t="s">
        <v>958</v>
      </c>
      <c r="C480" s="10"/>
    </row>
    <row r="481" s="5" customFormat="1" ht="14.399999999999999" customHeight="1">
      <c r="A481" s="10" t="s">
        <v>959</v>
      </c>
      <c r="B481" s="23" t="s">
        <v>960</v>
      </c>
      <c r="C481" s="10"/>
    </row>
    <row r="482" s="5" customFormat="1" ht="14.399999999999999" customHeight="1">
      <c r="A482" s="10" t="s">
        <v>961</v>
      </c>
      <c r="B482" s="23" t="s">
        <v>962</v>
      </c>
      <c r="C482" s="10"/>
    </row>
    <row r="483" s="5" customFormat="1" ht="14.399999999999999" customHeight="1">
      <c r="A483" s="10" t="s">
        <v>963</v>
      </c>
      <c r="B483" s="23" t="s">
        <v>964</v>
      </c>
      <c r="C483" s="10"/>
    </row>
    <row r="484" s="5" customFormat="1" ht="14.399999999999999" customHeight="1">
      <c r="A484" s="10" t="s">
        <v>965</v>
      </c>
      <c r="B484" s="23" t="s">
        <v>966</v>
      </c>
      <c r="C484" s="10"/>
    </row>
    <row r="485" s="5" customFormat="1" ht="14.399999999999999" customHeight="1">
      <c r="A485" s="10" t="s">
        <v>967</v>
      </c>
      <c r="B485" s="23" t="s">
        <v>968</v>
      </c>
      <c r="C485" s="10"/>
    </row>
    <row r="486" s="5" customFormat="1" ht="14.399999999999999" customHeight="1">
      <c r="A486" s="10" t="s">
        <v>969</v>
      </c>
      <c r="B486" s="23" t="s">
        <v>970</v>
      </c>
      <c r="C486" s="10"/>
    </row>
    <row r="487" s="5" customFormat="1" ht="14.399999999999999" customHeight="1">
      <c r="A487" s="10" t="s">
        <v>971</v>
      </c>
      <c r="B487" s="23" t="s">
        <v>972</v>
      </c>
      <c r="C487" s="10"/>
    </row>
    <row r="488" s="5" customFormat="1" ht="14.399999999999999" customHeight="1">
      <c r="A488" s="10" t="s">
        <v>973</v>
      </c>
      <c r="B488" s="23" t="s">
        <v>974</v>
      </c>
      <c r="C488" s="10"/>
    </row>
    <row r="489" s="5" customFormat="1" ht="14.399999999999999" customHeight="1">
      <c r="A489" s="10" t="s">
        <v>975</v>
      </c>
      <c r="B489" s="23" t="s">
        <v>976</v>
      </c>
      <c r="C489" s="10"/>
    </row>
    <row r="490" s="5" customFormat="1" ht="14.399999999999999" customHeight="1">
      <c r="A490" s="10" t="s">
        <v>977</v>
      </c>
      <c r="B490" s="23" t="s">
        <v>978</v>
      </c>
      <c r="C490" s="10"/>
    </row>
    <row r="491" s="5" customFormat="1" ht="14.399999999999999" customHeight="1">
      <c r="A491" s="10" t="s">
        <v>979</v>
      </c>
      <c r="B491" s="23" t="s">
        <v>980</v>
      </c>
      <c r="C491" s="10"/>
    </row>
    <row r="492" s="5" customFormat="1" ht="14.399999999999999" customHeight="1">
      <c r="A492" s="10" t="s">
        <v>981</v>
      </c>
      <c r="B492" s="23" t="s">
        <v>982</v>
      </c>
      <c r="C492" s="10"/>
    </row>
    <row r="493" s="5" customFormat="1" ht="14.399999999999999" customHeight="1">
      <c r="A493" s="10" t="s">
        <v>983</v>
      </c>
      <c r="B493" s="23" t="s">
        <v>984</v>
      </c>
      <c r="C493" s="10"/>
    </row>
    <row r="494" s="5" customFormat="1" ht="14.399999999999999" customHeight="1">
      <c r="A494" s="10" t="s">
        <v>985</v>
      </c>
      <c r="B494" s="23" t="s">
        <v>986</v>
      </c>
      <c r="C494" s="10"/>
    </row>
    <row r="495" s="5" customFormat="1" ht="14.399999999999999" customHeight="1">
      <c r="A495" s="10" t="s">
        <v>987</v>
      </c>
      <c r="B495" s="23" t="s">
        <v>988</v>
      </c>
      <c r="C495" s="10"/>
    </row>
    <row r="496" s="5" customFormat="1" ht="14.399999999999999" customHeight="1">
      <c r="A496" s="10" t="s">
        <v>989</v>
      </c>
      <c r="B496" s="23" t="s">
        <v>990</v>
      </c>
      <c r="C496" s="10"/>
    </row>
    <row r="497" s="5" customFormat="1" ht="14.399999999999999" customHeight="1">
      <c r="A497" s="10" t="s">
        <v>991</v>
      </c>
      <c r="B497" s="23" t="s">
        <v>992</v>
      </c>
      <c r="C497" s="10"/>
    </row>
    <row r="498" s="5" customFormat="1" ht="14.399999999999999" customHeight="1">
      <c r="A498" s="10" t="s">
        <v>993</v>
      </c>
      <c r="B498" s="23" t="s">
        <v>994</v>
      </c>
      <c r="C498" s="10"/>
    </row>
    <row r="499" s="5" customFormat="1" ht="14.399999999999999" customHeight="1">
      <c r="A499" s="10" t="s">
        <v>995</v>
      </c>
      <c r="B499" s="23" t="s">
        <v>996</v>
      </c>
      <c r="C499" s="10"/>
    </row>
    <row r="500" s="20" customFormat="1" ht="14.399999999999999" customHeight="1">
      <c r="A500" s="21" t="s">
        <v>997</v>
      </c>
      <c r="B500" s="21" t="s">
        <v>998</v>
      </c>
      <c r="C500" s="21"/>
    </row>
    <row r="501" ht="14.399999999999999" customHeight="1">
      <c r="A501" s="23" t="s">
        <v>999</v>
      </c>
      <c r="B501" s="23" t="s">
        <v>1000</v>
      </c>
    </row>
    <row r="502" ht="14.399999999999999" customHeight="1">
      <c r="A502" s="23" t="s">
        <v>1001</v>
      </c>
      <c r="B502" s="23" t="s">
        <v>1002</v>
      </c>
    </row>
    <row r="503" ht="14.399999999999999" customHeight="1">
      <c r="A503" s="23" t="s">
        <v>1003</v>
      </c>
      <c r="B503" s="23" t="s">
        <v>1004</v>
      </c>
    </row>
    <row r="504" s="28" customFormat="1" ht="14.399999999999999" customHeight="1">
      <c r="A504" s="29" t="s">
        <v>1005</v>
      </c>
      <c r="B504" s="29" t="s">
        <v>103</v>
      </c>
    </row>
    <row r="505" s="28" customFormat="1" ht="14.399999999999999" customHeight="1">
      <c r="A505" s="29" t="s">
        <v>1006</v>
      </c>
      <c r="B505" s="29" t="s">
        <v>113</v>
      </c>
    </row>
    <row r="506" s="28" customFormat="1" ht="14.399999999999999" customHeight="1">
      <c r="A506" s="29" t="s">
        <v>1007</v>
      </c>
      <c r="B506" s="29" t="s">
        <v>1008</v>
      </c>
    </row>
    <row r="507" s="28" customFormat="1" ht="14.399999999999999" customHeight="1">
      <c r="A507" s="29" t="s">
        <v>1009</v>
      </c>
      <c r="B507" s="29" t="s">
        <v>1010</v>
      </c>
    </row>
    <row r="508" s="28" customFormat="1" ht="14.399999999999999" customHeight="1">
      <c r="A508" s="29" t="s">
        <v>1011</v>
      </c>
      <c r="B508" s="29" t="s">
        <v>1012</v>
      </c>
    </row>
    <row r="509" s="28" customFormat="1" ht="14.399999999999999" customHeight="1">
      <c r="A509" s="29" t="s">
        <v>1013</v>
      </c>
      <c r="B509" s="29" t="s">
        <v>131</v>
      </c>
    </row>
    <row r="510" ht="14.399999999999999" customHeight="1">
      <c r="A510" s="23" t="s">
        <v>1014</v>
      </c>
      <c r="B510" s="23" t="s">
        <v>1015</v>
      </c>
    </row>
    <row r="511" s="28" customFormat="1" ht="14.399999999999999" customHeight="1">
      <c r="A511" s="29" t="s">
        <v>1016</v>
      </c>
      <c r="B511" s="29" t="s">
        <v>1017</v>
      </c>
    </row>
    <row r="512" s="28" customFormat="1" ht="14.399999999999999" customHeight="1">
      <c r="A512" s="29" t="s">
        <v>458</v>
      </c>
      <c r="B512" s="29" t="s">
        <v>1018</v>
      </c>
    </row>
    <row r="513" s="28" customFormat="1" ht="14.399999999999999" customHeight="1">
      <c r="A513" s="29" t="s">
        <v>1019</v>
      </c>
      <c r="B513" s="29" t="s">
        <v>1020</v>
      </c>
    </row>
    <row r="514" s="28" customFormat="1" ht="14.399999999999999" customHeight="1">
      <c r="A514" s="29" t="s">
        <v>1021</v>
      </c>
      <c r="B514" s="29" t="s">
        <v>1022</v>
      </c>
    </row>
    <row r="515" s="28" customFormat="1" ht="14.399999999999999" customHeight="1">
      <c r="A515" s="29" t="s">
        <v>1023</v>
      </c>
      <c r="B515" s="29" t="s">
        <v>1024</v>
      </c>
    </row>
    <row r="516" s="28" customFormat="1" ht="14.399999999999999" customHeight="1">
      <c r="A516" s="29" t="s">
        <v>1025</v>
      </c>
      <c r="B516" s="29" t="s">
        <v>1026</v>
      </c>
    </row>
    <row r="517" s="28" customFormat="1" ht="14.399999999999999" customHeight="1">
      <c r="A517" s="29" t="s">
        <v>1027</v>
      </c>
      <c r="B517" s="29" t="s">
        <v>1028</v>
      </c>
    </row>
    <row r="518" s="28" customFormat="1" ht="14.399999999999999" customHeight="1">
      <c r="A518" s="29" t="s">
        <v>1029</v>
      </c>
      <c r="B518" s="29" t="s">
        <v>143</v>
      </c>
    </row>
    <row r="519" ht="14.399999999999999" customHeight="1">
      <c r="A519" s="23" t="s">
        <v>1030</v>
      </c>
      <c r="B519" s="23" t="s">
        <v>147</v>
      </c>
    </row>
    <row r="520" ht="14.399999999999999" customHeight="1">
      <c r="A520" s="23" t="s">
        <v>1031</v>
      </c>
      <c r="B520" s="23" t="s">
        <v>173</v>
      </c>
    </row>
    <row r="521" ht="14.399999999999999" customHeight="1">
      <c r="A521" s="23" t="s">
        <v>1032</v>
      </c>
      <c r="B521" s="23" t="s">
        <v>1033</v>
      </c>
    </row>
    <row r="522" s="28" customFormat="1" ht="14.399999999999999" customHeight="1">
      <c r="A522" s="29" t="s">
        <v>1034</v>
      </c>
      <c r="B522" s="29" t="s">
        <v>171</v>
      </c>
    </row>
    <row r="523" ht="14.399999999999999" customHeight="1">
      <c r="A523" s="23" t="s">
        <v>1035</v>
      </c>
      <c r="B523" s="23" t="s">
        <v>1036</v>
      </c>
    </row>
    <row r="524" ht="14.399999999999999" customHeight="1">
      <c r="A524" s="23" t="s">
        <v>246</v>
      </c>
      <c r="B524" s="23" t="s">
        <v>1037</v>
      </c>
    </row>
    <row r="525" ht="14.399999999999999" customHeight="1">
      <c r="A525" s="23" t="s">
        <v>1038</v>
      </c>
      <c r="B525" s="23" t="s">
        <v>1039</v>
      </c>
    </row>
    <row r="526" ht="14.399999999999999" customHeight="1">
      <c r="A526" s="23" t="s">
        <v>1040</v>
      </c>
      <c r="B526" s="23" t="s">
        <v>305</v>
      </c>
    </row>
    <row r="527" ht="14.399999999999999" customHeight="1">
      <c r="A527" s="23" t="s">
        <v>316</v>
      </c>
      <c r="B527" s="23" t="s">
        <v>1041</v>
      </c>
    </row>
    <row r="528" ht="14.399999999999999" customHeight="1">
      <c r="A528" s="23" t="s">
        <v>1042</v>
      </c>
      <c r="B528" s="23" t="s">
        <v>1043</v>
      </c>
    </row>
    <row r="529" ht="14.399999999999999" customHeight="1">
      <c r="A529" s="23" t="s">
        <v>1044</v>
      </c>
      <c r="B529" s="23" t="s">
        <v>1045</v>
      </c>
    </row>
    <row r="530" ht="14.399999999999999" customHeight="1">
      <c r="A530" s="23" t="s">
        <v>1046</v>
      </c>
      <c r="B530" s="23" t="s">
        <v>1047</v>
      </c>
    </row>
    <row r="531" ht="14.399999999999999" customHeight="1">
      <c r="A531" s="23" t="s">
        <v>1048</v>
      </c>
      <c r="B531" s="23" t="s">
        <v>1049</v>
      </c>
    </row>
    <row r="532" ht="14.399999999999999" customHeight="1">
      <c r="A532" s="23" t="s">
        <v>1050</v>
      </c>
      <c r="B532" s="23" t="s">
        <v>1051</v>
      </c>
    </row>
    <row r="533" ht="14.399999999999999" customHeight="1">
      <c r="A533" s="23" t="s">
        <v>1052</v>
      </c>
      <c r="B533" s="23" t="s">
        <v>1053</v>
      </c>
    </row>
    <row r="534" ht="14.399999999999999" customHeight="1">
      <c r="A534" s="23" t="s">
        <v>580</v>
      </c>
      <c r="B534" s="23" t="s">
        <v>1054</v>
      </c>
    </row>
    <row r="535" ht="14.399999999999999" customHeight="1">
      <c r="A535" s="23" t="s">
        <v>1055</v>
      </c>
      <c r="B535" s="23" t="s">
        <v>1056</v>
      </c>
    </row>
    <row r="536" ht="14.399999999999999" customHeight="1">
      <c r="A536" s="23" t="s">
        <v>1057</v>
      </c>
      <c r="B536" s="23" t="s">
        <v>1058</v>
      </c>
    </row>
    <row r="537" ht="14.399999999999999" customHeight="1">
      <c r="A537" s="23" t="s">
        <v>1059</v>
      </c>
      <c r="B537" s="23" t="s">
        <v>1060</v>
      </c>
    </row>
    <row r="538" ht="14.399999999999999" customHeight="1">
      <c r="A538" s="23" t="s">
        <v>1061</v>
      </c>
      <c r="B538" s="23" t="s">
        <v>1062</v>
      </c>
    </row>
    <row r="539" ht="14.399999999999999" customHeight="1">
      <c r="A539" s="23" t="s">
        <v>1063</v>
      </c>
      <c r="B539" s="23" t="s">
        <v>1064</v>
      </c>
    </row>
    <row r="540" ht="14.399999999999999" customHeight="1">
      <c r="A540" s="23" t="s">
        <v>1065</v>
      </c>
      <c r="B540" s="23" t="s">
        <v>1066</v>
      </c>
    </row>
    <row r="541" ht="14.399999999999999" customHeight="1">
      <c r="A541" s="23" t="s">
        <v>1067</v>
      </c>
      <c r="B541" s="23" t="s">
        <v>1068</v>
      </c>
    </row>
    <row r="542" ht="14.399999999999999" customHeight="1">
      <c r="A542" s="23" t="s">
        <v>1069</v>
      </c>
      <c r="B542" s="23" t="s">
        <v>1070</v>
      </c>
    </row>
    <row r="543" ht="14.399999999999999" customHeight="1">
      <c r="A543" s="23" t="s">
        <v>1071</v>
      </c>
      <c r="B543" s="23" t="s">
        <v>1072</v>
      </c>
    </row>
    <row r="544" ht="14.399999999999999" customHeight="1">
      <c r="A544" s="23" t="s">
        <v>1073</v>
      </c>
      <c r="B544" s="23" t="s">
        <v>1074</v>
      </c>
    </row>
    <row r="545" ht="14.399999999999999" customHeight="1">
      <c r="A545" s="23" t="s">
        <v>1075</v>
      </c>
      <c r="B545" s="23" t="s">
        <v>1076</v>
      </c>
    </row>
    <row r="546" ht="14.399999999999999" customHeight="1">
      <c r="A546" s="23" t="s">
        <v>1077</v>
      </c>
      <c r="B546" s="23" t="s">
        <v>1078</v>
      </c>
    </row>
    <row r="547" ht="14.399999999999999" customHeight="1">
      <c r="A547" s="23" t="s">
        <v>1079</v>
      </c>
      <c r="B547" s="23" t="s">
        <v>1080</v>
      </c>
    </row>
    <row r="548" ht="14.399999999999999" customHeight="1">
      <c r="A548" s="23" t="s">
        <v>1081</v>
      </c>
      <c r="B548" s="23" t="s">
        <v>1082</v>
      </c>
    </row>
    <row r="549" ht="14.399999999999999" customHeight="1">
      <c r="A549" s="23" t="s">
        <v>1083</v>
      </c>
      <c r="B549" s="23" t="s">
        <v>1084</v>
      </c>
    </row>
    <row r="550" ht="14.399999999999999" customHeight="1">
      <c r="A550" s="23" t="s">
        <v>1085</v>
      </c>
      <c r="B550" s="23" t="s">
        <v>1086</v>
      </c>
    </row>
    <row r="551" ht="14.399999999999999" customHeight="1">
      <c r="A551" s="23" t="s">
        <v>1087</v>
      </c>
      <c r="B551" s="23" t="s">
        <v>1088</v>
      </c>
    </row>
    <row r="552" ht="14.399999999999999" customHeight="1">
      <c r="A552" s="23" t="s">
        <v>1089</v>
      </c>
      <c r="B552" s="23" t="s">
        <v>1090</v>
      </c>
    </row>
    <row r="553" ht="14.399999999999999" customHeight="1">
      <c r="A553" s="23" t="s">
        <v>1091</v>
      </c>
      <c r="B553" s="23" t="s">
        <v>1092</v>
      </c>
    </row>
    <row r="554" ht="14.399999999999999" customHeight="1">
      <c r="A554" s="23" t="s">
        <v>1093</v>
      </c>
      <c r="B554" s="23" t="s">
        <v>1094</v>
      </c>
    </row>
    <row r="555" ht="14.399999999999999" customHeight="1">
      <c r="A555" s="23" t="s">
        <v>1095</v>
      </c>
      <c r="B555" s="23" t="s">
        <v>1096</v>
      </c>
    </row>
    <row r="556" ht="14.399999999999999" customHeight="1">
      <c r="A556" s="23" t="s">
        <v>1097</v>
      </c>
      <c r="B556" s="23" t="s">
        <v>1098</v>
      </c>
    </row>
    <row r="557" ht="19.65" customHeight="1">
      <c r="A557" s="23" t="s">
        <v>1099</v>
      </c>
      <c r="B557" s="23" t="s">
        <v>1100</v>
      </c>
    </row>
    <row r="558" ht="14.399999999999999" customHeight="1">
      <c r="A558" s="23" t="s">
        <v>1101</v>
      </c>
      <c r="B558" s="23" t="s">
        <v>1102</v>
      </c>
    </row>
    <row r="559" ht="14.399999999999999" customHeight="1">
      <c r="A559" s="23" t="s">
        <v>1103</v>
      </c>
      <c r="B559" s="23" t="s">
        <v>1104</v>
      </c>
    </row>
    <row r="560" ht="14.399999999999999" customHeight="1">
      <c r="A560" s="23" t="s">
        <v>1105</v>
      </c>
      <c r="B560" s="23" t="s">
        <v>1106</v>
      </c>
    </row>
    <row r="561" ht="14.399999999999999" customHeight="1">
      <c r="A561" s="23" t="s">
        <v>1107</v>
      </c>
      <c r="B561" s="23" t="s">
        <v>1108</v>
      </c>
    </row>
    <row r="562" ht="14.399999999999999" customHeight="1">
      <c r="A562" s="23" t="s">
        <v>1109</v>
      </c>
      <c r="B562" s="23" t="s">
        <v>1110</v>
      </c>
    </row>
    <row r="563" ht="14.399999999999999" customHeight="1">
      <c r="A563" s="23" t="s">
        <v>1111</v>
      </c>
      <c r="B563" s="23" t="s">
        <v>1112</v>
      </c>
    </row>
    <row r="564" ht="14.399999999999999" customHeight="1">
      <c r="A564" s="23" t="s">
        <v>1113</v>
      </c>
      <c r="B564" s="23" t="s">
        <v>1114</v>
      </c>
    </row>
    <row r="565" ht="14.399999999999999" customHeight="1">
      <c r="A565" s="23" t="s">
        <v>1115</v>
      </c>
      <c r="B565" s="23" t="s">
        <v>1116</v>
      </c>
    </row>
    <row r="566" ht="14.399999999999999" customHeight="1">
      <c r="A566" s="23" t="s">
        <v>602</v>
      </c>
      <c r="B566" s="23" t="s">
        <v>1117</v>
      </c>
    </row>
    <row r="567" ht="14.399999999999999" customHeight="1">
      <c r="A567" s="23" t="s">
        <v>1118</v>
      </c>
      <c r="B567" s="23" t="s">
        <v>1119</v>
      </c>
    </row>
    <row r="568" ht="14.399999999999999" customHeight="1">
      <c r="A568" s="23" t="s">
        <v>1120</v>
      </c>
      <c r="B568" s="23" t="s">
        <v>1121</v>
      </c>
    </row>
    <row r="569" ht="14.399999999999999" customHeight="1">
      <c r="A569" s="23" t="s">
        <v>1122</v>
      </c>
      <c r="B569" s="23" t="s">
        <v>1123</v>
      </c>
    </row>
    <row r="570" ht="14.399999999999999" customHeight="1">
      <c r="A570" s="23" t="s">
        <v>1124</v>
      </c>
      <c r="B570" s="23" t="s">
        <v>1125</v>
      </c>
    </row>
    <row r="571" ht="14.399999999999999" customHeight="1">
      <c r="A571" s="23" t="s">
        <v>1126</v>
      </c>
      <c r="B571" s="23" t="s">
        <v>1127</v>
      </c>
    </row>
    <row r="572" ht="14.399999999999999" customHeight="1">
      <c r="A572" s="23" t="s">
        <v>1128</v>
      </c>
      <c r="B572" s="23" t="s">
        <v>1129</v>
      </c>
    </row>
    <row r="573" ht="14.399999999999999" customHeight="1">
      <c r="A573" s="23" t="s">
        <v>1130</v>
      </c>
      <c r="B573" s="23" t="s">
        <v>1131</v>
      </c>
    </row>
    <row r="574" ht="14.399999999999999" customHeight="1">
      <c r="A574" s="23" t="s">
        <v>1132</v>
      </c>
      <c r="B574" s="23" t="s">
        <v>1133</v>
      </c>
    </row>
    <row r="575" ht="14.399999999999999" customHeight="1">
      <c r="A575" s="23" t="s">
        <v>1134</v>
      </c>
      <c r="B575" s="23" t="s">
        <v>1135</v>
      </c>
    </row>
    <row r="576" ht="14.399999999999999" customHeight="1">
      <c r="A576" s="23" t="s">
        <v>1136</v>
      </c>
      <c r="B576" s="23" t="s">
        <v>1137</v>
      </c>
    </row>
    <row r="577" ht="14.399999999999999" customHeight="1">
      <c r="A577" s="23" t="s">
        <v>1138</v>
      </c>
      <c r="B577" s="23" t="s">
        <v>1139</v>
      </c>
    </row>
    <row r="578" ht="14.399999999999999" customHeight="1">
      <c r="A578" s="23" t="s">
        <v>1140</v>
      </c>
      <c r="B578" s="23" t="s">
        <v>1141</v>
      </c>
    </row>
    <row r="579" ht="14.399999999999999" customHeight="1">
      <c r="A579" s="23" t="s">
        <v>1142</v>
      </c>
      <c r="B579" s="23" t="s">
        <v>1143</v>
      </c>
    </row>
    <row r="580" ht="14.399999999999999" customHeight="1">
      <c r="A580" s="23" t="s">
        <v>1144</v>
      </c>
      <c r="B580" s="23" t="s">
        <v>1145</v>
      </c>
    </row>
    <row r="581" ht="14.399999999999999" customHeight="1">
      <c r="A581" s="23" t="s">
        <v>1146</v>
      </c>
      <c r="B581" s="23" t="s">
        <v>1147</v>
      </c>
    </row>
    <row r="582" ht="14.399999999999999" customHeight="1">
      <c r="A582" s="23" t="s">
        <v>1148</v>
      </c>
      <c r="B582" s="23" t="s">
        <v>1149</v>
      </c>
    </row>
    <row r="583" ht="14.399999999999999" customHeight="1">
      <c r="A583" s="23" t="s">
        <v>1150</v>
      </c>
      <c r="B583" s="23" t="s">
        <v>1151</v>
      </c>
    </row>
    <row r="584" ht="14.399999999999999" customHeight="1">
      <c r="A584" s="23" t="s">
        <v>1152</v>
      </c>
      <c r="B584" s="23" t="s">
        <v>1153</v>
      </c>
    </row>
    <row r="585" ht="14.399999999999999" customHeight="1">
      <c r="A585" s="23" t="s">
        <v>686</v>
      </c>
      <c r="B585" s="23" t="s">
        <v>1154</v>
      </c>
    </row>
    <row r="586" ht="14.399999999999999" customHeight="1">
      <c r="A586" s="23" t="s">
        <v>1155</v>
      </c>
      <c r="B586" s="23" t="s">
        <v>1156</v>
      </c>
    </row>
    <row r="587" ht="14.399999999999999" customHeight="1">
      <c r="A587" s="23" t="s">
        <v>1157</v>
      </c>
      <c r="B587" s="23" t="s">
        <v>1158</v>
      </c>
    </row>
    <row r="588" ht="14.399999999999999" customHeight="1">
      <c r="A588" s="23" t="s">
        <v>1159</v>
      </c>
      <c r="B588" s="23" t="s">
        <v>1160</v>
      </c>
    </row>
    <row r="589" ht="14.399999999999999" customHeight="1">
      <c r="A589" s="23" t="s">
        <v>1161</v>
      </c>
      <c r="B589" s="23" t="s">
        <v>1162</v>
      </c>
    </row>
    <row r="590" ht="14.399999999999999" customHeight="1">
      <c r="A590" s="23" t="s">
        <v>1163</v>
      </c>
      <c r="B590" s="23" t="s">
        <v>1164</v>
      </c>
    </row>
    <row r="591" ht="14.399999999999999" customHeight="1">
      <c r="A591" s="23" t="s">
        <v>1165</v>
      </c>
      <c r="B591" s="23" t="s">
        <v>1166</v>
      </c>
    </row>
    <row r="592" ht="14.399999999999999" customHeight="1">
      <c r="A592" s="23" t="s">
        <v>1167</v>
      </c>
      <c r="B592" s="23" t="s">
        <v>1168</v>
      </c>
    </row>
    <row r="593" ht="14.399999999999999" customHeight="1">
      <c r="A593" s="23" t="s">
        <v>552</v>
      </c>
      <c r="B593" s="23" t="s">
        <v>1169</v>
      </c>
    </row>
    <row r="594" ht="14.399999999999999" customHeight="1">
      <c r="A594" s="23" t="s">
        <v>1170</v>
      </c>
      <c r="B594" s="23" t="s">
        <v>1171</v>
      </c>
    </row>
    <row r="595" ht="14.399999999999999" customHeight="1">
      <c r="A595" s="23" t="s">
        <v>1172</v>
      </c>
      <c r="B595" s="23" t="s">
        <v>1173</v>
      </c>
    </row>
    <row r="596" ht="14.399999999999999" customHeight="1">
      <c r="A596" s="23" t="s">
        <v>1174</v>
      </c>
      <c r="B596" s="23" t="s">
        <v>1175</v>
      </c>
    </row>
    <row r="597" ht="14.399999999999999" customHeight="1">
      <c r="A597" s="23" t="s">
        <v>1176</v>
      </c>
      <c r="B597" s="23" t="s">
        <v>1177</v>
      </c>
    </row>
    <row r="598" ht="14.399999999999999" customHeight="1">
      <c r="A598" s="23" t="s">
        <v>1178</v>
      </c>
      <c r="B598" s="23" t="s">
        <v>1179</v>
      </c>
    </row>
    <row r="599" ht="14.399999999999999" customHeight="1">
      <c r="A599" s="23" t="s">
        <v>1180</v>
      </c>
      <c r="B599" s="23" t="s">
        <v>1181</v>
      </c>
    </row>
    <row r="600" ht="14.399999999999999" customHeight="1">
      <c r="A600" s="23" t="s">
        <v>1182</v>
      </c>
      <c r="B600" s="23" t="s">
        <v>1183</v>
      </c>
    </row>
    <row r="601" ht="14.399999999999999" customHeight="1">
      <c r="A601" s="23" t="s">
        <v>1184</v>
      </c>
      <c r="B601" s="23" t="s">
        <v>1185</v>
      </c>
    </row>
    <row r="602" ht="14.399999999999999" customHeight="1">
      <c r="A602" s="23" t="s">
        <v>1186</v>
      </c>
      <c r="B602" s="23" t="s">
        <v>1187</v>
      </c>
    </row>
    <row r="603" ht="14.399999999999999" customHeight="1">
      <c r="A603" s="23" t="s">
        <v>1188</v>
      </c>
      <c r="B603" s="23" t="s">
        <v>1189</v>
      </c>
    </row>
    <row r="604" ht="14.399999999999999" customHeight="1">
      <c r="A604" s="23" t="s">
        <v>1190</v>
      </c>
      <c r="B604" s="23" t="s">
        <v>1191</v>
      </c>
    </row>
    <row r="605" ht="14.399999999999999" customHeight="1">
      <c r="A605" s="23" t="s">
        <v>1192</v>
      </c>
      <c r="B605" s="23" t="s">
        <v>1193</v>
      </c>
    </row>
    <row r="606" ht="14.399999999999999" customHeight="1">
      <c r="A606" s="23" t="s">
        <v>1194</v>
      </c>
      <c r="B606" s="23" t="s">
        <v>1195</v>
      </c>
    </row>
    <row r="607" ht="14.399999999999999" customHeight="1">
      <c r="A607" s="23" t="s">
        <v>1196</v>
      </c>
      <c r="B607" s="23" t="s">
        <v>1197</v>
      </c>
    </row>
    <row r="608" ht="14.399999999999999" customHeight="1">
      <c r="A608" s="23" t="s">
        <v>1198</v>
      </c>
      <c r="B608" s="23" t="s">
        <v>1199</v>
      </c>
    </row>
    <row r="609" ht="14.399999999999999" customHeight="1">
      <c r="A609" s="23" t="s">
        <v>1200</v>
      </c>
      <c r="B609" s="23" t="s">
        <v>1201</v>
      </c>
    </row>
    <row r="610" ht="14.399999999999999" customHeight="1">
      <c r="A610" s="23" t="s">
        <v>1202</v>
      </c>
      <c r="B610" s="23" t="s">
        <v>1203</v>
      </c>
    </row>
    <row r="611" ht="14.399999999999999" customHeight="1">
      <c r="A611" s="23" t="s">
        <v>1204</v>
      </c>
      <c r="B611" s="23" t="s">
        <v>1205</v>
      </c>
    </row>
    <row r="612" ht="14.399999999999999" customHeight="1">
      <c r="A612" s="23" t="s">
        <v>1206</v>
      </c>
      <c r="B612" s="23" t="s">
        <v>1207</v>
      </c>
    </row>
    <row r="613" ht="14.399999999999999" customHeight="1">
      <c r="A613" s="23" t="s">
        <v>1208</v>
      </c>
      <c r="B613" s="23" t="s">
        <v>1209</v>
      </c>
    </row>
    <row r="614" ht="14.399999999999999" customHeight="1">
      <c r="A614" s="23" t="s">
        <v>1210</v>
      </c>
      <c r="B614" s="23" t="s">
        <v>1211</v>
      </c>
    </row>
    <row r="615" ht="14.399999999999999" customHeight="1">
      <c r="A615" s="23" t="s">
        <v>1212</v>
      </c>
      <c r="B615" s="23" t="s">
        <v>1213</v>
      </c>
    </row>
    <row r="616" ht="14.399999999999999" customHeight="1">
      <c r="A616" s="23" t="s">
        <v>1214</v>
      </c>
      <c r="B616" s="23" t="s">
        <v>1215</v>
      </c>
    </row>
    <row r="617" ht="14.399999999999999" customHeight="1">
      <c r="A617" s="23" t="s">
        <v>1216</v>
      </c>
      <c r="B617" s="23" t="s">
        <v>1217</v>
      </c>
    </row>
    <row r="618" ht="14.399999999999999" customHeight="1">
      <c r="A618" s="23" t="s">
        <v>1218</v>
      </c>
      <c r="B618" s="23" t="s">
        <v>1219</v>
      </c>
    </row>
    <row r="619" ht="14.399999999999999" customHeight="1">
      <c r="A619" s="23" t="s">
        <v>1220</v>
      </c>
      <c r="B619" s="23" t="s">
        <v>1221</v>
      </c>
    </row>
    <row r="620" ht="14.399999999999999" customHeight="1">
      <c r="A620" s="23" t="s">
        <v>1222</v>
      </c>
      <c r="B620" s="23" t="s">
        <v>1223</v>
      </c>
    </row>
    <row r="621" ht="14.399999999999999" customHeight="1">
      <c r="A621" s="23" t="s">
        <v>1224</v>
      </c>
      <c r="B621" s="23" t="s">
        <v>1225</v>
      </c>
    </row>
    <row r="622" ht="14.399999999999999" customHeight="1">
      <c r="A622" s="23" t="s">
        <v>1226</v>
      </c>
      <c r="B622" s="23" t="s">
        <v>1227</v>
      </c>
    </row>
    <row r="623" ht="14.399999999999999" customHeight="1">
      <c r="A623" s="23" t="s">
        <v>666</v>
      </c>
      <c r="B623" s="23" t="s">
        <v>1228</v>
      </c>
    </row>
    <row r="624" ht="14.399999999999999" customHeight="1">
      <c r="A624" s="23" t="s">
        <v>1229</v>
      </c>
      <c r="B624" s="23" t="s">
        <v>1230</v>
      </c>
    </row>
    <row r="625" ht="14.399999999999999" customHeight="1">
      <c r="A625" s="23" t="s">
        <v>1231</v>
      </c>
      <c r="B625" s="23" t="s">
        <v>1232</v>
      </c>
    </row>
    <row r="626" ht="14.399999999999999" customHeight="1">
      <c r="A626" s="23" t="s">
        <v>1233</v>
      </c>
      <c r="B626" s="23" t="s">
        <v>1234</v>
      </c>
    </row>
    <row r="627" ht="14.399999999999999" customHeight="1">
      <c r="A627" s="23" t="s">
        <v>1235</v>
      </c>
      <c r="B627" s="23" t="s">
        <v>1236</v>
      </c>
    </row>
    <row r="628" ht="14.399999999999999" customHeight="1">
      <c r="A628" s="23" t="s">
        <v>586</v>
      </c>
      <c r="B628" s="23" t="s">
        <v>1237</v>
      </c>
    </row>
    <row r="629" ht="14.399999999999999" customHeight="1">
      <c r="A629" s="23" t="s">
        <v>1238</v>
      </c>
      <c r="B629" s="23" t="s">
        <v>1239</v>
      </c>
    </row>
    <row r="630" ht="14.399999999999999" customHeight="1">
      <c r="A630" s="23" t="s">
        <v>1240</v>
      </c>
      <c r="B630" s="23" t="s">
        <v>1241</v>
      </c>
    </row>
    <row r="631" ht="14.399999999999999" customHeight="1">
      <c r="A631" s="23" t="s">
        <v>1242</v>
      </c>
      <c r="B631" s="23" t="s">
        <v>1243</v>
      </c>
    </row>
    <row r="632" ht="14.399999999999999" customHeight="1">
      <c r="A632" s="23" t="s">
        <v>1244</v>
      </c>
      <c r="B632" s="23" t="s">
        <v>1245</v>
      </c>
    </row>
    <row r="633" ht="14.399999999999999" customHeight="1">
      <c r="A633" s="23" t="s">
        <v>1246</v>
      </c>
      <c r="B633" s="23" t="s">
        <v>1247</v>
      </c>
    </row>
    <row r="634" ht="14.399999999999999" customHeight="1">
      <c r="A634" s="23" t="s">
        <v>1248</v>
      </c>
      <c r="B634" s="23" t="s">
        <v>1249</v>
      </c>
    </row>
    <row r="635" ht="14.399999999999999" customHeight="1">
      <c r="A635" s="23" t="s">
        <v>1250</v>
      </c>
      <c r="B635" s="23" t="s">
        <v>1251</v>
      </c>
    </row>
    <row r="636" ht="14.399999999999999" customHeight="1">
      <c r="A636" s="23" t="s">
        <v>1252</v>
      </c>
      <c r="B636" s="23" t="s">
        <v>1253</v>
      </c>
    </row>
    <row r="637" ht="14.399999999999999" customHeight="1">
      <c r="A637" s="23" t="s">
        <v>1254</v>
      </c>
      <c r="B637" s="23" t="s">
        <v>1255</v>
      </c>
    </row>
    <row r="638" ht="14.399999999999999" customHeight="1">
      <c r="A638" s="23" t="s">
        <v>1256</v>
      </c>
      <c r="B638" s="23" t="s">
        <v>1257</v>
      </c>
    </row>
    <row r="639" ht="14.399999999999999" customHeight="1">
      <c r="A639" s="23" t="s">
        <v>1258</v>
      </c>
      <c r="B639" s="19" t="s">
        <v>1259</v>
      </c>
    </row>
    <row r="640" ht="14.399999999999999" customHeight="1">
      <c r="A640" s="23" t="s">
        <v>1260</v>
      </c>
      <c r="B640" s="23" t="s">
        <v>1261</v>
      </c>
    </row>
    <row r="641" ht="14.399999999999999" customHeight="1">
      <c r="A641" s="23" t="s">
        <v>1262</v>
      </c>
      <c r="B641" s="23" t="s">
        <v>1263</v>
      </c>
    </row>
    <row r="642" ht="14.399999999999999" customHeight="1">
      <c r="A642" s="23" t="s">
        <v>1264</v>
      </c>
      <c r="B642" s="23" t="s">
        <v>1265</v>
      </c>
    </row>
    <row r="643" ht="14.399999999999999" customHeight="1">
      <c r="A643" s="23" t="s">
        <v>1266</v>
      </c>
      <c r="B643" s="23" t="s">
        <v>1267</v>
      </c>
    </row>
    <row r="644" ht="14.399999999999999" customHeight="1">
      <c r="A644" s="23" t="s">
        <v>1268</v>
      </c>
      <c r="B644" s="23" t="s">
        <v>1269</v>
      </c>
    </row>
    <row r="645" ht="14.399999999999999" customHeight="1">
      <c r="A645" s="23" t="s">
        <v>1270</v>
      </c>
      <c r="B645" s="23" t="s">
        <v>1271</v>
      </c>
    </row>
    <row r="646" ht="14.399999999999999" customHeight="1">
      <c r="A646" s="23" t="s">
        <v>1272</v>
      </c>
      <c r="B646" s="23" t="s">
        <v>1273</v>
      </c>
    </row>
    <row r="647" ht="14.399999999999999" customHeight="1">
      <c r="A647" s="23" t="s">
        <v>1274</v>
      </c>
      <c r="B647" s="23" t="s">
        <v>1275</v>
      </c>
    </row>
    <row r="648" ht="14.399999999999999" customHeight="1">
      <c r="A648" s="23" t="s">
        <v>1276</v>
      </c>
      <c r="B648" s="23" t="s">
        <v>1277</v>
      </c>
    </row>
    <row r="649" ht="14.399999999999999" customHeight="1">
      <c r="A649" s="23" t="s">
        <v>1278</v>
      </c>
      <c r="B649" s="23" t="s">
        <v>1279</v>
      </c>
    </row>
    <row r="650" ht="14.399999999999999" customHeight="1">
      <c r="A650" s="23" t="s">
        <v>1280</v>
      </c>
      <c r="B650" s="23" t="s">
        <v>1281</v>
      </c>
    </row>
    <row r="651" ht="14.399999999999999" customHeight="1">
      <c r="A651" s="23" t="s">
        <v>1282</v>
      </c>
      <c r="B651" s="23" t="s">
        <v>1283</v>
      </c>
    </row>
    <row r="652" ht="14.399999999999999" customHeight="1">
      <c r="A652" s="23" t="s">
        <v>1284</v>
      </c>
      <c r="B652" s="23" t="s">
        <v>1285</v>
      </c>
    </row>
    <row r="653" ht="14.399999999999999" customHeight="1">
      <c r="A653" s="23" t="s">
        <v>1286</v>
      </c>
      <c r="B653" s="23" t="s">
        <v>1287</v>
      </c>
    </row>
    <row r="654" ht="14.399999999999999" customHeight="1">
      <c r="A654" s="23" t="s">
        <v>1288</v>
      </c>
      <c r="B654" s="23" t="s">
        <v>1289</v>
      </c>
    </row>
    <row r="655" ht="14.399999999999999" customHeight="1">
      <c r="A655" s="23" t="s">
        <v>1290</v>
      </c>
      <c r="B655" s="23" t="s">
        <v>1291</v>
      </c>
    </row>
    <row r="656" ht="14.399999999999999" customHeight="1">
      <c r="A656" s="23" t="s">
        <v>1292</v>
      </c>
      <c r="B656" s="23" t="s">
        <v>1293</v>
      </c>
    </row>
    <row r="657" ht="14.399999999999999" customHeight="1">
      <c r="A657" s="23" t="s">
        <v>1294</v>
      </c>
      <c r="B657" s="23" t="s">
        <v>1295</v>
      </c>
    </row>
    <row r="658" ht="14.399999999999999" customHeight="1">
      <c r="A658" s="23" t="s">
        <v>1296</v>
      </c>
      <c r="B658" s="23" t="s">
        <v>1297</v>
      </c>
    </row>
    <row r="659" ht="14.399999999999999" customHeight="1">
      <c r="A659" s="23" t="s">
        <v>1298</v>
      </c>
      <c r="B659" s="23" t="s">
        <v>1299</v>
      </c>
    </row>
    <row r="660" ht="14.399999999999999" customHeight="1">
      <c r="A660" s="23" t="s">
        <v>1300</v>
      </c>
      <c r="B660" s="23" t="s">
        <v>1301</v>
      </c>
    </row>
    <row r="661" ht="14.399999999999999" customHeight="1">
      <c r="A661" s="23" t="s">
        <v>1302</v>
      </c>
      <c r="B661" s="23" t="s">
        <v>1303</v>
      </c>
    </row>
    <row r="662" ht="14.399999999999999" customHeight="1">
      <c r="A662" s="23" t="s">
        <v>1304</v>
      </c>
      <c r="B662" s="23" t="s">
        <v>1305</v>
      </c>
    </row>
    <row r="663" ht="14.399999999999999" customHeight="1">
      <c r="A663" s="23" t="s">
        <v>1306</v>
      </c>
      <c r="B663" s="23" t="s">
        <v>1307</v>
      </c>
    </row>
    <row r="664" ht="14.399999999999999" customHeight="1">
      <c r="A664" s="23" t="s">
        <v>1308</v>
      </c>
      <c r="B664" s="23" t="s">
        <v>1309</v>
      </c>
    </row>
    <row r="665" ht="14.399999999999999" customHeight="1">
      <c r="A665" s="23" t="s">
        <v>1310</v>
      </c>
      <c r="B665" s="23" t="s">
        <v>1311</v>
      </c>
    </row>
    <row r="666" s="28" customFormat="1" ht="14.399999999999999" customHeight="1">
      <c r="A666" s="29" t="s">
        <v>1312</v>
      </c>
      <c r="B666" s="29" t="s">
        <v>1313</v>
      </c>
    </row>
    <row r="667" s="28" customFormat="1" ht="14.399999999999999" customHeight="1">
      <c r="A667" s="29" t="s">
        <v>1314</v>
      </c>
      <c r="B667" s="29" t="s">
        <v>1315</v>
      </c>
    </row>
    <row r="668" ht="14.399999999999999" customHeight="1">
      <c r="A668" s="23" t="s">
        <v>1316</v>
      </c>
      <c r="B668" s="23" t="s">
        <v>1317</v>
      </c>
    </row>
    <row r="669" ht="14.399999999999999" customHeight="1">
      <c r="A669" s="23" t="s">
        <v>1318</v>
      </c>
      <c r="B669" s="23" t="s">
        <v>1319</v>
      </c>
    </row>
    <row r="670" ht="14.399999999999999" customHeight="1">
      <c r="A670" s="23" t="s">
        <v>1320</v>
      </c>
      <c r="B670" s="23" t="s">
        <v>1321</v>
      </c>
    </row>
    <row r="671" ht="14.399999999999999" customHeight="1">
      <c r="A671" s="23" t="s">
        <v>1322</v>
      </c>
      <c r="B671" s="23" t="s">
        <v>1323</v>
      </c>
    </row>
    <row r="672" ht="14.399999999999999" customHeight="1">
      <c r="A672" s="23" t="s">
        <v>1324</v>
      </c>
      <c r="B672" s="23" t="s">
        <v>1325</v>
      </c>
    </row>
    <row r="673" ht="14.399999999999999" customHeight="1">
      <c r="A673" s="23" t="s">
        <v>1326</v>
      </c>
      <c r="B673" s="23" t="s">
        <v>1327</v>
      </c>
    </row>
    <row r="674" ht="14.399999999999999" customHeight="1">
      <c r="A674" s="23" t="s">
        <v>1328</v>
      </c>
      <c r="B674" s="23" t="s">
        <v>1329</v>
      </c>
    </row>
    <row r="675" ht="14.399999999999999" customHeight="1">
      <c r="A675" s="23" t="s">
        <v>1330</v>
      </c>
      <c r="B675" s="23" t="s">
        <v>1331</v>
      </c>
    </row>
    <row r="676" ht="14.399999999999999" customHeight="1">
      <c r="A676" s="23" t="s">
        <v>1332</v>
      </c>
      <c r="B676" s="23" t="s">
        <v>1333</v>
      </c>
    </row>
    <row r="677" ht="14.399999999999999" customHeight="1">
      <c r="A677" s="23" t="s">
        <v>1334</v>
      </c>
      <c r="B677" s="23" t="s">
        <v>1335</v>
      </c>
    </row>
    <row r="678" ht="14.399999999999999" customHeight="1">
      <c r="A678" s="23" t="s">
        <v>1336</v>
      </c>
      <c r="B678" s="23" t="s">
        <v>1337</v>
      </c>
    </row>
    <row r="679" ht="14.399999999999999" customHeight="1">
      <c r="A679" s="23" t="s">
        <v>1338</v>
      </c>
      <c r="B679" s="23" t="s">
        <v>1339</v>
      </c>
    </row>
    <row r="680" ht="14.399999999999999" customHeight="1">
      <c r="A680" s="23" t="s">
        <v>1340</v>
      </c>
      <c r="B680" s="23" t="s">
        <v>1341</v>
      </c>
    </row>
    <row r="681" ht="14.399999999999999" customHeight="1">
      <c r="A681" s="23" t="s">
        <v>1342</v>
      </c>
      <c r="B681" s="23" t="s">
        <v>1343</v>
      </c>
    </row>
    <row r="682" ht="14.399999999999999" customHeight="1">
      <c r="A682" s="23" t="s">
        <v>1344</v>
      </c>
      <c r="B682" s="23" t="s">
        <v>1345</v>
      </c>
    </row>
    <row r="683" ht="14.399999999999999" customHeight="1">
      <c r="A683" s="23" t="s">
        <v>1346</v>
      </c>
      <c r="B683" s="23" t="s">
        <v>1347</v>
      </c>
    </row>
    <row r="684" ht="14.399999999999999" customHeight="1">
      <c r="A684" s="23" t="s">
        <v>1348</v>
      </c>
      <c r="B684" s="23" t="s">
        <v>1349</v>
      </c>
    </row>
    <row r="685" ht="14.399999999999999" customHeight="1">
      <c r="A685" s="23" t="s">
        <v>1350</v>
      </c>
      <c r="B685" s="23" t="s">
        <v>1351</v>
      </c>
    </row>
    <row r="686" ht="14.399999999999999" customHeight="1">
      <c r="A686" s="23" t="s">
        <v>1352</v>
      </c>
      <c r="B686" s="23" t="s">
        <v>1353</v>
      </c>
    </row>
    <row r="687" ht="14.399999999999999" customHeight="1">
      <c r="A687" s="23" t="s">
        <v>1354</v>
      </c>
      <c r="B687" s="23" t="s">
        <v>1355</v>
      </c>
    </row>
    <row r="688" ht="14.399999999999999" customHeight="1">
      <c r="A688" s="23" t="s">
        <v>1356</v>
      </c>
      <c r="B688" s="23" t="s">
        <v>1357</v>
      </c>
    </row>
    <row r="689" ht="14.399999999999999" customHeight="1">
      <c r="A689" s="23" t="s">
        <v>1358</v>
      </c>
      <c r="B689" s="23" t="s">
        <v>1359</v>
      </c>
    </row>
    <row r="690" ht="14.399999999999999" customHeight="1">
      <c r="A690" s="23" t="s">
        <v>1360</v>
      </c>
      <c r="B690" s="23" t="s">
        <v>1361</v>
      </c>
    </row>
    <row r="691" ht="14.399999999999999" customHeight="1">
      <c r="A691" s="23" t="s">
        <v>1362</v>
      </c>
      <c r="B691" s="23" t="s">
        <v>1363</v>
      </c>
    </row>
    <row r="692" ht="14.399999999999999" customHeight="1">
      <c r="A692" s="29" t="s">
        <v>1364</v>
      </c>
      <c r="B692" s="23" t="s">
        <v>1365</v>
      </c>
    </row>
    <row r="693" ht="14.399999999999999" customHeight="1">
      <c r="A693" s="29" t="s">
        <v>1366</v>
      </c>
      <c r="B693" s="23" t="s">
        <v>1367</v>
      </c>
    </row>
    <row r="694" ht="14.399999999999999" customHeight="1">
      <c r="A694" s="29" t="s">
        <v>1368</v>
      </c>
      <c r="B694" s="23" t="s">
        <v>1369</v>
      </c>
    </row>
    <row r="695" s="28" customFormat="1" ht="14.399999999999999" customHeight="1">
      <c r="A695" s="29" t="s">
        <v>1370</v>
      </c>
      <c r="B695" s="29" t="s">
        <v>1371</v>
      </c>
    </row>
    <row r="696" s="28" customFormat="1" ht="14.399999999999999" customHeight="1">
      <c r="A696" s="29" t="s">
        <v>1372</v>
      </c>
      <c r="B696" s="29" t="s">
        <v>1373</v>
      </c>
    </row>
    <row r="697" s="28" customFormat="1" ht="14.399999999999999" customHeight="1">
      <c r="A697" s="29" t="s">
        <v>658</v>
      </c>
      <c r="B697" s="29" t="s">
        <v>1374</v>
      </c>
    </row>
    <row r="698" s="28" customFormat="1" ht="14.399999999999999" customHeight="1">
      <c r="A698" s="29" t="s">
        <v>1375</v>
      </c>
      <c r="B698" s="29" t="s">
        <v>1376</v>
      </c>
    </row>
    <row r="699" s="28" customFormat="1" ht="14.399999999999999" customHeight="1">
      <c r="A699" s="29" t="s">
        <v>1377</v>
      </c>
      <c r="B699" s="29" t="s">
        <v>1378</v>
      </c>
    </row>
    <row r="700" s="28" customFormat="1" ht="14.399999999999999" customHeight="1">
      <c r="A700" s="29" t="s">
        <v>1379</v>
      </c>
      <c r="B700" s="29" t="s">
        <v>1380</v>
      </c>
    </row>
    <row r="701" s="28" customFormat="1" ht="14.399999999999999" customHeight="1">
      <c r="A701" s="29" t="s">
        <v>1381</v>
      </c>
      <c r="B701" s="29" t="s">
        <v>1382</v>
      </c>
    </row>
    <row r="702" s="28" customFormat="1" ht="14.399999999999999" customHeight="1">
      <c r="A702" s="29" t="s">
        <v>1383</v>
      </c>
      <c r="B702" s="29" t="s">
        <v>1384</v>
      </c>
    </row>
    <row r="703" s="28" customFormat="1" ht="14.399999999999999" customHeight="1">
      <c r="A703" s="29" t="s">
        <v>1385</v>
      </c>
      <c r="B703" s="29" t="s">
        <v>1386</v>
      </c>
    </row>
    <row r="704" s="28" customFormat="1" ht="14.399999999999999" customHeight="1">
      <c r="A704" s="29" t="s">
        <v>1387</v>
      </c>
      <c r="B704" s="29" t="s">
        <v>1388</v>
      </c>
    </row>
    <row r="705" s="28" customFormat="1" ht="14.399999999999999" customHeight="1">
      <c r="A705" s="29" t="s">
        <v>1389</v>
      </c>
      <c r="B705" s="29" t="s">
        <v>1390</v>
      </c>
    </row>
    <row r="706" s="28" customFormat="1" ht="14.399999999999999" customHeight="1">
      <c r="A706" s="29" t="s">
        <v>1391</v>
      </c>
      <c r="B706" s="29" t="s">
        <v>1392</v>
      </c>
    </row>
    <row r="707" s="28" customFormat="1" ht="14.399999999999999" customHeight="1">
      <c r="A707" s="29" t="s">
        <v>1393</v>
      </c>
      <c r="B707" s="29" t="s">
        <v>1394</v>
      </c>
    </row>
    <row r="708" s="28" customFormat="1" ht="14.399999999999999" customHeight="1">
      <c r="A708" s="29" t="s">
        <v>1395</v>
      </c>
      <c r="B708" s="29" t="s">
        <v>1396</v>
      </c>
    </row>
    <row r="709" s="28" customFormat="1" ht="14.399999999999999" customHeight="1">
      <c r="A709" s="29" t="s">
        <v>1397</v>
      </c>
      <c r="B709" s="29" t="s">
        <v>1398</v>
      </c>
    </row>
    <row r="710" s="28" customFormat="1" ht="14.399999999999999" customHeight="1">
      <c r="A710" s="29" t="s">
        <v>1399</v>
      </c>
      <c r="B710" s="29" t="s">
        <v>1400</v>
      </c>
    </row>
    <row r="711" s="28" customFormat="1" ht="14.399999999999999" customHeight="1">
      <c r="A711" s="29" t="s">
        <v>1401</v>
      </c>
      <c r="B711" s="29" t="s">
        <v>1402</v>
      </c>
    </row>
    <row r="712" s="28" customFormat="1" ht="14.399999999999999" customHeight="1">
      <c r="A712" s="29" t="s">
        <v>1403</v>
      </c>
      <c r="B712" s="29" t="s">
        <v>1404</v>
      </c>
    </row>
    <row r="713" s="28" customFormat="1" ht="14.399999999999999" customHeight="1">
      <c r="A713" s="29" t="s">
        <v>1405</v>
      </c>
      <c r="B713" s="29" t="s">
        <v>1406</v>
      </c>
    </row>
    <row r="714" s="28" customFormat="1" ht="14.399999999999999" customHeight="1">
      <c r="A714" s="29" t="s">
        <v>1407</v>
      </c>
      <c r="B714" s="29" t="s">
        <v>1408</v>
      </c>
    </row>
    <row r="715" s="28" customFormat="1" ht="14.399999999999999" customHeight="1">
      <c r="A715" s="29" t="s">
        <v>1409</v>
      </c>
      <c r="B715" s="29" t="s">
        <v>1410</v>
      </c>
    </row>
    <row r="716" s="28" customFormat="1" ht="14.399999999999999" customHeight="1">
      <c r="A716" s="29" t="s">
        <v>1411</v>
      </c>
      <c r="B716" s="29" t="s">
        <v>1412</v>
      </c>
    </row>
    <row r="717" s="28" customFormat="1" ht="14.399999999999999" customHeight="1">
      <c r="A717" s="29" t="s">
        <v>1413</v>
      </c>
      <c r="B717" s="29" t="s">
        <v>1414</v>
      </c>
    </row>
    <row r="718" s="28" customFormat="1" ht="14.399999999999999" customHeight="1">
      <c r="A718" s="29" t="s">
        <v>1415</v>
      </c>
      <c r="B718" s="29" t="s">
        <v>1416</v>
      </c>
    </row>
    <row r="719" s="28" customFormat="1" ht="14.399999999999999" customHeight="1">
      <c r="A719" s="29" t="s">
        <v>1417</v>
      </c>
      <c r="B719" s="29" t="s">
        <v>1418</v>
      </c>
    </row>
    <row r="720" s="28" customFormat="1" ht="14.399999999999999" customHeight="1">
      <c r="A720" s="29" t="s">
        <v>1419</v>
      </c>
      <c r="B720" s="29" t="s">
        <v>1420</v>
      </c>
    </row>
    <row r="721" s="28" customFormat="1" ht="14.399999999999999" customHeight="1">
      <c r="A721" s="29" t="s">
        <v>1421</v>
      </c>
      <c r="B721" s="29" t="s">
        <v>1422</v>
      </c>
    </row>
    <row r="722" s="28" customFormat="1" ht="14.399999999999999" customHeight="1">
      <c r="A722" s="29" t="s">
        <v>1423</v>
      </c>
      <c r="B722" s="29" t="s">
        <v>1424</v>
      </c>
    </row>
    <row r="723" s="28" customFormat="1" ht="14.399999999999999" customHeight="1">
      <c r="A723" s="29" t="s">
        <v>1425</v>
      </c>
      <c r="B723" s="29" t="s">
        <v>1426</v>
      </c>
    </row>
    <row r="724" ht="14.399999999999999" customHeight="1">
      <c r="A724" s="23" t="s">
        <v>1427</v>
      </c>
      <c r="B724" s="23" t="s">
        <v>1428</v>
      </c>
    </row>
    <row r="725" s="28" customFormat="1" ht="14.399999999999999" customHeight="1">
      <c r="A725" s="29" t="s">
        <v>1429</v>
      </c>
      <c r="B725" s="29" t="s">
        <v>1430</v>
      </c>
    </row>
    <row r="726" s="28" customFormat="1" ht="14.399999999999999" customHeight="1">
      <c r="A726" s="29" t="s">
        <v>1431</v>
      </c>
      <c r="B726" s="29" t="s">
        <v>1432</v>
      </c>
    </row>
    <row r="727" s="28" customFormat="1" ht="14.399999999999999" customHeight="1">
      <c r="A727" s="29" t="s">
        <v>1433</v>
      </c>
      <c r="B727" s="29" t="s">
        <v>1434</v>
      </c>
    </row>
    <row r="728" s="28" customFormat="1" ht="14.399999999999999" customHeight="1">
      <c r="A728" s="29" t="s">
        <v>1435</v>
      </c>
      <c r="B728" s="29" t="s">
        <v>1436</v>
      </c>
    </row>
    <row r="729" s="28" customFormat="1" ht="14.399999999999999" customHeight="1">
      <c r="A729" s="29" t="s">
        <v>1437</v>
      </c>
      <c r="B729" s="29" t="s">
        <v>1438</v>
      </c>
    </row>
    <row r="730" s="28" customFormat="1" ht="14.399999999999999" customHeight="1">
      <c r="A730" s="29" t="s">
        <v>1439</v>
      </c>
      <c r="B730" s="29" t="s">
        <v>1440</v>
      </c>
    </row>
    <row r="731" s="28" customFormat="1" ht="14.399999999999999" customHeight="1">
      <c r="A731" s="29" t="s">
        <v>1441</v>
      </c>
      <c r="B731" s="29" t="s">
        <v>1442</v>
      </c>
    </row>
    <row r="732" s="28" customFormat="1" ht="14.399999999999999" customHeight="1">
      <c r="A732" s="29" t="s">
        <v>1443</v>
      </c>
      <c r="B732" s="29" t="s">
        <v>1444</v>
      </c>
    </row>
    <row r="733" s="28" customFormat="1" ht="14.399999999999999" customHeight="1">
      <c r="A733" s="29" t="s">
        <v>1445</v>
      </c>
      <c r="B733" s="29" t="s">
        <v>1446</v>
      </c>
    </row>
    <row r="734" s="28" customFormat="1" ht="14.399999999999999" customHeight="1">
      <c r="A734" s="29" t="s">
        <v>1447</v>
      </c>
      <c r="B734" s="29" t="s">
        <v>1448</v>
      </c>
    </row>
    <row r="735" s="28" customFormat="1" ht="14.399999999999999" customHeight="1">
      <c r="A735" s="29" t="s">
        <v>1449</v>
      </c>
      <c r="B735" s="29" t="s">
        <v>1450</v>
      </c>
    </row>
    <row r="736" s="28" customFormat="1" ht="14.399999999999999" customHeight="1">
      <c r="A736" s="29" t="s">
        <v>1451</v>
      </c>
      <c r="B736" s="29" t="s">
        <v>1452</v>
      </c>
    </row>
    <row r="737" s="28" customFormat="1" ht="14.399999999999999" customHeight="1">
      <c r="A737" s="29" t="s">
        <v>1453</v>
      </c>
      <c r="B737" s="29" t="s">
        <v>1454</v>
      </c>
    </row>
    <row r="738" s="28" customFormat="1" ht="14.399999999999999" customHeight="1">
      <c r="A738" s="29" t="s">
        <v>1455</v>
      </c>
      <c r="B738" s="29" t="s">
        <v>1456</v>
      </c>
    </row>
    <row r="739" s="28" customFormat="1" ht="14.399999999999999" customHeight="1">
      <c r="A739" s="29" t="s">
        <v>1457</v>
      </c>
      <c r="B739" s="29" t="s">
        <v>1458</v>
      </c>
    </row>
    <row r="740" s="28" customFormat="1" ht="14.399999999999999" customHeight="1">
      <c r="A740" s="29" t="s">
        <v>1459</v>
      </c>
      <c r="B740" s="29" t="s">
        <v>1460</v>
      </c>
    </row>
    <row r="741" s="28" customFormat="1" ht="14.399999999999999" customHeight="1">
      <c r="A741" s="29" t="s">
        <v>1461</v>
      </c>
      <c r="B741" s="29" t="s">
        <v>1462</v>
      </c>
    </row>
    <row r="742" s="28" customFormat="1" ht="14.399999999999999" customHeight="1">
      <c r="A742" s="29" t="s">
        <v>1463</v>
      </c>
      <c r="B742" s="29" t="s">
        <v>1464</v>
      </c>
    </row>
    <row r="743" s="28" customFormat="1" ht="14.399999999999999" customHeight="1">
      <c r="A743" s="29" t="s">
        <v>1465</v>
      </c>
      <c r="B743" s="29" t="s">
        <v>1466</v>
      </c>
    </row>
    <row r="744" s="28" customFormat="1" ht="14.399999999999999" customHeight="1">
      <c r="A744" s="29" t="s">
        <v>1467</v>
      </c>
      <c r="B744" s="29" t="s">
        <v>1468</v>
      </c>
    </row>
    <row r="745" s="28" customFormat="1" ht="14.399999999999999" customHeight="1">
      <c r="A745" s="29" t="s">
        <v>1469</v>
      </c>
      <c r="B745" s="29" t="s">
        <v>1470</v>
      </c>
    </row>
    <row r="746" s="28" customFormat="1" ht="14.399999999999999" customHeight="1">
      <c r="A746" s="29" t="s">
        <v>1471</v>
      </c>
      <c r="B746" s="29" t="s">
        <v>1472</v>
      </c>
    </row>
    <row r="747" s="28" customFormat="1" ht="14.399999999999999" customHeight="1">
      <c r="A747" s="29" t="s">
        <v>1473</v>
      </c>
      <c r="B747" s="29" t="s">
        <v>267</v>
      </c>
    </row>
    <row r="748" s="28" customFormat="1" ht="14.399999999999999" customHeight="1">
      <c r="A748" s="29" t="s">
        <v>1474</v>
      </c>
      <c r="B748" s="29" t="s">
        <v>1475</v>
      </c>
    </row>
    <row r="749" ht="14.399999999999999" customHeight="1">
      <c r="A749" s="23" t="s">
        <v>1476</v>
      </c>
      <c r="B749" s="23" t="s">
        <v>1477</v>
      </c>
    </row>
    <row r="750" ht="14.399999999999999" customHeight="1">
      <c r="A750" s="23" t="s">
        <v>1478</v>
      </c>
      <c r="B750" s="23" t="s">
        <v>1479</v>
      </c>
    </row>
    <row r="751" s="28" customFormat="1" ht="14.399999999999999" customHeight="1">
      <c r="A751" s="29" t="s">
        <v>1480</v>
      </c>
      <c r="B751" s="29" t="s">
        <v>1481</v>
      </c>
    </row>
    <row r="752" s="28" customFormat="1" ht="14.399999999999999" customHeight="1">
      <c r="A752" s="29" t="s">
        <v>1482</v>
      </c>
      <c r="B752" s="29" t="s">
        <v>1483</v>
      </c>
    </row>
    <row r="753" s="28" customFormat="1" ht="14.399999999999999" customHeight="1">
      <c r="A753" s="29" t="s">
        <v>1484</v>
      </c>
      <c r="B753" s="29" t="s">
        <v>1485</v>
      </c>
    </row>
    <row r="754" ht="14.399999999999999" customHeight="1">
      <c r="A754" s="23" t="s">
        <v>1486</v>
      </c>
      <c r="B754" s="23" t="s">
        <v>1487</v>
      </c>
    </row>
    <row r="755" ht="14.399999999999999" customHeight="1">
      <c r="A755" s="23" t="s">
        <v>1488</v>
      </c>
      <c r="B755" s="23" t="s">
        <v>1489</v>
      </c>
    </row>
    <row r="756" ht="14.399999999999999" customHeight="1">
      <c r="A756" s="23" t="s">
        <v>1490</v>
      </c>
      <c r="B756" s="23" t="s">
        <v>1491</v>
      </c>
    </row>
    <row r="757" ht="14.399999999999999" customHeight="1">
      <c r="A757" s="23" t="s">
        <v>1492</v>
      </c>
      <c r="B757" s="23" t="s">
        <v>1493</v>
      </c>
    </row>
    <row r="758" ht="14.399999999999999" customHeight="1">
      <c r="A758" s="23" t="s">
        <v>1494</v>
      </c>
      <c r="B758" s="23" t="s">
        <v>1495</v>
      </c>
    </row>
    <row r="759" ht="14.399999999999999" customHeight="1">
      <c r="A759" s="23" t="s">
        <v>1496</v>
      </c>
      <c r="B759" s="23" t="s">
        <v>1497</v>
      </c>
    </row>
    <row r="760" ht="14.399999999999999" customHeight="1">
      <c r="A760" s="23" t="s">
        <v>1498</v>
      </c>
      <c r="B760" s="23" t="s">
        <v>39</v>
      </c>
    </row>
    <row r="761" ht="14.399999999999999" customHeight="1">
      <c r="A761" s="23" t="s">
        <v>1499</v>
      </c>
      <c r="B761" s="23" t="s">
        <v>1500</v>
      </c>
    </row>
    <row r="762" ht="14.399999999999999" customHeight="1">
      <c r="A762" s="23" t="s">
        <v>1501</v>
      </c>
      <c r="B762" s="23" t="s">
        <v>1502</v>
      </c>
    </row>
    <row r="763" ht="14.399999999999999" customHeight="1">
      <c r="A763" s="23" t="s">
        <v>1503</v>
      </c>
      <c r="B763" s="23" t="s">
        <v>1504</v>
      </c>
    </row>
    <row r="764" ht="14.399999999999999" customHeight="1">
      <c r="A764" s="23" t="s">
        <v>1505</v>
      </c>
      <c r="B764" s="23" t="s">
        <v>1506</v>
      </c>
    </row>
    <row r="765" ht="14.399999999999999" customHeight="1">
      <c r="A765" s="23" t="s">
        <v>1507</v>
      </c>
      <c r="B765" s="23" t="s">
        <v>1508</v>
      </c>
    </row>
    <row r="766" s="28" customFormat="1" ht="14.399999999999999" customHeight="1">
      <c r="A766" s="29" t="s">
        <v>1509</v>
      </c>
      <c r="B766" s="29" t="s">
        <v>1510</v>
      </c>
    </row>
    <row r="767" ht="14.399999999999999" customHeight="1">
      <c r="A767" s="23" t="s">
        <v>1511</v>
      </c>
      <c r="B767" s="23" t="s">
        <v>1512</v>
      </c>
    </row>
    <row r="768" ht="14.399999999999999" customHeight="1">
      <c r="A768" s="23" t="s">
        <v>1513</v>
      </c>
      <c r="B768" s="23" t="s">
        <v>1513</v>
      </c>
    </row>
    <row r="769" ht="14.399999999999999" customHeight="1">
      <c r="A769" s="23" t="s">
        <v>1514</v>
      </c>
      <c r="B769" s="23" t="s">
        <v>1515</v>
      </c>
    </row>
    <row r="770" s="28" customFormat="1" ht="14.399999999999999" customHeight="1">
      <c r="A770" s="29" t="s">
        <v>1516</v>
      </c>
      <c r="B770" s="29" t="s">
        <v>1517</v>
      </c>
    </row>
    <row r="771" ht="14.399999999999999" customHeight="1">
      <c r="A771" s="23" t="s">
        <v>1518</v>
      </c>
      <c r="B771" s="23" t="s">
        <v>1519</v>
      </c>
    </row>
    <row r="772" s="28" customFormat="1" ht="14.399999999999999" customHeight="1">
      <c r="A772" s="29" t="s">
        <v>1520</v>
      </c>
      <c r="B772" s="29" t="s">
        <v>1521</v>
      </c>
    </row>
    <row r="773" ht="14.399999999999999" customHeight="1">
      <c r="A773" s="23" t="s">
        <v>1522</v>
      </c>
      <c r="B773" s="23" t="s">
        <v>1523</v>
      </c>
    </row>
    <row r="774" ht="14.399999999999999" customHeight="1">
      <c r="A774" s="23" t="s">
        <v>1524</v>
      </c>
      <c r="B774" s="23" t="s">
        <v>1525</v>
      </c>
    </row>
    <row r="775" s="28" customFormat="1" ht="14.399999999999999" customHeight="1">
      <c r="A775" s="29" t="s">
        <v>1526</v>
      </c>
      <c r="B775" s="29" t="s">
        <v>1527</v>
      </c>
    </row>
    <row r="776" ht="14.399999999999999" customHeight="1">
      <c r="A776" s="23" t="s">
        <v>1528</v>
      </c>
      <c r="B776" s="23" t="s">
        <v>1529</v>
      </c>
    </row>
    <row r="777" ht="14.399999999999999" customHeight="1">
      <c r="A777" s="23" t="s">
        <v>1530</v>
      </c>
      <c r="B777" s="23" t="s">
        <v>1531</v>
      </c>
    </row>
    <row r="778" s="28" customFormat="1" ht="14.399999999999999" customHeight="1">
      <c r="A778" s="29" t="s">
        <v>1532</v>
      </c>
      <c r="B778" s="29" t="s">
        <v>1533</v>
      </c>
    </row>
    <row r="779" ht="14.399999999999999" customHeight="1">
      <c r="A779" s="23" t="s">
        <v>1534</v>
      </c>
      <c r="B779" s="23" t="s">
        <v>1535</v>
      </c>
    </row>
    <row r="780" s="28" customFormat="1" ht="14.399999999999999" customHeight="1">
      <c r="A780" s="29" t="s">
        <v>1536</v>
      </c>
      <c r="B780" s="29" t="s">
        <v>1537</v>
      </c>
    </row>
    <row r="781" ht="14.399999999999999" customHeight="1">
      <c r="A781" s="23" t="s">
        <v>1538</v>
      </c>
      <c r="B781" s="23" t="s">
        <v>1539</v>
      </c>
    </row>
    <row r="782" ht="14.399999999999999" customHeight="1">
      <c r="A782" s="23" t="s">
        <v>1540</v>
      </c>
      <c r="B782" s="23" t="s">
        <v>1541</v>
      </c>
    </row>
    <row r="783" ht="14.399999999999999" customHeight="1">
      <c r="A783" s="23" t="s">
        <v>660</v>
      </c>
      <c r="B783" s="23" t="s">
        <v>1542</v>
      </c>
    </row>
    <row r="784" ht="14.399999999999999" customHeight="1">
      <c r="A784" s="23" t="s">
        <v>1543</v>
      </c>
      <c r="B784" s="23" t="s">
        <v>1544</v>
      </c>
    </row>
    <row r="785" ht="14.399999999999999" customHeight="1">
      <c r="A785" s="23" t="s">
        <v>1545</v>
      </c>
      <c r="B785" s="23" t="s">
        <v>1546</v>
      </c>
    </row>
    <row r="786" ht="14.399999999999999" customHeight="1">
      <c r="A786" s="23" t="s">
        <v>1547</v>
      </c>
      <c r="B786" s="23" t="s">
        <v>1548</v>
      </c>
    </row>
    <row r="787" ht="14.399999999999999" customHeight="1">
      <c r="A787" s="23" t="s">
        <v>1549</v>
      </c>
      <c r="B787" s="23" t="s">
        <v>1550</v>
      </c>
    </row>
    <row r="788" ht="14.399999999999999" customHeight="1">
      <c r="A788" s="23" t="s">
        <v>1551</v>
      </c>
      <c r="B788" s="23" t="s">
        <v>1552</v>
      </c>
    </row>
    <row r="789" ht="14.399999999999999" customHeight="1">
      <c r="A789" s="23" t="s">
        <v>1553</v>
      </c>
      <c r="B789" s="23" t="s">
        <v>1554</v>
      </c>
    </row>
    <row r="790" ht="14.399999999999999" customHeight="1">
      <c r="A790" s="23" t="s">
        <v>1555</v>
      </c>
      <c r="B790" s="23" t="s">
        <v>1556</v>
      </c>
    </row>
    <row r="791" ht="14.399999999999999" customHeight="1">
      <c r="A791" s="23" t="s">
        <v>1557</v>
      </c>
      <c r="B791" s="23" t="s">
        <v>1558</v>
      </c>
    </row>
    <row r="792" ht="14.399999999999999" customHeight="1">
      <c r="A792" s="23" t="s">
        <v>1559</v>
      </c>
      <c r="B792" s="23" t="s">
        <v>1560</v>
      </c>
    </row>
    <row r="793" ht="14.399999999999999" customHeight="1">
      <c r="A793" s="23" t="s">
        <v>1561</v>
      </c>
      <c r="B793" s="23" t="s">
        <v>1562</v>
      </c>
    </row>
    <row r="794" ht="14.399999999999999" customHeight="1">
      <c r="A794" s="23" t="s">
        <v>1563</v>
      </c>
      <c r="B794" s="23" t="s">
        <v>1564</v>
      </c>
    </row>
    <row r="795" ht="14.399999999999999" customHeight="1">
      <c r="A795" s="23" t="s">
        <v>1565</v>
      </c>
      <c r="B795" s="23" t="s">
        <v>1566</v>
      </c>
    </row>
    <row r="796" ht="14.399999999999999" customHeight="1">
      <c r="A796" s="23" t="s">
        <v>1567</v>
      </c>
      <c r="B796" s="23" t="s">
        <v>1568</v>
      </c>
    </row>
    <row r="797" ht="14.399999999999999" customHeight="1">
      <c r="A797" s="23" t="s">
        <v>1569</v>
      </c>
      <c r="B797" s="23" t="s">
        <v>1570</v>
      </c>
    </row>
    <row r="798" ht="14.399999999999999" customHeight="1">
      <c r="A798" s="23" t="s">
        <v>1571</v>
      </c>
      <c r="B798" s="23" t="s">
        <v>1572</v>
      </c>
    </row>
    <row r="799" ht="14.399999999999999" customHeight="1">
      <c r="A799" s="23" t="s">
        <v>1573</v>
      </c>
      <c r="B799" s="23" t="s">
        <v>1574</v>
      </c>
    </row>
    <row r="800" ht="14.399999999999999" customHeight="1">
      <c r="A800" s="23" t="s">
        <v>1575</v>
      </c>
      <c r="B800" s="23" t="s">
        <v>1576</v>
      </c>
    </row>
    <row r="801" ht="14.399999999999999" customHeight="1">
      <c r="A801" s="23" t="s">
        <v>1577</v>
      </c>
      <c r="B801" s="23" t="s">
        <v>1578</v>
      </c>
    </row>
    <row r="802" ht="14.399999999999999" customHeight="1">
      <c r="A802" s="23" t="s">
        <v>1579</v>
      </c>
      <c r="B802" s="23" t="s">
        <v>1580</v>
      </c>
    </row>
    <row r="803" ht="14.399999999999999" customHeight="1">
      <c r="A803" s="23" t="s">
        <v>1581</v>
      </c>
      <c r="B803" s="23" t="s">
        <v>1582</v>
      </c>
    </row>
    <row r="804" ht="14.399999999999999" customHeight="1">
      <c r="A804" s="23" t="s">
        <v>1583</v>
      </c>
      <c r="B804" s="23" t="s">
        <v>1584</v>
      </c>
    </row>
    <row r="805" ht="14.399999999999999" customHeight="1">
      <c r="A805" s="23" t="s">
        <v>1585</v>
      </c>
      <c r="B805" s="23" t="s">
        <v>1586</v>
      </c>
    </row>
    <row r="806" ht="14.399999999999999" customHeight="1">
      <c r="A806" s="23" t="s">
        <v>1587</v>
      </c>
      <c r="B806" s="23" t="s">
        <v>1588</v>
      </c>
    </row>
    <row r="807" ht="14.399999999999999" customHeight="1">
      <c r="A807" s="23" t="s">
        <v>1589</v>
      </c>
      <c r="B807" s="23" t="s">
        <v>1590</v>
      </c>
    </row>
    <row r="808" ht="14.399999999999999" customHeight="1">
      <c r="A808" s="23" t="s">
        <v>1591</v>
      </c>
      <c r="B808" s="23" t="s">
        <v>1592</v>
      </c>
    </row>
    <row r="809" ht="14.399999999999999" customHeight="1">
      <c r="A809" s="23" t="s">
        <v>1593</v>
      </c>
      <c r="B809" s="23" t="s">
        <v>1594</v>
      </c>
    </row>
    <row r="810" ht="14.399999999999999" customHeight="1">
      <c r="A810" s="23" t="s">
        <v>1595</v>
      </c>
      <c r="B810" s="23" t="s">
        <v>1596</v>
      </c>
    </row>
    <row r="811" ht="14.399999999999999" customHeight="1">
      <c r="A811" s="23" t="s">
        <v>1597</v>
      </c>
      <c r="B811" s="23" t="s">
        <v>1598</v>
      </c>
    </row>
    <row r="812" ht="14.399999999999999" customHeight="1">
      <c r="A812" s="23" t="s">
        <v>1599</v>
      </c>
      <c r="B812" s="23" t="s">
        <v>1600</v>
      </c>
    </row>
    <row r="813" ht="14.399999999999999" customHeight="1">
      <c r="A813" s="23" t="s">
        <v>1601</v>
      </c>
      <c r="B813" s="23" t="s">
        <v>1602</v>
      </c>
    </row>
    <row r="814" ht="14.399999999999999" customHeight="1">
      <c r="A814" s="23" t="s">
        <v>1603</v>
      </c>
      <c r="B814" s="23" t="s">
        <v>1604</v>
      </c>
    </row>
    <row r="815" ht="14.399999999999999" customHeight="1">
      <c r="A815" s="23" t="s">
        <v>1605</v>
      </c>
      <c r="B815" s="23" t="s">
        <v>1606</v>
      </c>
    </row>
    <row r="816" ht="14.399999999999999" customHeight="1">
      <c r="A816" s="23" t="s">
        <v>1607</v>
      </c>
      <c r="B816" s="23" t="s">
        <v>1608</v>
      </c>
    </row>
    <row r="817" ht="14.399999999999999" customHeight="1">
      <c r="A817" s="23" t="s">
        <v>1609</v>
      </c>
      <c r="B817" s="23" t="s">
        <v>1610</v>
      </c>
    </row>
    <row r="818" ht="14.399999999999999" customHeight="1">
      <c r="A818" s="23" t="s">
        <v>1611</v>
      </c>
      <c r="B818" s="23" t="s">
        <v>1612</v>
      </c>
    </row>
    <row r="819" ht="14.399999999999999" customHeight="1">
      <c r="A819" s="23" t="s">
        <v>1613</v>
      </c>
      <c r="B819" s="23" t="s">
        <v>1614</v>
      </c>
    </row>
    <row r="820" ht="14.399999999999999" customHeight="1">
      <c r="A820" s="23" t="s">
        <v>1615</v>
      </c>
      <c r="B820" s="23" t="s">
        <v>1616</v>
      </c>
    </row>
    <row r="821" ht="14.399999999999999" customHeight="1">
      <c r="A821" s="23" t="s">
        <v>1617</v>
      </c>
      <c r="B821" s="23" t="s">
        <v>1618</v>
      </c>
    </row>
    <row r="822" ht="14.399999999999999" customHeight="1">
      <c r="A822" s="23" t="s">
        <v>1619</v>
      </c>
      <c r="B822" s="23" t="s">
        <v>1620</v>
      </c>
    </row>
    <row r="823" ht="14.399999999999999" customHeight="1">
      <c r="A823" s="23" t="s">
        <v>548</v>
      </c>
      <c r="B823" s="23" t="s">
        <v>1621</v>
      </c>
    </row>
    <row r="824" ht="14.399999999999999" customHeight="1">
      <c r="A824" s="23" t="s">
        <v>1622</v>
      </c>
      <c r="B824" s="23" t="s">
        <v>1623</v>
      </c>
    </row>
    <row r="825" ht="14.399999999999999" customHeight="1">
      <c r="A825" s="23" t="s">
        <v>1624</v>
      </c>
      <c r="B825" s="23" t="s">
        <v>635</v>
      </c>
    </row>
    <row r="826" ht="14.399999999999999" customHeight="1">
      <c r="A826" s="23" t="s">
        <v>1625</v>
      </c>
      <c r="B826" s="23" t="s">
        <v>1626</v>
      </c>
    </row>
    <row r="827" ht="14.399999999999999" customHeight="1">
      <c r="A827" s="23" t="s">
        <v>1627</v>
      </c>
      <c r="B827" s="23" t="s">
        <v>1628</v>
      </c>
    </row>
    <row r="828" ht="14.399999999999999" customHeight="1">
      <c r="A828" s="23" t="s">
        <v>1629</v>
      </c>
      <c r="B828" s="23" t="s">
        <v>1630</v>
      </c>
    </row>
    <row r="829" ht="14.399999999999999" customHeight="1">
      <c r="A829" s="23" t="s">
        <v>1631</v>
      </c>
      <c r="B829" s="23" t="s">
        <v>1632</v>
      </c>
    </row>
    <row r="830" ht="14.399999999999999" customHeight="1">
      <c r="A830" s="23" t="s">
        <v>1633</v>
      </c>
      <c r="B830" s="23" t="s">
        <v>1634</v>
      </c>
    </row>
    <row r="831" ht="14.399999999999999" customHeight="1">
      <c r="A831" s="23" t="s">
        <v>1635</v>
      </c>
      <c r="B831" s="23" t="s">
        <v>1636</v>
      </c>
    </row>
    <row r="832" ht="14.399999999999999" customHeight="1">
      <c r="A832" s="23" t="s">
        <v>1637</v>
      </c>
      <c r="B832" s="23" t="s">
        <v>1638</v>
      </c>
    </row>
    <row r="833" ht="14.399999999999999" customHeight="1">
      <c r="A833" s="23" t="s">
        <v>1639</v>
      </c>
      <c r="B833" s="23" t="s">
        <v>1640</v>
      </c>
    </row>
    <row r="834" ht="14.399999999999999" customHeight="1">
      <c r="A834" s="23" t="s">
        <v>1641</v>
      </c>
      <c r="B834" s="23" t="s">
        <v>1642</v>
      </c>
    </row>
    <row r="835" ht="14.399999999999999" customHeight="1">
      <c r="A835" s="23" t="s">
        <v>1643</v>
      </c>
      <c r="B835" s="23" t="s">
        <v>1644</v>
      </c>
    </row>
    <row r="836" ht="14.399999999999999" customHeight="1">
      <c r="A836" s="23" t="s">
        <v>1645</v>
      </c>
      <c r="B836" s="23" t="s">
        <v>1646</v>
      </c>
    </row>
    <row r="837" ht="14.399999999999999" customHeight="1">
      <c r="A837" s="23" t="s">
        <v>1647</v>
      </c>
      <c r="B837" s="23" t="s">
        <v>1648</v>
      </c>
    </row>
    <row r="838" ht="14.399999999999999" customHeight="1">
      <c r="A838" s="23" t="s">
        <v>1649</v>
      </c>
      <c r="B838" s="23" t="s">
        <v>1650</v>
      </c>
    </row>
    <row r="839" ht="14.399999999999999" customHeight="1">
      <c r="A839" s="23" t="s">
        <v>1651</v>
      </c>
      <c r="B839" s="23" t="s">
        <v>1652</v>
      </c>
    </row>
    <row r="840" ht="14.399999999999999" customHeight="1">
      <c r="A840" s="23" t="s">
        <v>1653</v>
      </c>
      <c r="B840" s="23" t="s">
        <v>1654</v>
      </c>
    </row>
    <row r="841" ht="14.399999999999999" customHeight="1">
      <c r="A841" s="23" t="s">
        <v>1655</v>
      </c>
      <c r="B841" s="23" t="s">
        <v>1656</v>
      </c>
    </row>
    <row r="842" ht="14.399999999999999" customHeight="1">
      <c r="A842" s="23" t="s">
        <v>1657</v>
      </c>
      <c r="B842" s="23" t="s">
        <v>1658</v>
      </c>
    </row>
    <row r="843" ht="14.399999999999999" customHeight="1">
      <c r="A843" s="23" t="s">
        <v>1659</v>
      </c>
      <c r="B843" s="23" t="s">
        <v>1660</v>
      </c>
    </row>
    <row r="844" ht="14.399999999999999" customHeight="1">
      <c r="A844" s="23" t="s">
        <v>1661</v>
      </c>
      <c r="B844" s="23" t="s">
        <v>1662</v>
      </c>
    </row>
    <row r="845" ht="14.399999999999999" customHeight="1">
      <c r="A845" s="23" t="s">
        <v>1663</v>
      </c>
      <c r="B845" s="23" t="s">
        <v>1664</v>
      </c>
    </row>
    <row r="846" ht="14.399999999999999" customHeight="1">
      <c r="A846" s="23" t="s">
        <v>1665</v>
      </c>
      <c r="B846" s="23" t="s">
        <v>1666</v>
      </c>
    </row>
    <row r="847" ht="14.399999999999999" customHeight="1">
      <c r="A847" s="23" t="s">
        <v>1667</v>
      </c>
      <c r="B847" s="23" t="s">
        <v>1668</v>
      </c>
    </row>
    <row r="848" ht="14.399999999999999" customHeight="1">
      <c r="A848" s="23" t="s">
        <v>1669</v>
      </c>
      <c r="B848" s="23" t="s">
        <v>1670</v>
      </c>
    </row>
    <row r="849" ht="14.399999999999999" customHeight="1">
      <c r="A849" s="23" t="s">
        <v>1671</v>
      </c>
      <c r="B849" s="23" t="s">
        <v>1672</v>
      </c>
    </row>
    <row r="850" ht="14.399999999999999" customHeight="1">
      <c r="A850" s="23" t="s">
        <v>1673</v>
      </c>
      <c r="B850" s="23" t="s">
        <v>1674</v>
      </c>
    </row>
    <row r="851" s="28" customFormat="1" ht="14.399999999999999" customHeight="1">
      <c r="A851" s="23" t="s">
        <v>1675</v>
      </c>
      <c r="B851" s="23" t="s">
        <v>1676</v>
      </c>
    </row>
    <row r="852" s="28" customFormat="1" ht="14.399999999999999" customHeight="1">
      <c r="A852" s="23" t="s">
        <v>1677</v>
      </c>
      <c r="B852" s="23" t="s">
        <v>1678</v>
      </c>
    </row>
    <row r="853" s="28" customFormat="1" ht="14.399999999999999" customHeight="1">
      <c r="A853" s="23" t="s">
        <v>1679</v>
      </c>
      <c r="B853" s="23" t="s">
        <v>1680</v>
      </c>
    </row>
    <row r="854" s="28" customFormat="1" ht="14.399999999999999" customHeight="1">
      <c r="A854" s="23" t="s">
        <v>1681</v>
      </c>
      <c r="B854" s="23" t="s">
        <v>1682</v>
      </c>
    </row>
    <row r="855" ht="14.399999999999999" customHeight="1">
      <c r="A855" s="23" t="s">
        <v>1683</v>
      </c>
      <c r="B855" s="23" t="s">
        <v>1684</v>
      </c>
    </row>
    <row r="856" ht="14.399999999999999" customHeight="1">
      <c r="A856" s="23" t="s">
        <v>1685</v>
      </c>
      <c r="B856" s="23" t="s">
        <v>1686</v>
      </c>
    </row>
    <row r="857" ht="14.399999999999999" customHeight="1">
      <c r="A857" s="23" t="s">
        <v>1687</v>
      </c>
      <c r="B857" s="23" t="s">
        <v>1688</v>
      </c>
    </row>
    <row r="858" ht="14.399999999999999" customHeight="1">
      <c r="A858" s="23" t="s">
        <v>1689</v>
      </c>
      <c r="B858" s="23" t="s">
        <v>1690</v>
      </c>
    </row>
    <row r="859" ht="14.399999999999999" customHeight="1">
      <c r="A859" s="23" t="s">
        <v>1691</v>
      </c>
      <c r="B859" s="23" t="s">
        <v>1692</v>
      </c>
    </row>
    <row r="860" ht="14.399999999999999" customHeight="1">
      <c r="A860" s="23" t="s">
        <v>1693</v>
      </c>
      <c r="B860" s="23" t="s">
        <v>1694</v>
      </c>
    </row>
    <row r="861" ht="14.399999999999999" customHeight="1">
      <c r="A861" s="23" t="s">
        <v>1695</v>
      </c>
      <c r="B861" s="23" t="s">
        <v>1696</v>
      </c>
    </row>
    <row r="862" ht="14.399999999999999" customHeight="1">
      <c r="A862" s="23" t="s">
        <v>1697</v>
      </c>
      <c r="B862" s="23" t="s">
        <v>1698</v>
      </c>
    </row>
    <row r="863" ht="14.399999999999999" customHeight="1">
      <c r="A863" s="23" t="s">
        <v>1699</v>
      </c>
      <c r="B863" s="23" t="s">
        <v>1700</v>
      </c>
    </row>
    <row r="864" ht="14.399999999999999" customHeight="1">
      <c r="A864" s="23" t="s">
        <v>1701</v>
      </c>
      <c r="B864" s="23" t="s">
        <v>1702</v>
      </c>
    </row>
    <row r="865" ht="14.399999999999999" customHeight="1">
      <c r="A865" s="23" t="s">
        <v>1703</v>
      </c>
      <c r="B865" s="23" t="s">
        <v>1704</v>
      </c>
    </row>
    <row r="866" ht="14.399999999999999" customHeight="1">
      <c r="A866" s="23" t="s">
        <v>1705</v>
      </c>
      <c r="B866" s="23" t="s">
        <v>1706</v>
      </c>
    </row>
    <row r="867" ht="14.399999999999999" customHeight="1">
      <c r="A867" s="23" t="s">
        <v>1707</v>
      </c>
      <c r="B867" s="23" t="s">
        <v>1708</v>
      </c>
    </row>
    <row r="868" ht="14.399999999999999" customHeight="1">
      <c r="A868" s="23" t="s">
        <v>1709</v>
      </c>
      <c r="B868" s="23" t="s">
        <v>1710</v>
      </c>
    </row>
    <row r="869" ht="14.399999999999999" customHeight="1">
      <c r="A869" s="23" t="s">
        <v>1711</v>
      </c>
      <c r="B869" s="23" t="s">
        <v>1712</v>
      </c>
    </row>
    <row r="870" ht="14.399999999999999" customHeight="1">
      <c r="A870" s="23" t="s">
        <v>1713</v>
      </c>
      <c r="B870" s="23" t="s">
        <v>1714</v>
      </c>
    </row>
    <row r="871" ht="14.399999999999999" customHeight="1">
      <c r="A871" s="23" t="s">
        <v>1715</v>
      </c>
      <c r="B871" s="23" t="s">
        <v>1716</v>
      </c>
    </row>
    <row r="872" ht="14.399999999999999" customHeight="1">
      <c r="A872" s="23" t="s">
        <v>1717</v>
      </c>
      <c r="B872" s="23" t="s">
        <v>1718</v>
      </c>
    </row>
    <row r="873" ht="14.399999999999999" customHeight="1">
      <c r="A873" s="23" t="s">
        <v>1719</v>
      </c>
      <c r="B873" s="23" t="s">
        <v>1720</v>
      </c>
    </row>
    <row r="874" ht="14.399999999999999" customHeight="1">
      <c r="A874" s="23" t="s">
        <v>1721</v>
      </c>
      <c r="B874" s="23" t="s">
        <v>1722</v>
      </c>
    </row>
    <row r="875" ht="14.399999999999999" customHeight="1">
      <c r="A875" s="23" t="s">
        <v>1723</v>
      </c>
      <c r="B875" s="23" t="s">
        <v>1724</v>
      </c>
    </row>
    <row r="876" ht="14.399999999999999" customHeight="1">
      <c r="A876" s="23" t="s">
        <v>1725</v>
      </c>
      <c r="B876" s="23" t="s">
        <v>1726</v>
      </c>
    </row>
    <row r="877" ht="14.399999999999999" customHeight="1">
      <c r="A877" s="23" t="s">
        <v>1727</v>
      </c>
      <c r="B877" s="23" t="s">
        <v>1728</v>
      </c>
    </row>
    <row r="878" ht="14.399999999999999" customHeight="1">
      <c r="A878" s="23" t="s">
        <v>1729</v>
      </c>
      <c r="B878" s="23" t="s">
        <v>1730</v>
      </c>
    </row>
    <row r="879" ht="14.399999999999999" customHeight="1">
      <c r="A879" s="23" t="s">
        <v>1731</v>
      </c>
      <c r="B879" s="23" t="s">
        <v>1732</v>
      </c>
    </row>
    <row r="880" ht="14.399999999999999" customHeight="1">
      <c r="A880" s="23" t="s">
        <v>1733</v>
      </c>
      <c r="B880" s="23" t="s">
        <v>1734</v>
      </c>
    </row>
    <row r="881" ht="14.399999999999999" customHeight="1">
      <c r="A881" s="23" t="s">
        <v>1735</v>
      </c>
      <c r="B881" s="23" t="s">
        <v>1736</v>
      </c>
    </row>
    <row r="882" ht="14.399999999999999" customHeight="1">
      <c r="A882" s="23" t="s">
        <v>1737</v>
      </c>
      <c r="B882" s="23" t="s">
        <v>1738</v>
      </c>
    </row>
    <row r="883" ht="14.399999999999999" customHeight="1">
      <c r="A883" s="23" t="s">
        <v>1739</v>
      </c>
      <c r="B883" s="23" t="s">
        <v>1740</v>
      </c>
    </row>
    <row r="884" ht="14.399999999999999" customHeight="1">
      <c r="A884" s="23" t="s">
        <v>1741</v>
      </c>
      <c r="B884" s="23" t="s">
        <v>1742</v>
      </c>
    </row>
    <row r="885" ht="14.399999999999999" customHeight="1">
      <c r="A885" s="23" t="s">
        <v>1743</v>
      </c>
      <c r="B885" s="23" t="s">
        <v>1744</v>
      </c>
    </row>
    <row r="886" ht="14" customHeight="1">
      <c r="A886" s="23" t="s">
        <v>1745</v>
      </c>
      <c r="B886" s="23" t="s">
        <v>1746</v>
      </c>
    </row>
    <row r="887" ht="14.399999999999999" customHeight="1">
      <c r="A887" s="23" t="s">
        <v>1747</v>
      </c>
      <c r="B887" s="23" t="s">
        <v>1748</v>
      </c>
    </row>
    <row r="888" ht="14.399999999999999" customHeight="1">
      <c r="A888" s="23" t="s">
        <v>1749</v>
      </c>
      <c r="B888" s="23" t="s">
        <v>1750</v>
      </c>
    </row>
    <row r="889" ht="14.399999999999999" customHeight="1">
      <c r="A889" s="23" t="s">
        <v>1751</v>
      </c>
      <c r="B889" s="23" t="s">
        <v>1752</v>
      </c>
    </row>
    <row r="890" ht="14.399999999999999" customHeight="1">
      <c r="A890" s="23" t="s">
        <v>1753</v>
      </c>
      <c r="B890" s="23" t="s">
        <v>1754</v>
      </c>
    </row>
    <row r="891" ht="14.399999999999999" customHeight="1">
      <c r="A891" s="23" t="s">
        <v>1755</v>
      </c>
      <c r="B891" s="23" t="s">
        <v>1756</v>
      </c>
    </row>
    <row r="892" ht="14.399999999999999" customHeight="1">
      <c r="A892" s="23" t="s">
        <v>1757</v>
      </c>
      <c r="B892" s="23" t="s">
        <v>1758</v>
      </c>
    </row>
    <row r="893" ht="14.399999999999999" customHeight="1">
      <c r="A893" s="23" t="s">
        <v>1759</v>
      </c>
      <c r="B893" s="23" t="s">
        <v>1760</v>
      </c>
    </row>
    <row r="894" ht="14.399999999999999" customHeight="1">
      <c r="A894" s="23" t="s">
        <v>1761</v>
      </c>
      <c r="B894" s="23" t="s">
        <v>1762</v>
      </c>
    </row>
    <row r="895" ht="14.399999999999999" customHeight="1">
      <c r="A895" s="23" t="s">
        <v>1763</v>
      </c>
      <c r="B895" s="23" t="s">
        <v>1764</v>
      </c>
    </row>
    <row r="896" ht="14.399999999999999" customHeight="1">
      <c r="A896" s="23" t="s">
        <v>1765</v>
      </c>
      <c r="B896" s="23" t="s">
        <v>1766</v>
      </c>
    </row>
    <row r="897" ht="14.399999999999999" customHeight="1">
      <c r="A897" s="23" t="s">
        <v>1767</v>
      </c>
      <c r="B897" s="23" t="s">
        <v>1768</v>
      </c>
    </row>
    <row r="898" ht="14.399999999999999" customHeight="1">
      <c r="A898" s="23" t="s">
        <v>1769</v>
      </c>
      <c r="B898" s="23" t="s">
        <v>1770</v>
      </c>
    </row>
    <row r="899" ht="14.399999999999999" customHeight="1">
      <c r="A899" s="23" t="s">
        <v>1771</v>
      </c>
      <c r="B899" s="23" t="s">
        <v>1772</v>
      </c>
    </row>
    <row r="900" ht="14.399999999999999" customHeight="1">
      <c r="A900" s="23" t="s">
        <v>1773</v>
      </c>
      <c r="B900" s="23" t="s">
        <v>1774</v>
      </c>
    </row>
    <row r="901" ht="14.399999999999999" customHeight="1">
      <c r="A901" s="23" t="s">
        <v>1775</v>
      </c>
      <c r="B901" s="23" t="s">
        <v>1776</v>
      </c>
    </row>
    <row r="902" ht="14.399999999999999" customHeight="1">
      <c r="A902" s="23" t="s">
        <v>1777</v>
      </c>
      <c r="B902" s="23" t="s">
        <v>1778</v>
      </c>
    </row>
    <row r="903" ht="14.399999999999999" customHeight="1">
      <c r="A903" s="23" t="s">
        <v>1779</v>
      </c>
      <c r="B903" s="23" t="s">
        <v>1780</v>
      </c>
    </row>
    <row r="904" ht="14.399999999999999" customHeight="1">
      <c r="A904" s="23" t="s">
        <v>1781</v>
      </c>
      <c r="B904" s="23" t="s">
        <v>1782</v>
      </c>
    </row>
    <row r="905" ht="14.399999999999999" customHeight="1">
      <c r="A905" s="23" t="s">
        <v>1783</v>
      </c>
      <c r="B905" s="23" t="s">
        <v>1784</v>
      </c>
    </row>
    <row r="906" ht="14.399999999999999" customHeight="1">
      <c r="A906" s="23" t="s">
        <v>1785</v>
      </c>
      <c r="B906" s="23" t="s">
        <v>1786</v>
      </c>
    </row>
    <row r="907" ht="14.399999999999999" customHeight="1">
      <c r="A907" s="23" t="s">
        <v>1787</v>
      </c>
      <c r="B907" s="23" t="s">
        <v>1788</v>
      </c>
    </row>
    <row r="908" ht="14.399999999999999" customHeight="1">
      <c r="A908" s="23" t="s">
        <v>1789</v>
      </c>
      <c r="B908" s="23" t="s">
        <v>1790</v>
      </c>
    </row>
    <row r="909" ht="14.399999999999999" customHeight="1">
      <c r="A909" s="23" t="s">
        <v>1791</v>
      </c>
      <c r="B909" s="23" t="s">
        <v>1792</v>
      </c>
    </row>
    <row r="910" ht="14.399999999999999" customHeight="1">
      <c r="A910" s="23" t="s">
        <v>1793</v>
      </c>
      <c r="B910" s="23" t="s">
        <v>1794</v>
      </c>
    </row>
    <row r="911" ht="14.399999999999999" customHeight="1">
      <c r="A911" s="23" t="s">
        <v>1795</v>
      </c>
      <c r="B911" s="23" t="s">
        <v>1796</v>
      </c>
    </row>
    <row r="912" ht="14.399999999999999" customHeight="1">
      <c r="A912" s="23" t="s">
        <v>1797</v>
      </c>
      <c r="B912" s="23" t="s">
        <v>1798</v>
      </c>
    </row>
    <row r="913" ht="14.399999999999999" customHeight="1">
      <c r="A913" s="23" t="s">
        <v>1799</v>
      </c>
      <c r="B913" s="23" t="s">
        <v>1800</v>
      </c>
    </row>
    <row r="914" ht="14.399999999999999" customHeight="1">
      <c r="A914" s="23" t="s">
        <v>1801</v>
      </c>
      <c r="B914" s="23" t="s">
        <v>1802</v>
      </c>
    </row>
    <row r="915" ht="14.399999999999999" customHeight="1">
      <c r="A915" s="23" t="s">
        <v>1803</v>
      </c>
      <c r="B915" s="23" t="s">
        <v>1804</v>
      </c>
    </row>
    <row r="916" ht="14.399999999999999" customHeight="1">
      <c r="A916" s="23" t="s">
        <v>1805</v>
      </c>
      <c r="B916" s="23" t="s">
        <v>1806</v>
      </c>
    </row>
    <row r="917" ht="14.399999999999999" customHeight="1">
      <c r="A917" s="23" t="s">
        <v>1807</v>
      </c>
      <c r="B917" s="23" t="s">
        <v>1808</v>
      </c>
    </row>
    <row r="918" ht="14.399999999999999" customHeight="1">
      <c r="A918" s="23" t="s">
        <v>1809</v>
      </c>
      <c r="B918" s="23" t="s">
        <v>1810</v>
      </c>
    </row>
    <row r="919" ht="14.399999999999999" customHeight="1">
      <c r="A919" s="23" t="s">
        <v>1811</v>
      </c>
      <c r="B919" s="23" t="s">
        <v>1812</v>
      </c>
    </row>
    <row r="920" ht="14.399999999999999" customHeight="1">
      <c r="A920" s="23" t="s">
        <v>1813</v>
      </c>
      <c r="B920" s="23" t="s">
        <v>1814</v>
      </c>
    </row>
    <row r="921" ht="14.399999999999999" customHeight="1">
      <c r="A921" s="23" t="s">
        <v>1815</v>
      </c>
      <c r="B921" s="23" t="s">
        <v>1816</v>
      </c>
    </row>
    <row r="922" ht="14.399999999999999" customHeight="1">
      <c r="A922" s="23" t="s">
        <v>1817</v>
      </c>
      <c r="B922" s="23" t="s">
        <v>1818</v>
      </c>
    </row>
    <row r="923" ht="14.399999999999999" customHeight="1">
      <c r="A923" s="23" t="s">
        <v>1819</v>
      </c>
      <c r="B923" s="23" t="s">
        <v>1820</v>
      </c>
    </row>
    <row r="924" ht="14.399999999999999" customHeight="1">
      <c r="A924" s="23" t="s">
        <v>1821</v>
      </c>
      <c r="B924" s="23" t="s">
        <v>1822</v>
      </c>
    </row>
    <row r="925" ht="14.399999999999999" customHeight="1">
      <c r="A925" s="23" t="s">
        <v>1823</v>
      </c>
      <c r="B925" s="23" t="s">
        <v>1824</v>
      </c>
    </row>
    <row r="926" ht="14.399999999999999" customHeight="1">
      <c r="A926" s="23" t="s">
        <v>1825</v>
      </c>
      <c r="B926" s="23" t="s">
        <v>1826</v>
      </c>
    </row>
    <row r="927" ht="14.399999999999999" customHeight="1">
      <c r="A927" s="23" t="s">
        <v>1827</v>
      </c>
      <c r="B927" s="23" t="s">
        <v>1828</v>
      </c>
    </row>
    <row r="928" ht="14.399999999999999" customHeight="1">
      <c r="A928" s="23" t="s">
        <v>1829</v>
      </c>
      <c r="B928" s="23" t="s">
        <v>1830</v>
      </c>
    </row>
    <row r="929" ht="14.399999999999999" customHeight="1">
      <c r="A929" s="23" t="s">
        <v>1831</v>
      </c>
      <c r="B929" s="23" t="s">
        <v>1832</v>
      </c>
    </row>
    <row r="930" ht="14.399999999999999" customHeight="1">
      <c r="A930" s="23" t="s">
        <v>1833</v>
      </c>
      <c r="B930" s="23" t="s">
        <v>1834</v>
      </c>
    </row>
    <row r="931" ht="14.399999999999999" customHeight="1">
      <c r="A931" s="23" t="s">
        <v>1835</v>
      </c>
      <c r="B931" s="23" t="s">
        <v>1836</v>
      </c>
    </row>
    <row r="932" ht="14.399999999999999" customHeight="1">
      <c r="A932" s="23" t="s">
        <v>1837</v>
      </c>
      <c r="B932" s="23" t="s">
        <v>1838</v>
      </c>
    </row>
    <row r="933" ht="14.399999999999999" customHeight="1">
      <c r="A933" s="23" t="s">
        <v>1839</v>
      </c>
      <c r="B933" s="23" t="s">
        <v>1840</v>
      </c>
    </row>
    <row r="934" ht="14.399999999999999" customHeight="1">
      <c r="A934" s="23" t="s">
        <v>1841</v>
      </c>
      <c r="B934" s="23" t="s">
        <v>1842</v>
      </c>
    </row>
    <row r="935" ht="14.399999999999999" customHeight="1">
      <c r="A935" s="23" t="s">
        <v>1843</v>
      </c>
      <c r="B935" s="23" t="s">
        <v>1844</v>
      </c>
    </row>
    <row r="936" ht="14.399999999999999" customHeight="1">
      <c r="A936" s="23" t="s">
        <v>1845</v>
      </c>
      <c r="B936" s="23" t="s">
        <v>1846</v>
      </c>
    </row>
    <row r="937" ht="14.399999999999999" customHeight="1">
      <c r="A937" s="23" t="s">
        <v>1847</v>
      </c>
      <c r="B937" s="23" t="s">
        <v>1848</v>
      </c>
    </row>
    <row r="938" ht="14.399999999999999" customHeight="1">
      <c r="A938" s="23" t="s">
        <v>1849</v>
      </c>
      <c r="B938" s="23" t="s">
        <v>1850</v>
      </c>
    </row>
    <row r="939" ht="14.399999999999999" customHeight="1">
      <c r="A939" s="23" t="s">
        <v>1851</v>
      </c>
      <c r="B939" s="23" t="s">
        <v>1852</v>
      </c>
    </row>
    <row r="940" ht="14.399999999999999" customHeight="1">
      <c r="A940" s="23" t="s">
        <v>1853</v>
      </c>
      <c r="B940" s="23" t="s">
        <v>1854</v>
      </c>
    </row>
    <row r="941" ht="14.399999999999999" customHeight="1">
      <c r="A941" s="23" t="s">
        <v>1855</v>
      </c>
      <c r="B941" s="23" t="s">
        <v>1856</v>
      </c>
    </row>
    <row r="942" ht="14.399999999999999" customHeight="1">
      <c r="A942" s="23" t="s">
        <v>1857</v>
      </c>
      <c r="B942" s="23" t="s">
        <v>1858</v>
      </c>
    </row>
    <row r="943" ht="14.399999999999999" customHeight="1">
      <c r="A943" s="23" t="s">
        <v>1859</v>
      </c>
      <c r="B943" s="23" t="s">
        <v>1860</v>
      </c>
    </row>
    <row r="944" ht="14.399999999999999" customHeight="1">
      <c r="A944" s="23" t="s">
        <v>1861</v>
      </c>
      <c r="B944" s="23" t="s">
        <v>1862</v>
      </c>
    </row>
    <row r="945" ht="14.399999999999999" customHeight="1">
      <c r="A945" s="23" t="s">
        <v>1863</v>
      </c>
      <c r="B945" s="23" t="s">
        <v>1864</v>
      </c>
    </row>
    <row r="946" ht="14.399999999999999" customHeight="1">
      <c r="A946" s="23" t="s">
        <v>1865</v>
      </c>
      <c r="B946" s="23" t="s">
        <v>1866</v>
      </c>
    </row>
    <row r="947" ht="14.399999999999999" customHeight="1">
      <c r="A947" s="23" t="s">
        <v>1867</v>
      </c>
      <c r="B947" s="23" t="s">
        <v>1868</v>
      </c>
    </row>
    <row r="948" ht="14.399999999999999" customHeight="1">
      <c r="A948" s="23" t="s">
        <v>1869</v>
      </c>
      <c r="B948" s="23" t="s">
        <v>1870</v>
      </c>
    </row>
    <row r="949" ht="14.399999999999999" customHeight="1">
      <c r="A949" s="23" t="s">
        <v>1871</v>
      </c>
      <c r="B949" s="23" t="s">
        <v>1872</v>
      </c>
    </row>
    <row r="950" ht="14.399999999999999" customHeight="1">
      <c r="A950" s="23" t="s">
        <v>1873</v>
      </c>
      <c r="B950" s="23" t="s">
        <v>1874</v>
      </c>
    </row>
    <row r="951" ht="14.399999999999999" customHeight="1">
      <c r="A951" s="23" t="s">
        <v>1875</v>
      </c>
      <c r="B951" s="23" t="s">
        <v>1876</v>
      </c>
    </row>
    <row r="952" s="25" customFormat="1" ht="14.399999999999999" customHeight="1">
      <c r="A952" s="23" t="s">
        <v>1877</v>
      </c>
      <c r="B952" s="23" t="s">
        <v>1878</v>
      </c>
    </row>
    <row r="953" ht="14.399999999999999" customHeight="1">
      <c r="A953" s="23" t="s">
        <v>1879</v>
      </c>
      <c r="B953" s="23" t="s">
        <v>1880</v>
      </c>
    </row>
    <row r="954" ht="14.399999999999999" customHeight="1">
      <c r="A954" s="23" t="s">
        <v>1881</v>
      </c>
      <c r="B954" s="23" t="s">
        <v>1882</v>
      </c>
    </row>
    <row r="955" ht="14.399999999999999" customHeight="1">
      <c r="A955" s="23" t="s">
        <v>1883</v>
      </c>
      <c r="B955" s="23" t="s">
        <v>1884</v>
      </c>
    </row>
    <row r="956" ht="14.399999999999999" customHeight="1">
      <c r="A956" s="23" t="s">
        <v>1885</v>
      </c>
      <c r="B956" s="23" t="s">
        <v>1886</v>
      </c>
    </row>
    <row r="957" ht="14.399999999999999" customHeight="1">
      <c r="A957" s="23" t="s">
        <v>1887</v>
      </c>
      <c r="B957" s="23" t="s">
        <v>1888</v>
      </c>
    </row>
    <row r="958" ht="14.399999999999999" customHeight="1">
      <c r="A958" s="23" t="s">
        <v>1889</v>
      </c>
      <c r="B958" s="23" t="s">
        <v>1890</v>
      </c>
    </row>
    <row r="959" ht="14.399999999999999" customHeight="1">
      <c r="A959" s="23" t="s">
        <v>1891</v>
      </c>
      <c r="B959" s="23" t="s">
        <v>1892</v>
      </c>
    </row>
    <row r="960" ht="14.399999999999999" customHeight="1">
      <c r="A960" s="23" t="s">
        <v>1893</v>
      </c>
      <c r="B960" s="23" t="s">
        <v>1894</v>
      </c>
    </row>
    <row r="961" ht="14.399999999999999" customHeight="1">
      <c r="A961" s="23" t="s">
        <v>1895</v>
      </c>
      <c r="B961" s="23" t="s">
        <v>1896</v>
      </c>
    </row>
    <row r="962" ht="14.399999999999999" customHeight="1">
      <c r="A962" s="23" t="s">
        <v>1897</v>
      </c>
      <c r="B962" s="23" t="s">
        <v>1898</v>
      </c>
    </row>
    <row r="963" ht="14.399999999999999" customHeight="1">
      <c r="A963" s="23" t="s">
        <v>1899</v>
      </c>
      <c r="B963" s="23" t="s">
        <v>1900</v>
      </c>
    </row>
    <row r="964" ht="14.399999999999999" customHeight="1">
      <c r="A964" s="23" t="s">
        <v>1901</v>
      </c>
      <c r="B964" s="23" t="s">
        <v>1902</v>
      </c>
    </row>
    <row r="965" ht="14.399999999999999" customHeight="1">
      <c r="A965" s="23" t="s">
        <v>1903</v>
      </c>
      <c r="B965" s="23" t="s">
        <v>1904</v>
      </c>
    </row>
    <row r="966" ht="14.399999999999999" customHeight="1">
      <c r="A966" s="23" t="s">
        <v>1905</v>
      </c>
      <c r="B966" s="23" t="s">
        <v>1906</v>
      </c>
    </row>
    <row r="967" ht="14.399999999999999" customHeight="1">
      <c r="A967" s="23" t="s">
        <v>1907</v>
      </c>
      <c r="B967" s="23" t="s">
        <v>1908</v>
      </c>
    </row>
    <row r="968" ht="14.399999999999999" customHeight="1">
      <c r="A968" s="23" t="s">
        <v>1909</v>
      </c>
      <c r="B968" s="23" t="s">
        <v>1910</v>
      </c>
    </row>
    <row r="969" ht="14.399999999999999" customHeight="1">
      <c r="A969" s="23" t="s">
        <v>1911</v>
      </c>
      <c r="B969" s="23" t="s">
        <v>1912</v>
      </c>
    </row>
    <row r="970" ht="14.399999999999999" customHeight="1">
      <c r="A970" s="23" t="s">
        <v>1913</v>
      </c>
      <c r="B970" s="23" t="s">
        <v>1914</v>
      </c>
    </row>
    <row r="971" ht="14.399999999999999" customHeight="1">
      <c r="A971" s="23" t="s">
        <v>1915</v>
      </c>
      <c r="B971" s="23" t="s">
        <v>1916</v>
      </c>
    </row>
    <row r="972" ht="14.399999999999999" customHeight="1">
      <c r="A972" s="23" t="s">
        <v>1917</v>
      </c>
      <c r="B972" s="23" t="s">
        <v>1918</v>
      </c>
    </row>
    <row r="973" ht="14.399999999999999" customHeight="1">
      <c r="A973" s="23" t="s">
        <v>1919</v>
      </c>
      <c r="B973" s="23" t="s">
        <v>1920</v>
      </c>
    </row>
    <row r="974" ht="14.399999999999999" customHeight="1">
      <c r="A974" s="23" t="s">
        <v>1921</v>
      </c>
      <c r="B974" s="23" t="s">
        <v>1922</v>
      </c>
    </row>
    <row r="975" ht="14.399999999999999" customHeight="1">
      <c r="A975" s="23" t="s">
        <v>1923</v>
      </c>
      <c r="B975" s="23" t="s">
        <v>1924</v>
      </c>
    </row>
    <row r="976" ht="14.399999999999999" customHeight="1">
      <c r="A976" s="23" t="s">
        <v>1925</v>
      </c>
      <c r="B976" s="23" t="s">
        <v>1926</v>
      </c>
    </row>
    <row r="977" ht="14.399999999999999" customHeight="1">
      <c r="A977" s="23" t="s">
        <v>1927</v>
      </c>
      <c r="B977" s="23" t="s">
        <v>1928</v>
      </c>
    </row>
    <row r="978" ht="14.399999999999999" customHeight="1">
      <c r="A978" s="23" t="s">
        <v>1929</v>
      </c>
      <c r="B978" s="23" t="s">
        <v>1930</v>
      </c>
    </row>
    <row r="979" ht="14.399999999999999" customHeight="1">
      <c r="A979" s="23" t="s">
        <v>1931</v>
      </c>
      <c r="B979" s="23" t="s">
        <v>1932</v>
      </c>
    </row>
    <row r="980" ht="14.399999999999999" customHeight="1">
      <c r="A980" s="23" t="s">
        <v>1933</v>
      </c>
      <c r="B980" s="23" t="s">
        <v>1934</v>
      </c>
    </row>
    <row r="981" ht="14.399999999999999" customHeight="1">
      <c r="A981" s="23" t="s">
        <v>1935</v>
      </c>
      <c r="B981" s="23" t="s">
        <v>1936</v>
      </c>
    </row>
    <row r="982" ht="14.399999999999999" customHeight="1">
      <c r="A982" s="23" t="s">
        <v>1937</v>
      </c>
      <c r="B982" s="23" t="s">
        <v>1938</v>
      </c>
    </row>
    <row r="983" ht="14.399999999999999" customHeight="1">
      <c r="A983" s="23" t="s">
        <v>1939</v>
      </c>
      <c r="B983" s="23" t="s">
        <v>1940</v>
      </c>
    </row>
    <row r="984" ht="14.399999999999999" customHeight="1">
      <c r="A984" s="23" t="s">
        <v>1941</v>
      </c>
      <c r="B984" s="23" t="s">
        <v>1942</v>
      </c>
    </row>
    <row r="985" ht="14.399999999999999" customHeight="1">
      <c r="A985" s="23" t="s">
        <v>1943</v>
      </c>
      <c r="B985" s="23" t="s">
        <v>1944</v>
      </c>
    </row>
    <row r="986" ht="14.399999999999999" customHeight="1">
      <c r="A986" s="23" t="s">
        <v>636</v>
      </c>
      <c r="B986" s="23" t="s">
        <v>1945</v>
      </c>
    </row>
    <row r="987" ht="14.399999999999999" customHeight="1">
      <c r="A987" s="23" t="s">
        <v>1946</v>
      </c>
      <c r="B987" s="23" t="s">
        <v>1947</v>
      </c>
    </row>
    <row r="988" ht="14.399999999999999" customHeight="1">
      <c r="A988" s="23" t="s">
        <v>1948</v>
      </c>
      <c r="B988" s="23" t="s">
        <v>1949</v>
      </c>
    </row>
    <row r="989" ht="14.399999999999999" customHeight="1">
      <c r="A989" s="23" t="s">
        <v>1950</v>
      </c>
      <c r="B989" s="23" t="s">
        <v>1951</v>
      </c>
    </row>
    <row r="990" ht="14.399999999999999" customHeight="1">
      <c r="A990" s="23" t="s">
        <v>1952</v>
      </c>
      <c r="B990" s="23" t="s">
        <v>1953</v>
      </c>
    </row>
    <row r="991" ht="14.399999999999999" customHeight="1">
      <c r="A991" s="23" t="s">
        <v>1954</v>
      </c>
      <c r="B991" s="23" t="s">
        <v>1955</v>
      </c>
    </row>
    <row r="992" ht="14.399999999999999" customHeight="1">
      <c r="A992" s="23" t="s">
        <v>1956</v>
      </c>
      <c r="B992" s="23" t="s">
        <v>1957</v>
      </c>
    </row>
    <row r="993" ht="14.399999999999999" customHeight="1">
      <c r="A993" s="23" t="s">
        <v>1958</v>
      </c>
      <c r="B993" s="23" t="s">
        <v>1959</v>
      </c>
    </row>
    <row r="994" ht="14.399999999999999" customHeight="1">
      <c r="A994" s="23" t="s">
        <v>1960</v>
      </c>
      <c r="B994" s="23" t="s">
        <v>1961</v>
      </c>
    </row>
    <row r="995" ht="14.399999999999999" customHeight="1">
      <c r="A995" s="23" t="s">
        <v>1962</v>
      </c>
      <c r="B995" s="23" t="s">
        <v>1963</v>
      </c>
    </row>
    <row r="996" ht="14.399999999999999" customHeight="1">
      <c r="A996" s="23" t="s">
        <v>1964</v>
      </c>
      <c r="B996" s="23" t="s">
        <v>1965</v>
      </c>
    </row>
    <row r="997" ht="14.399999999999999" customHeight="1">
      <c r="A997" s="23" t="s">
        <v>1966</v>
      </c>
      <c r="B997" s="23" t="s">
        <v>1967</v>
      </c>
    </row>
    <row r="998" ht="14.399999999999999" customHeight="1">
      <c r="A998" s="23" t="s">
        <v>1968</v>
      </c>
      <c r="B998" s="23" t="s">
        <v>1969</v>
      </c>
    </row>
    <row r="999" ht="14.399999999999999" customHeight="1">
      <c r="A999" s="23" t="s">
        <v>1970</v>
      </c>
      <c r="B999" s="23" t="s">
        <v>1971</v>
      </c>
    </row>
    <row r="1000" ht="14.399999999999999" customHeight="1">
      <c r="A1000" s="23" t="s">
        <v>1972</v>
      </c>
      <c r="B1000" s="23" t="s">
        <v>1973</v>
      </c>
    </row>
    <row r="1001" ht="14.399999999999999" customHeight="1">
      <c r="A1001" s="23" t="s">
        <v>1974</v>
      </c>
      <c r="B1001" s="23" t="s">
        <v>1975</v>
      </c>
    </row>
    <row r="1002" ht="14.399999999999999" customHeight="1">
      <c r="A1002" s="23" t="s">
        <v>1976</v>
      </c>
      <c r="B1002" s="23" t="s">
        <v>1977</v>
      </c>
    </row>
    <row r="1003" ht="14.399999999999999" customHeight="1">
      <c r="A1003" s="23" t="s">
        <v>1978</v>
      </c>
      <c r="B1003" s="23" t="s">
        <v>1979</v>
      </c>
    </row>
    <row r="1004" ht="14.399999999999999" customHeight="1">
      <c r="A1004" s="23" t="s">
        <v>1980</v>
      </c>
      <c r="B1004" s="23" t="s">
        <v>1981</v>
      </c>
    </row>
    <row r="1005" ht="14.399999999999999" customHeight="1">
      <c r="A1005" s="23" t="s">
        <v>1982</v>
      </c>
      <c r="B1005" s="23" t="s">
        <v>1983</v>
      </c>
    </row>
    <row r="1006" ht="14.399999999999999" customHeight="1">
      <c r="A1006" s="23" t="s">
        <v>1984</v>
      </c>
      <c r="B1006" s="23" t="s">
        <v>1985</v>
      </c>
    </row>
    <row r="1007" ht="14.399999999999999" customHeight="1">
      <c r="A1007" s="23" t="s">
        <v>1986</v>
      </c>
      <c r="B1007" s="23" t="s">
        <v>1987</v>
      </c>
    </row>
    <row r="1008" ht="14.399999999999999" customHeight="1">
      <c r="A1008" s="23" t="s">
        <v>1988</v>
      </c>
      <c r="B1008" s="23" t="s">
        <v>1989</v>
      </c>
    </row>
    <row r="1009" ht="14.399999999999999" customHeight="1">
      <c r="A1009" s="23" t="s">
        <v>1990</v>
      </c>
      <c r="B1009" s="23" t="s">
        <v>1991</v>
      </c>
    </row>
    <row r="1010" ht="14.399999999999999" customHeight="1">
      <c r="A1010" s="23" t="s">
        <v>1992</v>
      </c>
      <c r="B1010" s="23" t="s">
        <v>1993</v>
      </c>
    </row>
    <row r="1011" ht="14.399999999999999" customHeight="1">
      <c r="A1011" s="23" t="s">
        <v>1994</v>
      </c>
      <c r="B1011" s="23" t="s">
        <v>1995</v>
      </c>
    </row>
    <row r="1012" ht="14.399999999999999" customHeight="1">
      <c r="A1012" s="23" t="s">
        <v>1996</v>
      </c>
      <c r="B1012" s="23" t="s">
        <v>1997</v>
      </c>
    </row>
    <row r="1013" ht="14.399999999999999" customHeight="1">
      <c r="A1013" s="23" t="s">
        <v>1998</v>
      </c>
      <c r="B1013" s="23" t="s">
        <v>1999</v>
      </c>
    </row>
    <row r="1014" ht="14.399999999999999" customHeight="1">
      <c r="A1014" s="23" t="s">
        <v>2000</v>
      </c>
      <c r="B1014" s="23" t="s">
        <v>2001</v>
      </c>
    </row>
    <row r="1015" ht="14.399999999999999" customHeight="1">
      <c r="A1015" s="23" t="s">
        <v>2002</v>
      </c>
      <c r="B1015" s="23" t="s">
        <v>2003</v>
      </c>
    </row>
    <row r="1016" ht="14.399999999999999" customHeight="1">
      <c r="A1016" s="23" t="s">
        <v>2004</v>
      </c>
      <c r="B1016" s="23" t="s">
        <v>2005</v>
      </c>
    </row>
    <row r="1017" ht="14.399999999999999" customHeight="1">
      <c r="A1017" s="23" t="s">
        <v>2006</v>
      </c>
      <c r="B1017" s="23" t="s">
        <v>2007</v>
      </c>
    </row>
    <row r="1018" ht="14.399999999999999" customHeight="1">
      <c r="A1018" s="23" t="s">
        <v>2008</v>
      </c>
      <c r="B1018" s="23" t="s">
        <v>2009</v>
      </c>
    </row>
    <row r="1019" ht="14.399999999999999" customHeight="1">
      <c r="A1019" s="23" t="s">
        <v>2010</v>
      </c>
      <c r="B1019" s="23" t="s">
        <v>2011</v>
      </c>
    </row>
    <row r="1020" ht="14.399999999999999" customHeight="1">
      <c r="A1020" s="23" t="s">
        <v>2012</v>
      </c>
      <c r="B1020" s="23" t="s">
        <v>2013</v>
      </c>
    </row>
    <row r="1021" ht="14.399999999999999" customHeight="1">
      <c r="A1021" s="23" t="s">
        <v>2014</v>
      </c>
      <c r="B1021" s="23" t="s">
        <v>2015</v>
      </c>
    </row>
    <row r="1022" ht="14.399999999999999" customHeight="1">
      <c r="A1022" s="23" t="s">
        <v>2016</v>
      </c>
      <c r="B1022" s="23" t="s">
        <v>2017</v>
      </c>
    </row>
    <row r="1023" ht="14.399999999999999" customHeight="1">
      <c r="A1023" s="23" t="s">
        <v>2018</v>
      </c>
      <c r="B1023" s="23" t="s">
        <v>2019</v>
      </c>
    </row>
    <row r="1024" ht="14.399999999999999" customHeight="1">
      <c r="A1024" s="23" t="s">
        <v>2020</v>
      </c>
      <c r="B1024" s="23" t="s">
        <v>2021</v>
      </c>
    </row>
    <row r="1025" ht="14.399999999999999" customHeight="1">
      <c r="A1025" s="23" t="s">
        <v>2022</v>
      </c>
      <c r="B1025" s="23" t="s">
        <v>2023</v>
      </c>
    </row>
    <row r="1026" ht="14.399999999999999" customHeight="1">
      <c r="A1026" s="23" t="s">
        <v>2024</v>
      </c>
      <c r="B1026" s="23" t="s">
        <v>2025</v>
      </c>
    </row>
    <row r="1027" ht="14.399999999999999" customHeight="1">
      <c r="A1027" s="23" t="s">
        <v>2026</v>
      </c>
      <c r="B1027" s="23" t="s">
        <v>2027</v>
      </c>
    </row>
    <row r="1028" ht="14.399999999999999" customHeight="1">
      <c r="A1028" s="23" t="s">
        <v>2028</v>
      </c>
      <c r="B1028" s="23" t="s">
        <v>2029</v>
      </c>
    </row>
    <row r="1029" ht="14.399999999999999" customHeight="1">
      <c r="A1029" s="23" t="s">
        <v>2030</v>
      </c>
      <c r="B1029" s="23" t="s">
        <v>2031</v>
      </c>
    </row>
    <row r="1030" ht="14.399999999999999" customHeight="1">
      <c r="A1030" s="23" t="s">
        <v>2032</v>
      </c>
      <c r="B1030" s="23" t="s">
        <v>2033</v>
      </c>
    </row>
    <row r="1031" ht="14.399999999999999" customHeight="1">
      <c r="A1031" s="23" t="s">
        <v>306</v>
      </c>
      <c r="B1031" s="23" t="s">
        <v>2034</v>
      </c>
    </row>
    <row r="1032" ht="14.399999999999999" customHeight="1">
      <c r="A1032" s="23" t="s">
        <v>2035</v>
      </c>
      <c r="B1032" s="23" t="s">
        <v>2036</v>
      </c>
    </row>
    <row r="1033" ht="14.399999999999999" customHeight="1">
      <c r="A1033" s="23" t="s">
        <v>2037</v>
      </c>
      <c r="B1033" s="23" t="s">
        <v>2038</v>
      </c>
    </row>
    <row r="1034" ht="14.399999999999999" customHeight="1">
      <c r="A1034" s="23" t="s">
        <v>2039</v>
      </c>
      <c r="B1034" s="23" t="s">
        <v>2040</v>
      </c>
    </row>
    <row r="1035" ht="14.399999999999999" customHeight="1">
      <c r="A1035" s="23" t="s">
        <v>2041</v>
      </c>
      <c r="B1035" s="23" t="s">
        <v>2042</v>
      </c>
    </row>
    <row r="1036" ht="14.399999999999999" customHeight="1">
      <c r="A1036" s="23" t="s">
        <v>2043</v>
      </c>
      <c r="B1036" s="23" t="s">
        <v>2044</v>
      </c>
    </row>
    <row r="1037" ht="14.399999999999999" customHeight="1">
      <c r="A1037" s="23" t="s">
        <v>2045</v>
      </c>
      <c r="B1037" s="23" t="s">
        <v>2046</v>
      </c>
    </row>
    <row r="1038" ht="14.399999999999999" customHeight="1">
      <c r="A1038" s="23" t="s">
        <v>2047</v>
      </c>
      <c r="B1038" s="23" t="s">
        <v>2048</v>
      </c>
    </row>
    <row r="1039" ht="14.399999999999999" customHeight="1">
      <c r="A1039" s="23" t="s">
        <v>2049</v>
      </c>
      <c r="B1039" s="23" t="s">
        <v>2050</v>
      </c>
    </row>
    <row r="1040" ht="14.399999999999999" customHeight="1">
      <c r="A1040" s="23" t="s">
        <v>2051</v>
      </c>
      <c r="B1040" s="23" t="s">
        <v>2052</v>
      </c>
    </row>
    <row r="1041" ht="14.399999999999999" customHeight="1">
      <c r="A1041" s="23" t="s">
        <v>2053</v>
      </c>
      <c r="B1041" s="23" t="s">
        <v>2054</v>
      </c>
    </row>
    <row r="1042" ht="14.399999999999999" customHeight="1">
      <c r="A1042" s="23" t="s">
        <v>2055</v>
      </c>
      <c r="B1042" s="23" t="s">
        <v>2056</v>
      </c>
    </row>
    <row r="1043" ht="14.399999999999999" customHeight="1">
      <c r="A1043" s="23" t="s">
        <v>2057</v>
      </c>
      <c r="B1043" s="23" t="s">
        <v>2058</v>
      </c>
    </row>
    <row r="1044" ht="14.399999999999999" customHeight="1">
      <c r="A1044" s="23" t="s">
        <v>2059</v>
      </c>
      <c r="B1044" s="23" t="s">
        <v>2060</v>
      </c>
    </row>
    <row r="1045" ht="14.399999999999999" customHeight="1">
      <c r="A1045" s="23" t="s">
        <v>2061</v>
      </c>
      <c r="B1045" s="23" t="s">
        <v>2062</v>
      </c>
    </row>
    <row r="1046" ht="14.399999999999999" customHeight="1">
      <c r="A1046" s="23" t="s">
        <v>2063</v>
      </c>
      <c r="B1046" s="23" t="s">
        <v>2064</v>
      </c>
    </row>
    <row r="1047" ht="14.399999999999999" customHeight="1">
      <c r="A1047" s="23" t="s">
        <v>2065</v>
      </c>
      <c r="B1047" s="23" t="s">
        <v>2066</v>
      </c>
    </row>
    <row r="1048" ht="14.399999999999999" customHeight="1">
      <c r="A1048" s="23" t="s">
        <v>2067</v>
      </c>
      <c r="B1048" s="23" t="s">
        <v>2068</v>
      </c>
    </row>
    <row r="1049" ht="14.399999999999999" customHeight="1">
      <c r="A1049" s="23" t="s">
        <v>2069</v>
      </c>
      <c r="B1049" s="23" t="s">
        <v>2070</v>
      </c>
    </row>
    <row r="1050" ht="14.399999999999999" customHeight="1">
      <c r="A1050" s="23" t="s">
        <v>2071</v>
      </c>
      <c r="B1050" s="23" t="s">
        <v>2072</v>
      </c>
    </row>
    <row r="1051" ht="14.399999999999999" customHeight="1">
      <c r="A1051" s="23" t="s">
        <v>2073</v>
      </c>
      <c r="B1051" s="23" t="s">
        <v>2074</v>
      </c>
    </row>
    <row r="1052" ht="14.399999999999999" customHeight="1">
      <c r="A1052" s="23" t="s">
        <v>2075</v>
      </c>
      <c r="B1052" s="23" t="s">
        <v>2076</v>
      </c>
    </row>
    <row r="1053" ht="14.399999999999999" customHeight="1">
      <c r="A1053" s="23" t="s">
        <v>2077</v>
      </c>
      <c r="B1053" s="23" t="s">
        <v>2078</v>
      </c>
    </row>
    <row r="1054" ht="14.399999999999999" customHeight="1">
      <c r="A1054" s="23" t="s">
        <v>2079</v>
      </c>
      <c r="B1054" s="23" t="s">
        <v>2080</v>
      </c>
    </row>
    <row r="1055" ht="14.399999999999999" customHeight="1">
      <c r="A1055" s="23" t="s">
        <v>2081</v>
      </c>
      <c r="B1055" s="23" t="s">
        <v>2082</v>
      </c>
    </row>
    <row r="1056" ht="14.399999999999999" customHeight="1">
      <c r="A1056" s="23" t="s">
        <v>2083</v>
      </c>
      <c r="B1056" s="23" t="s">
        <v>2084</v>
      </c>
    </row>
    <row r="1057" ht="14.399999999999999" customHeight="1">
      <c r="A1057" s="23" t="s">
        <v>2085</v>
      </c>
      <c r="B1057" s="23" t="s">
        <v>2086</v>
      </c>
    </row>
    <row r="1058" ht="14.399999999999999" customHeight="1">
      <c r="A1058" s="23" t="s">
        <v>2087</v>
      </c>
      <c r="B1058" s="23" t="s">
        <v>2088</v>
      </c>
    </row>
    <row r="1059" ht="14.399999999999999" customHeight="1">
      <c r="A1059" s="23" t="s">
        <v>2089</v>
      </c>
      <c r="B1059" s="23" t="s">
        <v>2090</v>
      </c>
    </row>
    <row r="1060" ht="14.399999999999999" customHeight="1">
      <c r="A1060" s="23" t="s">
        <v>2091</v>
      </c>
      <c r="B1060" s="23" t="s">
        <v>2092</v>
      </c>
    </row>
    <row r="1061" ht="14.399999999999999" customHeight="1">
      <c r="A1061" s="23" t="s">
        <v>426</v>
      </c>
      <c r="B1061" s="23" t="s">
        <v>2093</v>
      </c>
    </row>
    <row r="1062" ht="14.399999999999999" customHeight="1">
      <c r="A1062" s="23" t="s">
        <v>2094</v>
      </c>
      <c r="B1062" s="23" t="s">
        <v>2095</v>
      </c>
    </row>
    <row r="1063" ht="14.399999999999999" customHeight="1">
      <c r="A1063" s="23" t="s">
        <v>2096</v>
      </c>
      <c r="B1063" s="23" t="s">
        <v>2097</v>
      </c>
    </row>
    <row r="1064" ht="14.399999999999999" customHeight="1">
      <c r="A1064" s="23" t="s">
        <v>2098</v>
      </c>
      <c r="B1064" s="23" t="s">
        <v>2099</v>
      </c>
    </row>
    <row r="1065" ht="14.399999999999999" customHeight="1">
      <c r="A1065" s="23" t="s">
        <v>2100</v>
      </c>
      <c r="B1065" s="23" t="s">
        <v>2101</v>
      </c>
    </row>
    <row r="1066" ht="14.399999999999999" customHeight="1">
      <c r="A1066" s="23" t="s">
        <v>2102</v>
      </c>
      <c r="B1066" s="23" t="s">
        <v>2103</v>
      </c>
    </row>
    <row r="1067" ht="14.399999999999999" customHeight="1">
      <c r="A1067" s="23" t="s">
        <v>2104</v>
      </c>
      <c r="B1067" s="23" t="s">
        <v>79</v>
      </c>
    </row>
    <row r="1068" ht="14.399999999999999" customHeight="1">
      <c r="A1068" s="23" t="s">
        <v>606</v>
      </c>
      <c r="B1068" s="23" t="s">
        <v>2105</v>
      </c>
    </row>
    <row r="1069" ht="14.399999999999999" customHeight="1">
      <c r="A1069" s="23" t="s">
        <v>2106</v>
      </c>
      <c r="B1069" s="23" t="s">
        <v>2107</v>
      </c>
    </row>
    <row r="1070" ht="14.399999999999999" customHeight="1">
      <c r="A1070" s="23" t="s">
        <v>2108</v>
      </c>
      <c r="B1070" s="23" t="s">
        <v>2109</v>
      </c>
    </row>
    <row r="1071" ht="14.399999999999999" customHeight="1">
      <c r="A1071" s="23" t="s">
        <v>2110</v>
      </c>
      <c r="B1071" s="23" t="s">
        <v>2111</v>
      </c>
    </row>
    <row r="1072" ht="14.399999999999999" customHeight="1">
      <c r="A1072" s="23" t="s">
        <v>2112</v>
      </c>
      <c r="B1072" s="23" t="s">
        <v>2113</v>
      </c>
    </row>
    <row r="1073" ht="14.399999999999999" customHeight="1">
      <c r="A1073" s="23" t="s">
        <v>2114</v>
      </c>
      <c r="B1073" s="23" t="s">
        <v>2115</v>
      </c>
    </row>
    <row r="1074" ht="14.399999999999999" customHeight="1">
      <c r="A1074" s="23" t="s">
        <v>2116</v>
      </c>
      <c r="B1074" s="23" t="s">
        <v>2117</v>
      </c>
    </row>
    <row r="1075" ht="14.399999999999999" customHeight="1">
      <c r="A1075" s="23" t="s">
        <v>2118</v>
      </c>
      <c r="B1075" s="23" t="s">
        <v>2119</v>
      </c>
    </row>
    <row r="1076" ht="14.399999999999999" customHeight="1">
      <c r="A1076" s="23" t="s">
        <v>2120</v>
      </c>
      <c r="B1076" s="23" t="s">
        <v>2121</v>
      </c>
    </row>
    <row r="1077" ht="14.399999999999999" customHeight="1">
      <c r="A1077" s="23" t="s">
        <v>2122</v>
      </c>
      <c r="B1077" s="23" t="s">
        <v>2123</v>
      </c>
    </row>
    <row r="1078" ht="14.399999999999999" customHeight="1">
      <c r="A1078" s="23" t="s">
        <v>2124</v>
      </c>
      <c r="B1078" s="23" t="s">
        <v>2125</v>
      </c>
    </row>
    <row r="1079" ht="14.399999999999999" customHeight="1">
      <c r="A1079" s="23" t="s">
        <v>2126</v>
      </c>
      <c r="B1079" s="23" t="s">
        <v>2127</v>
      </c>
    </row>
    <row r="1080" ht="14.399999999999999" customHeight="1">
      <c r="A1080" s="23" t="s">
        <v>2128</v>
      </c>
      <c r="B1080" s="23" t="s">
        <v>2129</v>
      </c>
    </row>
    <row r="1081" ht="14.399999999999999" customHeight="1">
      <c r="A1081" s="23" t="s">
        <v>2130</v>
      </c>
      <c r="B1081" s="23" t="s">
        <v>2131</v>
      </c>
    </row>
    <row r="1082" ht="14.399999999999999" customHeight="1">
      <c r="A1082" s="23" t="s">
        <v>2132</v>
      </c>
      <c r="B1082" s="23" t="s">
        <v>2133</v>
      </c>
    </row>
    <row r="1083" ht="14.399999999999999" customHeight="1">
      <c r="A1083" s="23" t="s">
        <v>2134</v>
      </c>
      <c r="B1083" s="23" t="s">
        <v>2135</v>
      </c>
    </row>
    <row r="1084" ht="14.399999999999999" customHeight="1">
      <c r="A1084" s="23" t="s">
        <v>2136</v>
      </c>
      <c r="B1084" s="23" t="s">
        <v>2137</v>
      </c>
    </row>
    <row r="1085" ht="14.399999999999999" customHeight="1">
      <c r="A1085" s="23" t="s">
        <v>2138</v>
      </c>
      <c r="B1085" s="23" t="s">
        <v>2139</v>
      </c>
    </row>
    <row r="1086" ht="14.399999999999999" customHeight="1">
      <c r="A1086" s="23" t="s">
        <v>2140</v>
      </c>
      <c r="B1086" s="23" t="s">
        <v>2141</v>
      </c>
    </row>
    <row r="1087" ht="14.399999999999999" customHeight="1">
      <c r="A1087" s="23" t="s">
        <v>2142</v>
      </c>
      <c r="B1087" s="23" t="s">
        <v>2143</v>
      </c>
    </row>
    <row r="1088" ht="14.399999999999999" customHeight="1">
      <c r="A1088" s="23" t="s">
        <v>2144</v>
      </c>
      <c r="B1088" s="23" t="s">
        <v>2145</v>
      </c>
    </row>
    <row r="1089" ht="14.399999999999999" customHeight="1">
      <c r="A1089" s="23" t="s">
        <v>2146</v>
      </c>
      <c r="B1089" s="23" t="s">
        <v>2147</v>
      </c>
    </row>
    <row r="1090" ht="14.399999999999999" customHeight="1">
      <c r="A1090" s="23" t="s">
        <v>2148</v>
      </c>
      <c r="B1090" s="23" t="s">
        <v>2149</v>
      </c>
    </row>
    <row r="1091" ht="14.399999999999999" customHeight="1">
      <c r="A1091" s="23" t="s">
        <v>2150</v>
      </c>
      <c r="B1091" s="23" t="s">
        <v>2151</v>
      </c>
    </row>
    <row r="1092" ht="14.399999999999999" customHeight="1">
      <c r="A1092" s="23" t="s">
        <v>2152</v>
      </c>
      <c r="B1092" s="23" t="s">
        <v>2153</v>
      </c>
    </row>
    <row r="1093" ht="14.399999999999999" customHeight="1">
      <c r="A1093" s="23" t="s">
        <v>2154</v>
      </c>
      <c r="B1093" s="23" t="s">
        <v>2155</v>
      </c>
    </row>
    <row r="1094" ht="14.399999999999999" customHeight="1">
      <c r="A1094" s="23" t="s">
        <v>2156</v>
      </c>
      <c r="B1094" s="23" t="s">
        <v>2157</v>
      </c>
    </row>
    <row r="1095" ht="14.399999999999999" customHeight="1">
      <c r="A1095" s="23" t="s">
        <v>2158</v>
      </c>
      <c r="B1095" s="23" t="s">
        <v>2159</v>
      </c>
    </row>
    <row r="1096" ht="14.399999999999999" customHeight="1">
      <c r="A1096" s="23" t="s">
        <v>2160</v>
      </c>
      <c r="B1096" s="23" t="s">
        <v>2161</v>
      </c>
    </row>
    <row r="1097" ht="14.399999999999999" customHeight="1">
      <c r="A1097" s="23" t="s">
        <v>2162</v>
      </c>
      <c r="B1097" s="23" t="s">
        <v>2163</v>
      </c>
    </row>
    <row r="1098" ht="14.399999999999999" customHeight="1">
      <c r="A1098" s="23" t="s">
        <v>2164</v>
      </c>
      <c r="B1098" s="23" t="s">
        <v>2165</v>
      </c>
    </row>
    <row r="1099" ht="14.399999999999999" customHeight="1">
      <c r="A1099" s="23" t="s">
        <v>2166</v>
      </c>
      <c r="B1099" s="23" t="s">
        <v>2167</v>
      </c>
    </row>
    <row r="1100" ht="14.399999999999999" customHeight="1">
      <c r="A1100" s="23" t="s">
        <v>2168</v>
      </c>
      <c r="B1100" s="23" t="s">
        <v>2169</v>
      </c>
    </row>
    <row r="1101" ht="14.399999999999999" customHeight="1">
      <c r="A1101" s="23" t="s">
        <v>2170</v>
      </c>
      <c r="B1101" s="23" t="s">
        <v>2171</v>
      </c>
    </row>
    <row r="1102" ht="14.399999999999999" customHeight="1">
      <c r="A1102" s="23" t="s">
        <v>2172</v>
      </c>
      <c r="B1102" s="23" t="s">
        <v>2173</v>
      </c>
    </row>
    <row r="1103" ht="14.399999999999999" customHeight="1">
      <c r="A1103" s="23" t="s">
        <v>2174</v>
      </c>
      <c r="B1103" s="23" t="s">
        <v>2175</v>
      </c>
    </row>
    <row r="1104" ht="14.399999999999999" customHeight="1">
      <c r="A1104" s="23" t="s">
        <v>2176</v>
      </c>
      <c r="B1104" s="23" t="s">
        <v>2177</v>
      </c>
    </row>
    <row r="1105" ht="14.399999999999999" customHeight="1">
      <c r="A1105" s="23" t="s">
        <v>2178</v>
      </c>
      <c r="B1105" s="23" t="s">
        <v>2179</v>
      </c>
    </row>
    <row r="1106" ht="14.399999999999999" customHeight="1">
      <c r="A1106" s="23" t="s">
        <v>2180</v>
      </c>
      <c r="B1106" s="23" t="s">
        <v>2181</v>
      </c>
    </row>
    <row r="1107" ht="14.399999999999999" customHeight="1">
      <c r="A1107" s="23" t="s">
        <v>2182</v>
      </c>
      <c r="B1107" s="23" t="s">
        <v>2183</v>
      </c>
    </row>
    <row r="1108" ht="14.399999999999999" customHeight="1">
      <c r="A1108" s="23" t="s">
        <v>2184</v>
      </c>
      <c r="B1108" s="23" t="s">
        <v>2185</v>
      </c>
    </row>
    <row r="1109" ht="14.399999999999999" customHeight="1">
      <c r="A1109" s="23" t="s">
        <v>2186</v>
      </c>
      <c r="B1109" s="23" t="s">
        <v>2187</v>
      </c>
    </row>
    <row r="1110" ht="14.399999999999999" customHeight="1">
      <c r="A1110" s="23" t="s">
        <v>2188</v>
      </c>
      <c r="B1110" s="23" t="s">
        <v>2189</v>
      </c>
    </row>
    <row r="1111" ht="14.399999999999999" customHeight="1">
      <c r="A1111" s="23" t="s">
        <v>2190</v>
      </c>
      <c r="B1111" s="23" t="s">
        <v>2191</v>
      </c>
    </row>
    <row r="1112" ht="14.399999999999999" customHeight="1">
      <c r="A1112" s="23" t="s">
        <v>2192</v>
      </c>
      <c r="B1112" s="23" t="s">
        <v>2193</v>
      </c>
    </row>
    <row r="1113" ht="14.399999999999999" customHeight="1">
      <c r="A1113" s="23" t="s">
        <v>2194</v>
      </c>
      <c r="B1113" s="23" t="s">
        <v>2195</v>
      </c>
    </row>
    <row r="1114" ht="14.399999999999999" customHeight="1">
      <c r="A1114" s="23" t="s">
        <v>2196</v>
      </c>
      <c r="B1114" s="23" t="s">
        <v>2197</v>
      </c>
    </row>
    <row r="1115" ht="14.399999999999999" customHeight="1">
      <c r="A1115" s="23" t="s">
        <v>2198</v>
      </c>
      <c r="B1115" s="23" t="s">
        <v>2199</v>
      </c>
    </row>
    <row r="1116" ht="14.399999999999999" customHeight="1">
      <c r="A1116" s="23" t="s">
        <v>2200</v>
      </c>
      <c r="B1116" s="23" t="s">
        <v>2201</v>
      </c>
    </row>
    <row r="1117" ht="14.399999999999999" customHeight="1">
      <c r="A1117" s="23" t="s">
        <v>2202</v>
      </c>
      <c r="B1117" s="23" t="s">
        <v>2203</v>
      </c>
    </row>
    <row r="1118" ht="14.399999999999999" customHeight="1">
      <c r="A1118" s="23" t="s">
        <v>2204</v>
      </c>
      <c r="B1118" s="23" t="s">
        <v>2205</v>
      </c>
    </row>
    <row r="1119" ht="14.399999999999999" customHeight="1">
      <c r="A1119" s="23" t="s">
        <v>2206</v>
      </c>
      <c r="B1119" s="23" t="s">
        <v>2207</v>
      </c>
    </row>
    <row r="1120" ht="14.399999999999999" customHeight="1">
      <c r="A1120" s="23" t="s">
        <v>2208</v>
      </c>
      <c r="B1120" s="23" t="s">
        <v>2209</v>
      </c>
    </row>
    <row r="1121" ht="14.399999999999999" customHeight="1">
      <c r="A1121" s="23" t="s">
        <v>2210</v>
      </c>
      <c r="B1121" s="23" t="s">
        <v>2211</v>
      </c>
    </row>
    <row r="1122" ht="14.399999999999999" customHeight="1">
      <c r="A1122" s="23" t="s">
        <v>2212</v>
      </c>
      <c r="B1122" s="23" t="s">
        <v>2213</v>
      </c>
    </row>
    <row r="1123" ht="14.399999999999999" customHeight="1">
      <c r="A1123" s="23" t="s">
        <v>2214</v>
      </c>
      <c r="B1123" s="23" t="s">
        <v>2215</v>
      </c>
    </row>
    <row r="1124" ht="14.399999999999999" customHeight="1">
      <c r="A1124" s="23" t="s">
        <v>2216</v>
      </c>
      <c r="B1124" s="23" t="s">
        <v>2217</v>
      </c>
    </row>
    <row r="1125" ht="14.399999999999999" customHeight="1">
      <c r="A1125" s="23" t="s">
        <v>2218</v>
      </c>
      <c r="B1125" s="23" t="s">
        <v>2219</v>
      </c>
    </row>
    <row r="1126" ht="14.399999999999999" customHeight="1">
      <c r="A1126" s="23" t="s">
        <v>2220</v>
      </c>
      <c r="B1126" s="23" t="s">
        <v>2221</v>
      </c>
    </row>
    <row r="1127" ht="14.399999999999999" customHeight="1">
      <c r="A1127" s="23" t="s">
        <v>2222</v>
      </c>
      <c r="B1127" s="23" t="s">
        <v>2223</v>
      </c>
    </row>
    <row r="1128" ht="14.399999999999999" customHeight="1">
      <c r="A1128" s="23" t="s">
        <v>2224</v>
      </c>
      <c r="B1128" s="23" t="s">
        <v>2225</v>
      </c>
    </row>
    <row r="1129" ht="14.399999999999999" customHeight="1">
      <c r="A1129" s="21" t="s">
        <v>2226</v>
      </c>
      <c r="B1129" s="23" t="s">
        <v>2227</v>
      </c>
    </row>
    <row r="1130" ht="14.399999999999999" customHeight="1">
      <c r="A1130" s="21" t="s">
        <v>2228</v>
      </c>
      <c r="B1130" s="23" t="s">
        <v>2229</v>
      </c>
    </row>
    <row r="1131" ht="14.399999999999999" customHeight="1">
      <c r="A1131" s="21" t="s">
        <v>2230</v>
      </c>
      <c r="B1131" s="23" t="s">
        <v>2231</v>
      </c>
    </row>
    <row r="1132" ht="14.399999999999999" customHeight="1">
      <c r="A1132" s="23" t="s">
        <v>2232</v>
      </c>
      <c r="B1132" s="23" t="s">
        <v>2233</v>
      </c>
    </row>
    <row r="1133" ht="14.399999999999999" customHeight="1">
      <c r="A1133" s="23" t="s">
        <v>2234</v>
      </c>
      <c r="B1133" s="23" t="s">
        <v>2235</v>
      </c>
    </row>
    <row r="1134" ht="14.399999999999999" customHeight="1">
      <c r="A1134" s="23" t="s">
        <v>2236</v>
      </c>
      <c r="B1134" s="23" t="s">
        <v>2237</v>
      </c>
    </row>
    <row r="1135" ht="14.399999999999999" customHeight="1">
      <c r="A1135" s="23" t="s">
        <v>2238</v>
      </c>
      <c r="B1135" s="23" t="s">
        <v>2239</v>
      </c>
    </row>
    <row r="1136" ht="14.399999999999999" customHeight="1">
      <c r="A1136" s="23" t="s">
        <v>2240</v>
      </c>
      <c r="B1136" s="23" t="s">
        <v>2241</v>
      </c>
    </row>
    <row r="1137" ht="14.399999999999999" customHeight="1">
      <c r="A1137" s="23" t="s">
        <v>2242</v>
      </c>
      <c r="B1137" s="23" t="s">
        <v>2243</v>
      </c>
    </row>
    <row r="1138" ht="14.399999999999999" customHeight="1">
      <c r="A1138" s="23" t="s">
        <v>2244</v>
      </c>
      <c r="B1138" s="23" t="s">
        <v>2245</v>
      </c>
    </row>
    <row r="1139" ht="14.399999999999999" customHeight="1">
      <c r="A1139" s="23" t="s">
        <v>2246</v>
      </c>
      <c r="B1139" s="23" t="s">
        <v>2247</v>
      </c>
    </row>
    <row r="1140" ht="14.399999999999999" customHeight="1">
      <c r="A1140" s="23" t="s">
        <v>2248</v>
      </c>
      <c r="B1140" s="23" t="s">
        <v>2249</v>
      </c>
    </row>
    <row r="1141" ht="14.399999999999999" customHeight="1">
      <c r="A1141" s="23" t="s">
        <v>2250</v>
      </c>
      <c r="B1141" s="23" t="s">
        <v>2251</v>
      </c>
    </row>
    <row r="1142" ht="14.399999999999999" customHeight="1">
      <c r="A1142" s="23" t="s">
        <v>2252</v>
      </c>
      <c r="B1142" s="23" t="s">
        <v>2253</v>
      </c>
    </row>
    <row r="1143" ht="14.399999999999999" customHeight="1">
      <c r="A1143" s="23" t="s">
        <v>2254</v>
      </c>
      <c r="B1143" s="23" t="s">
        <v>2255</v>
      </c>
    </row>
    <row r="1144" ht="14.399999999999999" customHeight="1">
      <c r="A1144" s="23" t="s">
        <v>2256</v>
      </c>
      <c r="B1144" s="23" t="s">
        <v>2257</v>
      </c>
    </row>
    <row r="1145" ht="14.399999999999999" customHeight="1">
      <c r="A1145" s="23" t="s">
        <v>2258</v>
      </c>
      <c r="B1145" s="23" t="s">
        <v>2259</v>
      </c>
    </row>
    <row r="1146" ht="14.399999999999999" customHeight="1">
      <c r="A1146" s="23" t="s">
        <v>2260</v>
      </c>
      <c r="B1146" s="23" t="s">
        <v>2261</v>
      </c>
    </row>
    <row r="1147" ht="14.399999999999999" customHeight="1">
      <c r="A1147" s="23" t="s">
        <v>2262</v>
      </c>
      <c r="B1147" s="23" t="s">
        <v>2263</v>
      </c>
    </row>
    <row r="1148" ht="14.399999999999999" customHeight="1">
      <c r="A1148" s="23" t="s">
        <v>2264</v>
      </c>
      <c r="B1148" s="23" t="s">
        <v>2265</v>
      </c>
    </row>
    <row r="1149" ht="14.399999999999999" customHeight="1">
      <c r="A1149" s="23" t="s">
        <v>2266</v>
      </c>
      <c r="B1149" s="23" t="s">
        <v>2267</v>
      </c>
    </row>
    <row r="1150" ht="14.399999999999999" customHeight="1">
      <c r="A1150" s="23" t="s">
        <v>2268</v>
      </c>
      <c r="B1150" s="23" t="s">
        <v>2269</v>
      </c>
    </row>
    <row r="1151" ht="14.399999999999999" customHeight="1">
      <c r="A1151" s="23" t="s">
        <v>2270</v>
      </c>
      <c r="B1151" s="23" t="s">
        <v>2271</v>
      </c>
    </row>
    <row r="1152" ht="14.399999999999999" customHeight="1">
      <c r="A1152" s="23" t="s">
        <v>2272</v>
      </c>
      <c r="B1152" s="23" t="s">
        <v>2273</v>
      </c>
    </row>
    <row r="1153" ht="14.399999999999999" customHeight="1">
      <c r="A1153" s="21" t="s">
        <v>2274</v>
      </c>
      <c r="B1153" s="23" t="s">
        <v>2275</v>
      </c>
    </row>
    <row r="1154" ht="14.399999999999999" customHeight="1">
      <c r="A1154" s="23" t="s">
        <v>2276</v>
      </c>
      <c r="B1154" s="23" t="s">
        <v>2277</v>
      </c>
    </row>
    <row r="1155" ht="14.399999999999999" customHeight="1">
      <c r="A1155" s="23" t="s">
        <v>2278</v>
      </c>
      <c r="B1155" s="23" t="s">
        <v>2279</v>
      </c>
    </row>
    <row r="1156" ht="14.399999999999999" customHeight="1">
      <c r="A1156" s="23" t="s">
        <v>2280</v>
      </c>
      <c r="B1156" s="23" t="s">
        <v>2281</v>
      </c>
    </row>
    <row r="1157" ht="14.399999999999999" customHeight="1">
      <c r="A1157" s="23" t="s">
        <v>2282</v>
      </c>
      <c r="B1157" s="23" t="s">
        <v>2283</v>
      </c>
    </row>
    <row r="1158" ht="14.399999999999999" customHeight="1">
      <c r="A1158" s="23" t="s">
        <v>2284</v>
      </c>
      <c r="B1158" s="23" t="s">
        <v>2285</v>
      </c>
    </row>
    <row r="1159" ht="14.399999999999999" customHeight="1">
      <c r="A1159" s="23" t="s">
        <v>2286</v>
      </c>
      <c r="B1159" s="23" t="s">
        <v>2287</v>
      </c>
    </row>
    <row r="1160" ht="14.399999999999999" customHeight="1">
      <c r="A1160" s="23" t="s">
        <v>2288</v>
      </c>
      <c r="B1160" s="23" t="s">
        <v>2289</v>
      </c>
    </row>
    <row r="1161" ht="14.399999999999999" customHeight="1">
      <c r="A1161" s="23" t="s">
        <v>2290</v>
      </c>
      <c r="B1161" s="23" t="s">
        <v>2291</v>
      </c>
    </row>
    <row r="1162" ht="14.399999999999999" customHeight="1">
      <c r="A1162" s="23" t="s">
        <v>2292</v>
      </c>
      <c r="B1162" s="23" t="s">
        <v>2293</v>
      </c>
    </row>
    <row r="1163" ht="14.399999999999999" customHeight="1">
      <c r="A1163" s="23" t="s">
        <v>2294</v>
      </c>
      <c r="B1163" s="23" t="s">
        <v>2295</v>
      </c>
    </row>
    <row r="1164" ht="14.399999999999999" customHeight="1">
      <c r="A1164" s="23" t="s">
        <v>2296</v>
      </c>
      <c r="B1164" s="23" t="s">
        <v>2297</v>
      </c>
    </row>
    <row r="1165" ht="14.399999999999999" customHeight="1">
      <c r="A1165" s="23" t="s">
        <v>2298</v>
      </c>
      <c r="B1165" s="23" t="s">
        <v>2299</v>
      </c>
    </row>
    <row r="1166" ht="14.399999999999999" customHeight="1">
      <c r="A1166" s="23" t="s">
        <v>2300</v>
      </c>
      <c r="B1166" s="23" t="s">
        <v>2301</v>
      </c>
    </row>
    <row r="1167" ht="14.399999999999999" customHeight="1">
      <c r="A1167" s="23" t="s">
        <v>2302</v>
      </c>
      <c r="B1167" s="23" t="s">
        <v>2303</v>
      </c>
    </row>
    <row r="1168" ht="14.399999999999999" customHeight="1">
      <c r="A1168" s="23" t="s">
        <v>2304</v>
      </c>
      <c r="B1168" s="23" t="s">
        <v>2305</v>
      </c>
    </row>
    <row r="1169" ht="14.399999999999999" customHeight="1">
      <c r="A1169" s="23" t="s">
        <v>2306</v>
      </c>
      <c r="B1169" s="23" t="s">
        <v>2307</v>
      </c>
    </row>
    <row r="1170" ht="14.399999999999999" customHeight="1">
      <c r="A1170" s="23" t="s">
        <v>2308</v>
      </c>
      <c r="B1170" s="23" t="s">
        <v>2309</v>
      </c>
    </row>
    <row r="1171" ht="14.399999999999999" customHeight="1">
      <c r="A1171" s="23" t="s">
        <v>2310</v>
      </c>
      <c r="B1171" s="23" t="s">
        <v>2311</v>
      </c>
    </row>
    <row r="1172" ht="14.399999999999999" customHeight="1">
      <c r="A1172" s="23" t="s">
        <v>2312</v>
      </c>
      <c r="B1172" s="23" t="s">
        <v>2313</v>
      </c>
    </row>
    <row r="1173" ht="14.399999999999999" customHeight="1">
      <c r="A1173" s="23" t="s">
        <v>2314</v>
      </c>
      <c r="B1173" s="23" t="s">
        <v>2315</v>
      </c>
    </row>
    <row r="1174" ht="14.399999999999999" customHeight="1">
      <c r="A1174" s="23" t="s">
        <v>2316</v>
      </c>
      <c r="B1174" s="23" t="s">
        <v>2317</v>
      </c>
    </row>
    <row r="1175" ht="14.399999999999999" customHeight="1">
      <c r="A1175" s="23" t="s">
        <v>2318</v>
      </c>
      <c r="B1175" s="23" t="s">
        <v>2319</v>
      </c>
    </row>
    <row r="1176" ht="14.399999999999999" customHeight="1">
      <c r="A1176" s="23" t="s">
        <v>2320</v>
      </c>
      <c r="B1176" s="23" t="s">
        <v>2321</v>
      </c>
    </row>
    <row r="1177" ht="14.399999999999999" customHeight="1">
      <c r="A1177" s="23" t="s">
        <v>2322</v>
      </c>
      <c r="B1177" s="23" t="s">
        <v>2323</v>
      </c>
    </row>
    <row r="1178" ht="14.399999999999999" customHeight="1">
      <c r="A1178" s="23" t="s">
        <v>2324</v>
      </c>
      <c r="B1178" s="23" t="s">
        <v>2325</v>
      </c>
    </row>
    <row r="1179" ht="14.399999999999999" customHeight="1">
      <c r="A1179" s="23" t="s">
        <v>2326</v>
      </c>
      <c r="B1179" s="23" t="s">
        <v>2327</v>
      </c>
    </row>
    <row r="1180" ht="14.399999999999999" customHeight="1">
      <c r="A1180" s="23" t="s">
        <v>2328</v>
      </c>
      <c r="B1180" s="23" t="s">
        <v>2329</v>
      </c>
    </row>
    <row r="1181" ht="14.399999999999999" customHeight="1">
      <c r="A1181" s="23" t="s">
        <v>2330</v>
      </c>
      <c r="B1181" s="23" t="s">
        <v>2331</v>
      </c>
    </row>
    <row r="1182" ht="14.399999999999999" customHeight="1">
      <c r="A1182" s="23" t="s">
        <v>2332</v>
      </c>
      <c r="B1182" s="23" t="s">
        <v>2333</v>
      </c>
    </row>
    <row r="1183" ht="14.399999999999999" customHeight="1">
      <c r="A1183" s="23" t="s">
        <v>2334</v>
      </c>
      <c r="B1183" s="23" t="s">
        <v>2335</v>
      </c>
    </row>
    <row r="1184" ht="14.399999999999999" customHeight="1">
      <c r="A1184" s="23" t="s">
        <v>2336</v>
      </c>
      <c r="B1184" s="23" t="s">
        <v>2337</v>
      </c>
    </row>
    <row r="1185" ht="14.399999999999999" customHeight="1">
      <c r="A1185" s="23" t="s">
        <v>2338</v>
      </c>
      <c r="B1185" s="23" t="s">
        <v>2339</v>
      </c>
    </row>
    <row r="1186" ht="14.399999999999999" customHeight="1">
      <c r="A1186" s="23" t="s">
        <v>2340</v>
      </c>
      <c r="B1186" s="23" t="s">
        <v>2341</v>
      </c>
    </row>
    <row r="1187" ht="14.399999999999999" customHeight="1">
      <c r="A1187" s="23" t="s">
        <v>2342</v>
      </c>
      <c r="B1187" s="23" t="s">
        <v>2343</v>
      </c>
    </row>
    <row r="1188" ht="14.399999999999999" customHeight="1">
      <c r="A1188" s="23" t="s">
        <v>2344</v>
      </c>
      <c r="B1188" s="23" t="s">
        <v>2345</v>
      </c>
    </row>
    <row r="1189" ht="14.399999999999999" customHeight="1">
      <c r="A1189" s="23" t="s">
        <v>2346</v>
      </c>
      <c r="B1189" s="23" t="s">
        <v>2347</v>
      </c>
    </row>
    <row r="1190" ht="14.399999999999999" customHeight="1">
      <c r="A1190" s="23" t="s">
        <v>2348</v>
      </c>
      <c r="B1190" s="23" t="s">
        <v>2349</v>
      </c>
    </row>
    <row r="1191" ht="14.399999999999999" customHeight="1">
      <c r="A1191" s="23" t="s">
        <v>2350</v>
      </c>
      <c r="B1191" s="23" t="s">
        <v>2351</v>
      </c>
    </row>
    <row r="1192" ht="14.399999999999999" customHeight="1">
      <c r="A1192" s="23" t="s">
        <v>2352</v>
      </c>
      <c r="B1192" s="23" t="s">
        <v>2353</v>
      </c>
    </row>
    <row r="1193" ht="14.399999999999999" customHeight="1">
      <c r="A1193" s="23" t="s">
        <v>2354</v>
      </c>
      <c r="B1193" s="23" t="s">
        <v>2355</v>
      </c>
    </row>
    <row r="1194" ht="14.399999999999999" customHeight="1">
      <c r="A1194" s="23" t="s">
        <v>2356</v>
      </c>
      <c r="B1194" s="23" t="s">
        <v>2357</v>
      </c>
    </row>
    <row r="1195" ht="14.399999999999999" customHeight="1">
      <c r="A1195" s="23" t="s">
        <v>2358</v>
      </c>
      <c r="B1195" s="23" t="s">
        <v>2359</v>
      </c>
    </row>
    <row r="1196" ht="14.399999999999999" customHeight="1">
      <c r="A1196" s="23" t="s">
        <v>2360</v>
      </c>
      <c r="B1196" s="23" t="s">
        <v>2361</v>
      </c>
    </row>
    <row r="1197" ht="14.399999999999999" customHeight="1">
      <c r="A1197" s="23" t="s">
        <v>2362</v>
      </c>
      <c r="B1197" s="23" t="s">
        <v>2363</v>
      </c>
    </row>
    <row r="1198" ht="14.399999999999999" customHeight="1">
      <c r="A1198" s="23" t="s">
        <v>2364</v>
      </c>
      <c r="B1198" s="23" t="s">
        <v>2365</v>
      </c>
    </row>
    <row r="1199" ht="14.399999999999999" customHeight="1">
      <c r="A1199" s="23" t="s">
        <v>2366</v>
      </c>
      <c r="B1199" s="23" t="s">
        <v>2367</v>
      </c>
    </row>
    <row r="1200" ht="14.399999999999999" customHeight="1">
      <c r="A1200" s="23" t="s">
        <v>2368</v>
      </c>
      <c r="B1200" s="23" t="s">
        <v>2369</v>
      </c>
    </row>
    <row r="1201" ht="14.399999999999999" customHeight="1">
      <c r="A1201" s="23" t="s">
        <v>2370</v>
      </c>
      <c r="B1201" s="23" t="s">
        <v>2371</v>
      </c>
    </row>
    <row r="1202" ht="14.399999999999999" customHeight="1">
      <c r="A1202" s="23" t="s">
        <v>2372</v>
      </c>
      <c r="B1202" s="23" t="s">
        <v>2373</v>
      </c>
    </row>
    <row r="1203" ht="14.399999999999999" customHeight="1">
      <c r="A1203" s="23" t="s">
        <v>2374</v>
      </c>
      <c r="B1203" s="23" t="s">
        <v>2375</v>
      </c>
    </row>
    <row r="1204" ht="14.399999999999999" customHeight="1">
      <c r="A1204" s="23" t="s">
        <v>2376</v>
      </c>
      <c r="B1204" s="23" t="s">
        <v>2377</v>
      </c>
    </row>
    <row r="1205" ht="14.399999999999999" customHeight="1">
      <c r="A1205" s="23" t="s">
        <v>2378</v>
      </c>
      <c r="B1205" s="23" t="s">
        <v>2379</v>
      </c>
    </row>
    <row r="1206" ht="14.399999999999999" customHeight="1">
      <c r="A1206" s="23" t="s">
        <v>2380</v>
      </c>
      <c r="B1206" s="23" t="s">
        <v>2381</v>
      </c>
    </row>
    <row r="1207" ht="14.399999999999999" customHeight="1">
      <c r="A1207" s="23" t="s">
        <v>2382</v>
      </c>
      <c r="B1207" s="23" t="s">
        <v>2383</v>
      </c>
    </row>
    <row r="1208" ht="14.399999999999999" customHeight="1">
      <c r="A1208" s="23" t="s">
        <v>2384</v>
      </c>
      <c r="B1208" s="23" t="s">
        <v>2385</v>
      </c>
    </row>
    <row r="1209" ht="14.399999999999999" customHeight="1">
      <c r="A1209" s="23" t="s">
        <v>2386</v>
      </c>
      <c r="B1209" s="23" t="s">
        <v>2387</v>
      </c>
    </row>
    <row r="1210" ht="14.399999999999999" customHeight="1">
      <c r="A1210" s="23" t="s">
        <v>2388</v>
      </c>
      <c r="B1210" s="23" t="s">
        <v>2389</v>
      </c>
    </row>
    <row r="1211" ht="14.399999999999999" customHeight="1">
      <c r="A1211" s="23" t="s">
        <v>2390</v>
      </c>
      <c r="B1211" s="23" t="s">
        <v>2391</v>
      </c>
    </row>
    <row r="1212" ht="14.399999999999999" customHeight="1">
      <c r="A1212" s="23" t="s">
        <v>2392</v>
      </c>
      <c r="B1212" s="23" t="s">
        <v>2393</v>
      </c>
    </row>
    <row r="1213" ht="14.399999999999999" customHeight="1">
      <c r="A1213" s="23" t="s">
        <v>2394</v>
      </c>
      <c r="B1213" s="23" t="s">
        <v>2395</v>
      </c>
    </row>
    <row r="1214" ht="14.399999999999999" customHeight="1">
      <c r="A1214" s="23" t="s">
        <v>2396</v>
      </c>
      <c r="B1214" s="23" t="s">
        <v>2397</v>
      </c>
    </row>
    <row r="1215" ht="14.399999999999999" customHeight="1">
      <c r="A1215" s="23" t="s">
        <v>2398</v>
      </c>
      <c r="B1215" s="23" t="s">
        <v>2399</v>
      </c>
    </row>
    <row r="1216" ht="14.399999999999999" customHeight="1">
      <c r="A1216" s="23" t="s">
        <v>2400</v>
      </c>
      <c r="B1216" s="23" t="s">
        <v>2401</v>
      </c>
    </row>
    <row r="1217" ht="14.399999999999999" customHeight="1">
      <c r="A1217" s="23" t="s">
        <v>2402</v>
      </c>
      <c r="B1217" s="23" t="s">
        <v>2403</v>
      </c>
    </row>
    <row r="1218" ht="14.399999999999999" customHeight="1">
      <c r="A1218" s="23" t="s">
        <v>2404</v>
      </c>
      <c r="B1218" s="23" t="s">
        <v>2405</v>
      </c>
    </row>
    <row r="1219" ht="14.399999999999999" customHeight="1">
      <c r="A1219" s="23" t="s">
        <v>2406</v>
      </c>
      <c r="B1219" s="23" t="s">
        <v>2407</v>
      </c>
    </row>
    <row r="1220" ht="14.399999999999999" customHeight="1">
      <c r="A1220" s="23" t="s">
        <v>2408</v>
      </c>
      <c r="B1220" s="23" t="s">
        <v>2409</v>
      </c>
    </row>
    <row r="1221" ht="14.399999999999999" customHeight="1">
      <c r="A1221" s="23" t="s">
        <v>2410</v>
      </c>
      <c r="B1221" s="23" t="s">
        <v>2411</v>
      </c>
    </row>
    <row r="1222" ht="14.399999999999999" customHeight="1">
      <c r="A1222" s="23" t="s">
        <v>2412</v>
      </c>
      <c r="B1222" s="23" t="s">
        <v>2413</v>
      </c>
    </row>
    <row r="1223" ht="14.399999999999999" customHeight="1">
      <c r="A1223" s="23" t="s">
        <v>2414</v>
      </c>
      <c r="B1223" s="23" t="s">
        <v>2415</v>
      </c>
    </row>
    <row r="1224" ht="14.399999999999999" customHeight="1">
      <c r="A1224" s="23" t="s">
        <v>2416</v>
      </c>
      <c r="B1224" s="23" t="s">
        <v>2417</v>
      </c>
    </row>
    <row r="1225" ht="14.399999999999999" customHeight="1">
      <c r="A1225" s="23" t="s">
        <v>2418</v>
      </c>
      <c r="B1225" s="23" t="s">
        <v>2419</v>
      </c>
    </row>
    <row r="1226" ht="14.399999999999999" customHeight="1">
      <c r="A1226" s="23" t="s">
        <v>2420</v>
      </c>
      <c r="B1226" s="23" t="s">
        <v>2421</v>
      </c>
    </row>
    <row r="1227" ht="14.399999999999999" customHeight="1">
      <c r="A1227" s="23" t="s">
        <v>2422</v>
      </c>
      <c r="B1227" s="23" t="s">
        <v>2423</v>
      </c>
    </row>
    <row r="1228" ht="14.399999999999999" customHeight="1">
      <c r="A1228" s="23" t="s">
        <v>2424</v>
      </c>
      <c r="B1228" s="23" t="s">
        <v>2425</v>
      </c>
    </row>
    <row r="1229" ht="14.399999999999999" customHeight="1">
      <c r="A1229" s="23" t="s">
        <v>2426</v>
      </c>
      <c r="B1229" s="23" t="s">
        <v>2427</v>
      </c>
    </row>
    <row r="1230" ht="14.399999999999999" customHeight="1">
      <c r="A1230" s="23" t="s">
        <v>2428</v>
      </c>
      <c r="B1230" s="23" t="s">
        <v>2429</v>
      </c>
    </row>
    <row r="1231" ht="14.399999999999999" customHeight="1">
      <c r="A1231" s="23" t="s">
        <v>2430</v>
      </c>
      <c r="B1231" s="23" t="s">
        <v>2431</v>
      </c>
    </row>
    <row r="1232" ht="14.399999999999999" customHeight="1">
      <c r="A1232" s="23" t="s">
        <v>2432</v>
      </c>
      <c r="B1232" s="23" t="s">
        <v>2433</v>
      </c>
    </row>
    <row r="1233" ht="14.399999999999999" customHeight="1">
      <c r="A1233" s="23" t="s">
        <v>2434</v>
      </c>
      <c r="B1233" s="23" t="s">
        <v>2435</v>
      </c>
    </row>
    <row r="1234" ht="14.399999999999999" customHeight="1">
      <c r="A1234" s="23" t="s">
        <v>2436</v>
      </c>
      <c r="B1234" s="23" t="s">
        <v>2437</v>
      </c>
    </row>
    <row r="1235" ht="14.399999999999999" customHeight="1">
      <c r="A1235" s="23" t="s">
        <v>2438</v>
      </c>
      <c r="B1235" s="23" t="s">
        <v>2439</v>
      </c>
    </row>
    <row r="1236" ht="14.399999999999999" customHeight="1">
      <c r="A1236" s="23" t="s">
        <v>2440</v>
      </c>
      <c r="B1236" s="23" t="s">
        <v>2441</v>
      </c>
    </row>
    <row r="1237" ht="14.399999999999999" customHeight="1">
      <c r="A1237" s="23" t="s">
        <v>2442</v>
      </c>
      <c r="B1237" s="23" t="s">
        <v>2443</v>
      </c>
    </row>
    <row r="1238" ht="14.399999999999999" customHeight="1">
      <c r="A1238" s="23" t="s">
        <v>2444</v>
      </c>
      <c r="B1238" s="23" t="s">
        <v>2445</v>
      </c>
    </row>
    <row r="1239" ht="14.399999999999999" customHeight="1">
      <c r="A1239" s="23" t="s">
        <v>2446</v>
      </c>
      <c r="B1239" s="23" t="s">
        <v>2447</v>
      </c>
    </row>
    <row r="1240" ht="14.399999999999999" customHeight="1">
      <c r="A1240" s="23" t="s">
        <v>2448</v>
      </c>
      <c r="B1240" s="23" t="s">
        <v>2449</v>
      </c>
    </row>
    <row r="1241" ht="14.399999999999999" customHeight="1">
      <c r="A1241" s="23" t="s">
        <v>2450</v>
      </c>
      <c r="B1241" s="23" t="s">
        <v>2451</v>
      </c>
    </row>
    <row r="1242" ht="14.399999999999999" customHeight="1">
      <c r="A1242" s="23" t="s">
        <v>2452</v>
      </c>
      <c r="B1242" s="23" t="s">
        <v>2453</v>
      </c>
    </row>
    <row r="1243" ht="14.399999999999999" customHeight="1">
      <c r="A1243" s="23" t="s">
        <v>2454</v>
      </c>
      <c r="B1243" s="23" t="s">
        <v>2455</v>
      </c>
    </row>
    <row r="1244" ht="14.399999999999999" customHeight="1">
      <c r="A1244" s="23" t="s">
        <v>2456</v>
      </c>
      <c r="B1244" s="23" t="s">
        <v>2457</v>
      </c>
    </row>
    <row r="1245" ht="14.399999999999999" customHeight="1">
      <c r="A1245" s="23" t="s">
        <v>2458</v>
      </c>
      <c r="B1245" s="23" t="s">
        <v>2459</v>
      </c>
    </row>
    <row r="1246" ht="14.399999999999999" customHeight="1">
      <c r="A1246" s="23" t="s">
        <v>2460</v>
      </c>
      <c r="B1246" s="23" t="s">
        <v>2461</v>
      </c>
    </row>
    <row r="1247" ht="14.399999999999999" customHeight="1">
      <c r="A1247" s="23" t="s">
        <v>2462</v>
      </c>
      <c r="B1247" s="23" t="s">
        <v>2463</v>
      </c>
    </row>
    <row r="1248" ht="14.399999999999999" customHeight="1">
      <c r="A1248" s="23" t="s">
        <v>2464</v>
      </c>
      <c r="B1248" s="23" t="s">
        <v>2465</v>
      </c>
    </row>
    <row r="1249" ht="14.399999999999999" customHeight="1">
      <c r="A1249" s="23" t="s">
        <v>2466</v>
      </c>
      <c r="B1249" s="23" t="s">
        <v>2467</v>
      </c>
    </row>
    <row r="1250" ht="14.399999999999999" customHeight="1">
      <c r="A1250" s="23" t="s">
        <v>2468</v>
      </c>
      <c r="B1250" s="23" t="s">
        <v>2469</v>
      </c>
    </row>
    <row r="1251" ht="14.399999999999999" customHeight="1">
      <c r="A1251" s="23" t="s">
        <v>2470</v>
      </c>
      <c r="B1251" s="23" t="s">
        <v>2471</v>
      </c>
    </row>
    <row r="1252" ht="14.399999999999999" customHeight="1">
      <c r="A1252" s="23" t="s">
        <v>2472</v>
      </c>
      <c r="B1252" s="23" t="s">
        <v>2473</v>
      </c>
    </row>
    <row r="1253" ht="14.399999999999999" customHeight="1">
      <c r="A1253" s="23" t="s">
        <v>2474</v>
      </c>
      <c r="B1253" s="23" t="s">
        <v>2475</v>
      </c>
    </row>
    <row r="1254" ht="14.399999999999999" customHeight="1">
      <c r="A1254" s="23" t="s">
        <v>2476</v>
      </c>
      <c r="B1254" s="23" t="s">
        <v>2477</v>
      </c>
    </row>
    <row r="1255" ht="14.399999999999999" customHeight="1">
      <c r="A1255" s="23" t="s">
        <v>2478</v>
      </c>
      <c r="B1255" s="23" t="s">
        <v>2479</v>
      </c>
    </row>
    <row r="1256" ht="14.399999999999999" customHeight="1">
      <c r="A1256" s="23" t="s">
        <v>2480</v>
      </c>
      <c r="B1256" s="23" t="s">
        <v>2481</v>
      </c>
    </row>
    <row r="1257" ht="14.399999999999999" customHeight="1">
      <c r="A1257" s="23" t="s">
        <v>2482</v>
      </c>
      <c r="B1257" s="23" t="s">
        <v>2483</v>
      </c>
    </row>
    <row r="1258" ht="14.399999999999999" customHeight="1">
      <c r="A1258" s="23" t="s">
        <v>2484</v>
      </c>
      <c r="B1258" s="23" t="s">
        <v>2485</v>
      </c>
    </row>
    <row r="1259" ht="14.399999999999999" customHeight="1">
      <c r="A1259" s="23" t="s">
        <v>2486</v>
      </c>
      <c r="B1259" s="23" t="s">
        <v>2487</v>
      </c>
    </row>
    <row r="1260" ht="14.399999999999999" customHeight="1">
      <c r="A1260" s="23" t="s">
        <v>2488</v>
      </c>
      <c r="B1260" s="23" t="s">
        <v>2489</v>
      </c>
    </row>
    <row r="1261" ht="14.399999999999999" customHeight="1">
      <c r="A1261" s="23" t="s">
        <v>2490</v>
      </c>
      <c r="B1261" s="23" t="s">
        <v>2491</v>
      </c>
    </row>
    <row r="1262" ht="14.399999999999999" customHeight="1">
      <c r="A1262" s="23" t="s">
        <v>2492</v>
      </c>
      <c r="B1262" s="23" t="s">
        <v>2493</v>
      </c>
    </row>
    <row r="1263" ht="14.399999999999999" customHeight="1">
      <c r="A1263" s="23" t="s">
        <v>2494</v>
      </c>
      <c r="B1263" s="23" t="s">
        <v>2495</v>
      </c>
    </row>
    <row r="1264" ht="14.399999999999999" customHeight="1">
      <c r="A1264" s="23" t="s">
        <v>2496</v>
      </c>
      <c r="B1264" s="23" t="s">
        <v>2497</v>
      </c>
    </row>
    <row r="1265" ht="14.399999999999999" customHeight="1">
      <c r="A1265" s="23" t="s">
        <v>2498</v>
      </c>
      <c r="B1265" s="23" t="s">
        <v>2499</v>
      </c>
    </row>
    <row r="1266" ht="14.399999999999999" customHeight="1">
      <c r="A1266" s="21" t="s">
        <v>2500</v>
      </c>
      <c r="B1266" s="23" t="s">
        <v>2501</v>
      </c>
    </row>
    <row r="1267" ht="14.399999999999999" customHeight="1">
      <c r="A1267" s="21" t="s">
        <v>2502</v>
      </c>
      <c r="B1267" s="23" t="s">
        <v>2503</v>
      </c>
    </row>
    <row r="1268" ht="14.399999999999999" customHeight="1">
      <c r="A1268" s="21" t="s">
        <v>2504</v>
      </c>
      <c r="B1268" s="23" t="s">
        <v>2505</v>
      </c>
    </row>
    <row r="1269" ht="14.399999999999999" customHeight="1">
      <c r="A1269" s="21" t="s">
        <v>2506</v>
      </c>
      <c r="B1269" s="23" t="s">
        <v>2507</v>
      </c>
    </row>
    <row r="1270" ht="14.399999999999999" customHeight="1">
      <c r="A1270" s="21" t="s">
        <v>2508</v>
      </c>
      <c r="B1270" s="23" t="s">
        <v>2509</v>
      </c>
    </row>
    <row r="1271" ht="14.399999999999999" customHeight="1">
      <c r="A1271" s="23" t="s">
        <v>2510</v>
      </c>
      <c r="B1271" s="23" t="s">
        <v>2511</v>
      </c>
    </row>
    <row r="1272" ht="14.399999999999999" customHeight="1">
      <c r="A1272" s="23" t="s">
        <v>2512</v>
      </c>
      <c r="B1272" s="23" t="s">
        <v>2513</v>
      </c>
    </row>
    <row r="1273" ht="14.399999999999999" customHeight="1">
      <c r="A1273" s="23" t="s">
        <v>2514</v>
      </c>
      <c r="B1273" s="23" t="s">
        <v>2515</v>
      </c>
    </row>
    <row r="1274" ht="14.399999999999999" customHeight="1">
      <c r="A1274" s="23" t="s">
        <v>2516</v>
      </c>
      <c r="B1274" s="23" t="s">
        <v>2517</v>
      </c>
    </row>
    <row r="1275" ht="14.399999999999999" customHeight="1">
      <c r="A1275" s="23" t="s">
        <v>2518</v>
      </c>
      <c r="B1275" s="23" t="s">
        <v>2519</v>
      </c>
    </row>
    <row r="1276" ht="14.399999999999999" customHeight="1">
      <c r="A1276" s="23" t="s">
        <v>2520</v>
      </c>
      <c r="B1276" s="23" t="s">
        <v>2521</v>
      </c>
    </row>
    <row r="1277" ht="14.399999999999999" customHeight="1">
      <c r="A1277" s="23" t="s">
        <v>2522</v>
      </c>
      <c r="B1277" s="23" t="s">
        <v>2523</v>
      </c>
    </row>
    <row r="1278" ht="14.399999999999999" customHeight="1">
      <c r="A1278" s="23" t="s">
        <v>2524</v>
      </c>
      <c r="B1278" s="23" t="s">
        <v>2525</v>
      </c>
    </row>
    <row r="1279" ht="14.399999999999999" customHeight="1">
      <c r="A1279" s="23" t="s">
        <v>2526</v>
      </c>
      <c r="B1279" s="23" t="s">
        <v>2527</v>
      </c>
    </row>
    <row r="1280" ht="14.399999999999999" customHeight="1">
      <c r="A1280" s="23" t="s">
        <v>2528</v>
      </c>
      <c r="B1280" s="23" t="s">
        <v>2529</v>
      </c>
    </row>
    <row r="1281" ht="14.399999999999999" customHeight="1">
      <c r="A1281" s="23" t="s">
        <v>2530</v>
      </c>
      <c r="B1281" s="23" t="s">
        <v>2531</v>
      </c>
    </row>
    <row r="1282" ht="14.399999999999999" customHeight="1">
      <c r="A1282" s="23" t="s">
        <v>2532</v>
      </c>
      <c r="B1282" s="23" t="s">
        <v>2533</v>
      </c>
    </row>
    <row r="1283" ht="14.399999999999999" customHeight="1">
      <c r="A1283" s="23" t="s">
        <v>2534</v>
      </c>
      <c r="B1283" s="23" t="s">
        <v>2535</v>
      </c>
    </row>
    <row r="1284" ht="14.399999999999999" customHeight="1">
      <c r="A1284" s="23" t="s">
        <v>2536</v>
      </c>
      <c r="B1284" s="23" t="s">
        <v>2537</v>
      </c>
    </row>
    <row r="1285" ht="14.399999999999999" customHeight="1">
      <c r="A1285" s="23" t="s">
        <v>2538</v>
      </c>
      <c r="B1285" s="23" t="s">
        <v>2539</v>
      </c>
    </row>
    <row r="1286" ht="14.399999999999999" customHeight="1">
      <c r="A1286" s="23" t="s">
        <v>2540</v>
      </c>
      <c r="B1286" s="23" t="s">
        <v>2541</v>
      </c>
    </row>
    <row r="1287" ht="14.399999999999999" customHeight="1">
      <c r="A1287" s="23" t="s">
        <v>2542</v>
      </c>
      <c r="B1287" s="23" t="s">
        <v>2543</v>
      </c>
    </row>
    <row r="1288" ht="14.399999999999999" customHeight="1">
      <c r="A1288" s="23" t="s">
        <v>2544</v>
      </c>
      <c r="B1288" s="23" t="s">
        <v>2545</v>
      </c>
    </row>
    <row r="1289" ht="14.399999999999999" customHeight="1">
      <c r="A1289" s="23" t="s">
        <v>2546</v>
      </c>
      <c r="B1289" s="23" t="s">
        <v>2547</v>
      </c>
    </row>
    <row r="1290" ht="14.399999999999999" customHeight="1">
      <c r="A1290" s="23" t="s">
        <v>2548</v>
      </c>
      <c r="B1290" s="23" t="s">
        <v>2549</v>
      </c>
    </row>
    <row r="1291" ht="14.399999999999999" customHeight="1">
      <c r="A1291" s="23" t="s">
        <v>2550</v>
      </c>
      <c r="B1291" s="23" t="s">
        <v>2551</v>
      </c>
    </row>
    <row r="1292" ht="14.399999999999999" customHeight="1">
      <c r="A1292" s="23" t="s">
        <v>2552</v>
      </c>
      <c r="B1292" s="23" t="s">
        <v>2553</v>
      </c>
    </row>
    <row r="1293" ht="14.399999999999999" customHeight="1">
      <c r="A1293" s="23" t="s">
        <v>2554</v>
      </c>
      <c r="B1293" s="23" t="s">
        <v>2555</v>
      </c>
    </row>
    <row r="1294" ht="14.399999999999999" customHeight="1">
      <c r="A1294" s="23" t="s">
        <v>2556</v>
      </c>
      <c r="B1294" s="23" t="s">
        <v>2557</v>
      </c>
    </row>
    <row r="1295" ht="14.399999999999999" customHeight="1">
      <c r="A1295" s="23" t="s">
        <v>2558</v>
      </c>
      <c r="B1295" s="23" t="s">
        <v>2559</v>
      </c>
    </row>
    <row r="1296" ht="14.399999999999999" customHeight="1">
      <c r="A1296" s="23" t="s">
        <v>2560</v>
      </c>
      <c r="B1296" s="23" t="s">
        <v>2561</v>
      </c>
    </row>
    <row r="1297" ht="14.399999999999999" customHeight="1">
      <c r="A1297" s="23" t="s">
        <v>2562</v>
      </c>
      <c r="B1297" s="23" t="s">
        <v>2563</v>
      </c>
    </row>
    <row r="1298" ht="14.399999999999999" customHeight="1">
      <c r="A1298" s="23" t="s">
        <v>2564</v>
      </c>
      <c r="B1298" s="23" t="s">
        <v>2565</v>
      </c>
    </row>
    <row r="1299" ht="14.399999999999999" customHeight="1">
      <c r="A1299" s="23" t="s">
        <v>2566</v>
      </c>
      <c r="B1299" s="23" t="s">
        <v>2567</v>
      </c>
    </row>
    <row r="1300" ht="14.399999999999999" customHeight="1">
      <c r="A1300" s="23" t="s">
        <v>2568</v>
      </c>
      <c r="B1300" s="23" t="s">
        <v>2569</v>
      </c>
    </row>
    <row r="1301" ht="14.399999999999999" customHeight="1">
      <c r="A1301" s="23" t="s">
        <v>2570</v>
      </c>
      <c r="B1301" s="23" t="s">
        <v>2571</v>
      </c>
    </row>
    <row r="1302" ht="14.399999999999999" customHeight="1">
      <c r="A1302" s="23" t="s">
        <v>2572</v>
      </c>
      <c r="B1302" s="23" t="s">
        <v>2573</v>
      </c>
    </row>
    <row r="1303" ht="14.399999999999999" customHeight="1">
      <c r="A1303" s="23" t="s">
        <v>2574</v>
      </c>
      <c r="B1303" s="23" t="s">
        <v>2575</v>
      </c>
    </row>
    <row r="1304" ht="14.399999999999999" customHeight="1">
      <c r="A1304" s="23" t="s">
        <v>2576</v>
      </c>
      <c r="B1304" s="23" t="s">
        <v>2577</v>
      </c>
    </row>
    <row r="1305" ht="14.399999999999999" customHeight="1">
      <c r="A1305" s="23" t="s">
        <v>2578</v>
      </c>
      <c r="B1305" s="23" t="s">
        <v>2579</v>
      </c>
    </row>
    <row r="1306" ht="14.399999999999999" customHeight="1">
      <c r="A1306" s="23" t="s">
        <v>2580</v>
      </c>
      <c r="B1306" s="23" t="s">
        <v>2581</v>
      </c>
    </row>
    <row r="1307" ht="14.399999999999999" customHeight="1">
      <c r="A1307" s="23" t="s">
        <v>2582</v>
      </c>
      <c r="B1307" s="23" t="s">
        <v>2583</v>
      </c>
    </row>
    <row r="1308" ht="14.399999999999999" customHeight="1">
      <c r="A1308" s="23" t="s">
        <v>2584</v>
      </c>
      <c r="B1308" s="23" t="s">
        <v>2585</v>
      </c>
    </row>
    <row r="1309" ht="14.399999999999999" customHeight="1">
      <c r="A1309" s="23" t="s">
        <v>2586</v>
      </c>
      <c r="B1309" s="23" t="s">
        <v>2587</v>
      </c>
    </row>
    <row r="1310" ht="14.399999999999999" customHeight="1">
      <c r="A1310" s="23" t="s">
        <v>2588</v>
      </c>
      <c r="B1310" s="23" t="s">
        <v>2589</v>
      </c>
    </row>
    <row r="1311" ht="14.399999999999999" customHeight="1">
      <c r="A1311" s="23" t="s">
        <v>2590</v>
      </c>
      <c r="B1311" s="23" t="s">
        <v>2591</v>
      </c>
    </row>
    <row r="1312" ht="14.399999999999999" customHeight="1">
      <c r="A1312" s="23" t="s">
        <v>2592</v>
      </c>
      <c r="B1312" s="23" t="s">
        <v>2593</v>
      </c>
    </row>
    <row r="1313" ht="14.399999999999999" customHeight="1">
      <c r="A1313" s="23" t="s">
        <v>2594</v>
      </c>
      <c r="B1313" s="23" t="s">
        <v>2595</v>
      </c>
    </row>
    <row r="1314" ht="14.399999999999999" customHeight="1">
      <c r="A1314" s="23" t="s">
        <v>2596</v>
      </c>
      <c r="B1314" s="23" t="s">
        <v>2597</v>
      </c>
    </row>
    <row r="1315" ht="14.399999999999999" customHeight="1">
      <c r="A1315" s="23" t="s">
        <v>2598</v>
      </c>
      <c r="B1315" s="23" t="s">
        <v>2599</v>
      </c>
    </row>
    <row r="1316" ht="14.399999999999999" customHeight="1">
      <c r="A1316" s="23" t="s">
        <v>2600</v>
      </c>
      <c r="B1316" s="23" t="s">
        <v>2601</v>
      </c>
    </row>
    <row r="1317" ht="14.399999999999999" customHeight="1">
      <c r="A1317" s="23" t="s">
        <v>2602</v>
      </c>
      <c r="B1317" s="23" t="s">
        <v>2603</v>
      </c>
    </row>
    <row r="1318" ht="14.399999999999999" customHeight="1">
      <c r="A1318" s="23" t="s">
        <v>2604</v>
      </c>
      <c r="B1318" s="23" t="s">
        <v>2605</v>
      </c>
    </row>
    <row r="1319" ht="14.399999999999999" customHeight="1">
      <c r="A1319" s="23" t="s">
        <v>2606</v>
      </c>
      <c r="B1319" s="23" t="s">
        <v>2607</v>
      </c>
    </row>
    <row r="1320" ht="14.399999999999999" customHeight="1">
      <c r="A1320" s="23" t="s">
        <v>2608</v>
      </c>
      <c r="B1320" s="23" t="s">
        <v>2609</v>
      </c>
    </row>
    <row r="1321" s="20" customFormat="1" ht="14.399999999999999" customHeight="1">
      <c r="A1321" s="23" t="s">
        <v>2610</v>
      </c>
      <c r="B1321" s="23" t="s">
        <v>2611</v>
      </c>
    </row>
    <row r="1322" s="20" customFormat="1" ht="14.399999999999999" customHeight="1">
      <c r="A1322" s="23" t="s">
        <v>2612</v>
      </c>
      <c r="B1322" s="23" t="s">
        <v>2613</v>
      </c>
    </row>
    <row r="1323" s="20" customFormat="1" ht="14.399999999999999" customHeight="1">
      <c r="A1323" s="23" t="s">
        <v>2614</v>
      </c>
      <c r="B1323" s="23" t="s">
        <v>2615</v>
      </c>
    </row>
    <row r="1324" ht="14.399999999999999" customHeight="1">
      <c r="A1324" s="23" t="s">
        <v>2616</v>
      </c>
      <c r="B1324" s="23" t="s">
        <v>2617</v>
      </c>
    </row>
    <row r="1325" ht="14.399999999999999" customHeight="1">
      <c r="A1325" s="23" t="s">
        <v>2618</v>
      </c>
      <c r="B1325" s="23" t="s">
        <v>2619</v>
      </c>
    </row>
    <row r="1326" ht="14.399999999999999" customHeight="1">
      <c r="A1326" s="23" t="s">
        <v>2620</v>
      </c>
      <c r="B1326" s="23" t="s">
        <v>2621</v>
      </c>
    </row>
    <row r="1327" ht="14.399999999999999" customHeight="1">
      <c r="A1327" s="23" t="s">
        <v>2622</v>
      </c>
      <c r="B1327" s="23" t="s">
        <v>2623</v>
      </c>
    </row>
    <row r="1328" ht="14.399999999999999" customHeight="1">
      <c r="A1328" s="23" t="s">
        <v>2624</v>
      </c>
      <c r="B1328" s="23" t="s">
        <v>2625</v>
      </c>
    </row>
    <row r="1329" ht="14.399999999999999" customHeight="1">
      <c r="A1329" s="23" t="s">
        <v>2626</v>
      </c>
      <c r="B1329" s="23" t="s">
        <v>2627</v>
      </c>
    </row>
    <row r="1330" ht="14.399999999999999" customHeight="1">
      <c r="A1330" s="23" t="s">
        <v>2628</v>
      </c>
      <c r="B1330" s="23" t="s">
        <v>2629</v>
      </c>
    </row>
    <row r="1331" ht="14.399999999999999" customHeight="1">
      <c r="A1331" s="23" t="s">
        <v>2630</v>
      </c>
      <c r="B1331" s="23" t="s">
        <v>2631</v>
      </c>
    </row>
    <row r="1332" ht="14.399999999999999" customHeight="1">
      <c r="A1332" s="23" t="s">
        <v>2632</v>
      </c>
      <c r="B1332" s="23" t="s">
        <v>2633</v>
      </c>
    </row>
    <row r="1333" ht="14.399999999999999" customHeight="1">
      <c r="A1333" s="23" t="s">
        <v>2634</v>
      </c>
      <c r="B1333" s="23" t="s">
        <v>2635</v>
      </c>
    </row>
    <row r="1334" ht="14.399999999999999" customHeight="1">
      <c r="A1334" s="23" t="s">
        <v>2636</v>
      </c>
      <c r="B1334" s="23" t="s">
        <v>2637</v>
      </c>
    </row>
    <row r="1335" ht="14.399999999999999" customHeight="1">
      <c r="A1335" s="23" t="s">
        <v>2638</v>
      </c>
      <c r="B1335" s="23" t="s">
        <v>2639</v>
      </c>
    </row>
    <row r="1336" ht="14.399999999999999" customHeight="1">
      <c r="A1336" s="23" t="s">
        <v>2640</v>
      </c>
      <c r="B1336" s="23" t="s">
        <v>2641</v>
      </c>
    </row>
    <row r="1337" ht="14.399999999999999" customHeight="1">
      <c r="A1337" s="23" t="s">
        <v>2642</v>
      </c>
      <c r="B1337" s="23" t="s">
        <v>2643</v>
      </c>
    </row>
    <row r="1338" ht="14.399999999999999" customHeight="1">
      <c r="A1338" s="23" t="s">
        <v>2644</v>
      </c>
      <c r="B1338" s="23" t="s">
        <v>2645</v>
      </c>
    </row>
    <row r="1339" ht="14.399999999999999" customHeight="1">
      <c r="A1339" s="23" t="s">
        <v>2646</v>
      </c>
      <c r="B1339" s="23" t="s">
        <v>2647</v>
      </c>
    </row>
    <row r="1340" ht="14.399999999999999" customHeight="1">
      <c r="A1340" s="23" t="s">
        <v>2648</v>
      </c>
      <c r="B1340" s="23" t="s">
        <v>2649</v>
      </c>
    </row>
    <row r="1341" ht="14.399999999999999" customHeight="1">
      <c r="A1341" s="23" t="s">
        <v>2650</v>
      </c>
      <c r="B1341" s="23" t="s">
        <v>2651</v>
      </c>
    </row>
    <row r="1342" ht="14.399999999999999" customHeight="1">
      <c r="A1342" s="23" t="s">
        <v>2652</v>
      </c>
      <c r="B1342" s="23" t="s">
        <v>2653</v>
      </c>
    </row>
    <row r="1343" ht="14.399999999999999" customHeight="1">
      <c r="A1343" s="23" t="s">
        <v>2654</v>
      </c>
      <c r="B1343" s="23" t="s">
        <v>2655</v>
      </c>
    </row>
    <row r="1344" ht="14.399999999999999" customHeight="1">
      <c r="A1344" s="23" t="s">
        <v>2656</v>
      </c>
      <c r="B1344" s="23" t="s">
        <v>2657</v>
      </c>
    </row>
    <row r="1345" s="20" customFormat="1" ht="14.399999999999999" customHeight="1">
      <c r="A1345" s="23" t="s">
        <v>2658</v>
      </c>
      <c r="B1345" s="23" t="s">
        <v>2659</v>
      </c>
    </row>
    <row r="1346" ht="14.399999999999999" customHeight="1">
      <c r="A1346" s="23" t="s">
        <v>2660</v>
      </c>
      <c r="B1346" s="23" t="s">
        <v>2661</v>
      </c>
    </row>
    <row r="1347" ht="14.399999999999999" customHeight="1">
      <c r="A1347" s="23" t="s">
        <v>2662</v>
      </c>
      <c r="B1347" s="23" t="s">
        <v>2663</v>
      </c>
    </row>
    <row r="1348" ht="14.399999999999999" customHeight="1">
      <c r="A1348" s="23" t="s">
        <v>2664</v>
      </c>
      <c r="B1348" s="23" t="s">
        <v>2665</v>
      </c>
    </row>
    <row r="1349" ht="14.399999999999999" customHeight="1">
      <c r="A1349" s="23" t="s">
        <v>2666</v>
      </c>
      <c r="B1349" s="23" t="s">
        <v>2667</v>
      </c>
    </row>
    <row r="1350" ht="14.399999999999999" customHeight="1">
      <c r="A1350" s="23" t="s">
        <v>2668</v>
      </c>
      <c r="B1350" s="23" t="s">
        <v>2669</v>
      </c>
    </row>
    <row r="1351" ht="14.399999999999999" customHeight="1">
      <c r="A1351" s="23" t="s">
        <v>2670</v>
      </c>
      <c r="B1351" s="23" t="s">
        <v>2671</v>
      </c>
    </row>
    <row r="1352" ht="14.399999999999999" customHeight="1">
      <c r="A1352" s="23" t="s">
        <v>2672</v>
      </c>
      <c r="B1352" s="23" t="s">
        <v>2673</v>
      </c>
    </row>
    <row r="1353" ht="14.399999999999999" customHeight="1">
      <c r="A1353" s="23" t="s">
        <v>2674</v>
      </c>
      <c r="B1353" s="23" t="s">
        <v>2675</v>
      </c>
    </row>
    <row r="1354" ht="14.399999999999999" customHeight="1">
      <c r="A1354" s="23" t="s">
        <v>2676</v>
      </c>
      <c r="B1354" s="23" t="s">
        <v>2677</v>
      </c>
    </row>
    <row r="1355" ht="14.399999999999999" customHeight="1">
      <c r="A1355" s="23" t="s">
        <v>2678</v>
      </c>
      <c r="B1355" s="23" t="s">
        <v>2679</v>
      </c>
    </row>
    <row r="1356" ht="14.399999999999999" customHeight="1">
      <c r="A1356" s="23" t="s">
        <v>2680</v>
      </c>
      <c r="B1356" s="23" t="s">
        <v>2681</v>
      </c>
    </row>
    <row r="1357" ht="14.399999999999999" customHeight="1">
      <c r="A1357" s="23" t="s">
        <v>2682</v>
      </c>
      <c r="B1357" s="23" t="s">
        <v>2683</v>
      </c>
    </row>
    <row r="1358" ht="14.399999999999999" customHeight="1">
      <c r="A1358" s="23" t="s">
        <v>2684</v>
      </c>
      <c r="B1358" s="23" t="s">
        <v>2685</v>
      </c>
    </row>
    <row r="1359" ht="14.399999999999999" customHeight="1">
      <c r="A1359" s="23" t="s">
        <v>2686</v>
      </c>
      <c r="B1359" s="23" t="s">
        <v>2687</v>
      </c>
    </row>
    <row r="1360" ht="14.399999999999999" customHeight="1">
      <c r="A1360" s="23" t="s">
        <v>2688</v>
      </c>
      <c r="B1360" s="23" t="s">
        <v>2689</v>
      </c>
    </row>
    <row r="1361" ht="14.399999999999999" customHeight="1">
      <c r="A1361" s="23" t="s">
        <v>2690</v>
      </c>
      <c r="B1361" s="23" t="s">
        <v>2691</v>
      </c>
    </row>
    <row r="1362" ht="14.399999999999999" customHeight="1">
      <c r="A1362" s="23" t="s">
        <v>2692</v>
      </c>
      <c r="B1362" s="23" t="s">
        <v>2693</v>
      </c>
    </row>
    <row r="1363" ht="14.399999999999999" customHeight="1">
      <c r="A1363" s="23" t="s">
        <v>2694</v>
      </c>
      <c r="B1363" s="23" t="s">
        <v>2695</v>
      </c>
    </row>
    <row r="1364" ht="14.399999999999999" customHeight="1">
      <c r="A1364" s="23" t="s">
        <v>2696</v>
      </c>
      <c r="B1364" s="23" t="s">
        <v>2697</v>
      </c>
    </row>
    <row r="1365" ht="14.399999999999999" customHeight="1">
      <c r="A1365" s="23" t="s">
        <v>2698</v>
      </c>
      <c r="B1365" s="23" t="s">
        <v>2699</v>
      </c>
    </row>
    <row r="1366" ht="14.399999999999999" customHeight="1">
      <c r="A1366" s="23" t="s">
        <v>2700</v>
      </c>
      <c r="B1366" s="23" t="s">
        <v>2701</v>
      </c>
    </row>
    <row r="1367" ht="14.399999999999999" customHeight="1">
      <c r="A1367" s="23" t="s">
        <v>2702</v>
      </c>
      <c r="B1367" s="23" t="s">
        <v>2703</v>
      </c>
    </row>
    <row r="1368" ht="14.399999999999999" customHeight="1">
      <c r="A1368" s="23" t="s">
        <v>2704</v>
      </c>
      <c r="B1368" s="23" t="s">
        <v>2705</v>
      </c>
    </row>
    <row r="1369" ht="14.399999999999999" customHeight="1">
      <c r="A1369" s="23" t="s">
        <v>2706</v>
      </c>
      <c r="B1369" s="23" t="s">
        <v>2707</v>
      </c>
    </row>
    <row r="1370" ht="14.399999999999999" customHeight="1">
      <c r="A1370" s="23" t="s">
        <v>2708</v>
      </c>
      <c r="B1370" s="23" t="s">
        <v>2709</v>
      </c>
    </row>
    <row r="1371" ht="14.399999999999999" customHeight="1">
      <c r="A1371" s="23" t="s">
        <v>2710</v>
      </c>
      <c r="B1371" s="23" t="s">
        <v>2711</v>
      </c>
    </row>
    <row r="1372" ht="14.399999999999999" customHeight="1">
      <c r="A1372" s="23" t="s">
        <v>2712</v>
      </c>
      <c r="B1372" s="23" t="s">
        <v>2713</v>
      </c>
    </row>
    <row r="1373" ht="14.399999999999999" customHeight="1">
      <c r="A1373" s="23" t="s">
        <v>2714</v>
      </c>
      <c r="B1373" s="23" t="s">
        <v>2715</v>
      </c>
    </row>
    <row r="1374" ht="14.399999999999999" customHeight="1">
      <c r="A1374" s="23" t="s">
        <v>2716</v>
      </c>
      <c r="B1374" s="23" t="s">
        <v>2717</v>
      </c>
    </row>
    <row r="1375" ht="14.399999999999999" customHeight="1">
      <c r="A1375" s="23" t="s">
        <v>2718</v>
      </c>
      <c r="B1375" s="23" t="s">
        <v>2719</v>
      </c>
    </row>
    <row r="1376" ht="14.399999999999999" customHeight="1">
      <c r="A1376" s="23" t="s">
        <v>2720</v>
      </c>
      <c r="B1376" s="23" t="s">
        <v>2721</v>
      </c>
    </row>
    <row r="1377" ht="14.399999999999999" customHeight="1">
      <c r="A1377" s="23" t="s">
        <v>2722</v>
      </c>
      <c r="B1377" s="23" t="s">
        <v>2723</v>
      </c>
    </row>
    <row r="1378" ht="14.399999999999999" customHeight="1">
      <c r="A1378" s="23" t="s">
        <v>2724</v>
      </c>
      <c r="B1378" s="23" t="s">
        <v>2725</v>
      </c>
    </row>
    <row r="1379" ht="14.399999999999999" customHeight="1">
      <c r="A1379" s="23" t="s">
        <v>388</v>
      </c>
      <c r="B1379" s="23" t="s">
        <v>2726</v>
      </c>
    </row>
    <row r="1380" ht="14.399999999999999" customHeight="1">
      <c r="A1380" s="23" t="s">
        <v>2727</v>
      </c>
      <c r="B1380" s="23" t="s">
        <v>2728</v>
      </c>
    </row>
    <row r="1381" ht="14.399999999999999" customHeight="1">
      <c r="A1381" s="23" t="s">
        <v>2729</v>
      </c>
      <c r="B1381" s="23" t="s">
        <v>2730</v>
      </c>
    </row>
    <row r="1382" ht="14.399999999999999" customHeight="1">
      <c r="A1382" s="23" t="s">
        <v>2731</v>
      </c>
      <c r="B1382" s="23" t="s">
        <v>2732</v>
      </c>
    </row>
    <row r="1383" ht="14.399999999999999" customHeight="1">
      <c r="A1383" s="23" t="s">
        <v>2733</v>
      </c>
      <c r="B1383" s="23" t="s">
        <v>2734</v>
      </c>
    </row>
    <row r="1384" ht="14.399999999999999" customHeight="1">
      <c r="A1384" s="23" t="s">
        <v>2735</v>
      </c>
      <c r="B1384" s="23" t="s">
        <v>2736</v>
      </c>
    </row>
    <row r="1385" ht="14.399999999999999" customHeight="1">
      <c r="A1385" s="23" t="s">
        <v>2737</v>
      </c>
      <c r="B1385" s="23" t="s">
        <v>2738</v>
      </c>
    </row>
    <row r="1386" ht="14.399999999999999" customHeight="1">
      <c r="A1386" s="23" t="s">
        <v>2739</v>
      </c>
      <c r="B1386" s="23" t="s">
        <v>2740</v>
      </c>
    </row>
    <row r="1387" ht="14.399999999999999" customHeight="1">
      <c r="A1387" s="23" t="s">
        <v>2741</v>
      </c>
      <c r="B1387" s="23" t="s">
        <v>2742</v>
      </c>
    </row>
    <row r="1388" ht="14.399999999999999" customHeight="1">
      <c r="A1388" s="23" t="s">
        <v>2743</v>
      </c>
      <c r="B1388" s="23" t="s">
        <v>2744</v>
      </c>
    </row>
    <row r="1389" ht="14.399999999999999" customHeight="1">
      <c r="A1389" s="23" t="s">
        <v>2745</v>
      </c>
      <c r="B1389" s="23" t="s">
        <v>2746</v>
      </c>
    </row>
    <row r="1390" ht="14.399999999999999" customHeight="1">
      <c r="A1390" s="23" t="s">
        <v>2747</v>
      </c>
      <c r="B1390" s="23" t="s">
        <v>2748</v>
      </c>
    </row>
    <row r="1391" ht="14.399999999999999" customHeight="1">
      <c r="A1391" s="23" t="s">
        <v>2749</v>
      </c>
      <c r="B1391" s="23" t="s">
        <v>2750</v>
      </c>
    </row>
    <row r="1392" ht="14.399999999999999" customHeight="1">
      <c r="A1392" s="23" t="s">
        <v>2751</v>
      </c>
      <c r="B1392" s="23" t="s">
        <v>2752</v>
      </c>
    </row>
    <row r="1393" ht="14.399999999999999" customHeight="1">
      <c r="A1393" s="23" t="s">
        <v>2753</v>
      </c>
      <c r="B1393" s="23" t="s">
        <v>2754</v>
      </c>
    </row>
    <row r="1394" ht="14.399999999999999" customHeight="1">
      <c r="A1394" s="23" t="s">
        <v>2755</v>
      </c>
      <c r="B1394" s="23" t="s">
        <v>2756</v>
      </c>
    </row>
    <row r="1395" ht="14.399999999999999" customHeight="1">
      <c r="A1395" s="23" t="s">
        <v>2757</v>
      </c>
      <c r="B1395" s="23" t="s">
        <v>2758</v>
      </c>
    </row>
    <row r="1396" ht="14.399999999999999" customHeight="1">
      <c r="A1396" s="23" t="s">
        <v>2759</v>
      </c>
      <c r="B1396" s="23" t="s">
        <v>2760</v>
      </c>
    </row>
    <row r="1397" ht="14.399999999999999" customHeight="1">
      <c r="A1397" s="23" t="s">
        <v>2761</v>
      </c>
      <c r="B1397" s="23" t="s">
        <v>2762</v>
      </c>
    </row>
    <row r="1398" ht="14.399999999999999" customHeight="1">
      <c r="A1398" s="23" t="s">
        <v>2763</v>
      </c>
      <c r="B1398" s="23" t="s">
        <v>2764</v>
      </c>
    </row>
    <row r="1399" ht="14.399999999999999" customHeight="1">
      <c r="A1399" s="23" t="s">
        <v>2765</v>
      </c>
      <c r="B1399" s="23" t="s">
        <v>2766</v>
      </c>
    </row>
    <row r="1400" ht="14.399999999999999" customHeight="1">
      <c r="A1400" s="23" t="s">
        <v>2767</v>
      </c>
      <c r="B1400" s="23" t="s">
        <v>2768</v>
      </c>
    </row>
    <row r="1401" ht="14.399999999999999" customHeight="1">
      <c r="A1401" s="23" t="s">
        <v>2769</v>
      </c>
      <c r="B1401" s="23" t="s">
        <v>2770</v>
      </c>
    </row>
    <row r="1402" ht="14.399999999999999" customHeight="1">
      <c r="A1402" s="23" t="s">
        <v>2771</v>
      </c>
      <c r="B1402" s="23" t="s">
        <v>2772</v>
      </c>
    </row>
    <row r="1403" ht="14.399999999999999" customHeight="1">
      <c r="A1403" s="23" t="s">
        <v>2773</v>
      </c>
      <c r="B1403" s="23" t="s">
        <v>2774</v>
      </c>
    </row>
    <row r="1404" ht="14.399999999999999" customHeight="1">
      <c r="A1404" s="23" t="s">
        <v>2775</v>
      </c>
      <c r="B1404" s="23" t="s">
        <v>2776</v>
      </c>
    </row>
    <row r="1405" ht="14.399999999999999" customHeight="1">
      <c r="A1405" s="23" t="s">
        <v>2777</v>
      </c>
      <c r="B1405" s="23" t="s">
        <v>2778</v>
      </c>
    </row>
    <row r="1406" ht="14.399999999999999" customHeight="1">
      <c r="A1406" s="23" t="s">
        <v>2779</v>
      </c>
      <c r="B1406" s="23" t="s">
        <v>2780</v>
      </c>
    </row>
    <row r="1407" ht="14.399999999999999" customHeight="1">
      <c r="A1407" s="23" t="s">
        <v>2781</v>
      </c>
      <c r="B1407" s="23" t="s">
        <v>2782</v>
      </c>
    </row>
    <row r="1408" ht="14.399999999999999" customHeight="1">
      <c r="A1408" s="23" t="s">
        <v>2783</v>
      </c>
      <c r="B1408" s="23" t="s">
        <v>2784</v>
      </c>
    </row>
    <row r="1409" ht="13" customHeight="1">
      <c r="A1409" s="23" t="s">
        <v>2785</v>
      </c>
      <c r="B1409" s="23" t="s">
        <v>2786</v>
      </c>
    </row>
    <row r="1410" ht="14.399999999999999" customHeight="1">
      <c r="A1410" s="23" t="s">
        <v>2787</v>
      </c>
      <c r="B1410" s="23" t="s">
        <v>2788</v>
      </c>
    </row>
    <row r="1411" ht="14.399999999999999" customHeight="1">
      <c r="A1411" s="23" t="s">
        <v>2789</v>
      </c>
      <c r="B1411" s="23" t="s">
        <v>2790</v>
      </c>
    </row>
    <row r="1412" ht="14.399999999999999" customHeight="1">
      <c r="A1412" s="23" t="s">
        <v>2791</v>
      </c>
      <c r="B1412" s="23" t="s">
        <v>2792</v>
      </c>
    </row>
    <row r="1413" ht="14.399999999999999" customHeight="1">
      <c r="A1413" s="23" t="s">
        <v>2793</v>
      </c>
      <c r="B1413" s="23" t="s">
        <v>2794</v>
      </c>
    </row>
    <row r="1414" ht="14.399999999999999" customHeight="1">
      <c r="A1414" s="23" t="s">
        <v>2795</v>
      </c>
      <c r="B1414" s="23" t="s">
        <v>2796</v>
      </c>
    </row>
    <row r="1415" ht="14.399999999999999" customHeight="1">
      <c r="A1415" s="23" t="s">
        <v>2797</v>
      </c>
      <c r="B1415" s="23" t="s">
        <v>2798</v>
      </c>
    </row>
    <row r="1416" ht="14.399999999999999" customHeight="1">
      <c r="A1416" s="23" t="s">
        <v>2799</v>
      </c>
      <c r="B1416" s="23" t="s">
        <v>2800</v>
      </c>
    </row>
    <row r="1417" ht="14.399999999999999" customHeight="1">
      <c r="A1417" s="23" t="s">
        <v>2801</v>
      </c>
      <c r="B1417" s="23" t="s">
        <v>2802</v>
      </c>
    </row>
    <row r="1418" ht="14.399999999999999" customHeight="1">
      <c r="A1418" s="23" t="s">
        <v>2803</v>
      </c>
      <c r="B1418" s="23" t="s">
        <v>2804</v>
      </c>
    </row>
    <row r="1419" ht="14.399999999999999" customHeight="1">
      <c r="A1419" s="23" t="s">
        <v>2805</v>
      </c>
      <c r="B1419" s="23" t="s">
        <v>2806</v>
      </c>
    </row>
    <row r="1420" ht="14.399999999999999" customHeight="1">
      <c r="A1420" s="23" t="s">
        <v>2807</v>
      </c>
      <c r="B1420" s="23" t="s">
        <v>2808</v>
      </c>
    </row>
    <row r="1421" ht="14.399999999999999" customHeight="1">
      <c r="A1421" s="23" t="s">
        <v>2809</v>
      </c>
      <c r="B1421" s="23" t="s">
        <v>2810</v>
      </c>
    </row>
    <row r="1422" ht="14.399999999999999" customHeight="1">
      <c r="A1422" s="23" t="s">
        <v>2811</v>
      </c>
      <c r="B1422" s="23" t="s">
        <v>2812</v>
      </c>
    </row>
    <row r="1423" ht="14.399999999999999" customHeight="1">
      <c r="A1423" s="23" t="s">
        <v>2813</v>
      </c>
      <c r="B1423" s="23" t="s">
        <v>2814</v>
      </c>
    </row>
    <row r="1424" ht="14.399999999999999" customHeight="1">
      <c r="A1424" s="23" t="s">
        <v>2815</v>
      </c>
      <c r="B1424" s="23" t="s">
        <v>2816</v>
      </c>
    </row>
    <row r="1425" ht="14.399999999999999" customHeight="1">
      <c r="A1425" s="23" t="s">
        <v>2817</v>
      </c>
      <c r="B1425" s="23" t="s">
        <v>2818</v>
      </c>
    </row>
    <row r="1426" ht="14.399999999999999" customHeight="1">
      <c r="A1426" s="23" t="s">
        <v>2819</v>
      </c>
      <c r="B1426" s="23" t="s">
        <v>2820</v>
      </c>
    </row>
    <row r="1427" ht="14.399999999999999" customHeight="1">
      <c r="A1427" s="23" t="s">
        <v>2821</v>
      </c>
      <c r="B1427" s="23" t="s">
        <v>2822</v>
      </c>
    </row>
    <row r="1428" ht="14.399999999999999" customHeight="1">
      <c r="A1428" s="23" t="s">
        <v>2823</v>
      </c>
      <c r="B1428" s="23" t="s">
        <v>2824</v>
      </c>
    </row>
    <row r="1429" ht="14.399999999999999" customHeight="1">
      <c r="A1429" s="23" t="s">
        <v>2825</v>
      </c>
      <c r="B1429" s="23" t="s">
        <v>2826</v>
      </c>
    </row>
    <row r="1430" ht="14.399999999999999" customHeight="1">
      <c r="A1430" s="23" t="s">
        <v>2827</v>
      </c>
      <c r="B1430" s="23" t="s">
        <v>2828</v>
      </c>
    </row>
    <row r="1431" ht="14.399999999999999" customHeight="1">
      <c r="A1431" s="23" t="s">
        <v>2829</v>
      </c>
      <c r="B1431" s="23" t="s">
        <v>2830</v>
      </c>
    </row>
    <row r="1432" ht="14.399999999999999" customHeight="1">
      <c r="A1432" s="23" t="s">
        <v>2831</v>
      </c>
      <c r="B1432" s="23" t="s">
        <v>2832</v>
      </c>
    </row>
    <row r="1433" ht="14.399999999999999" customHeight="1">
      <c r="A1433" s="23" t="s">
        <v>2833</v>
      </c>
      <c r="B1433" s="23" t="s">
        <v>2834</v>
      </c>
    </row>
    <row r="1434" ht="14.399999999999999" customHeight="1">
      <c r="A1434" s="23" t="s">
        <v>2835</v>
      </c>
      <c r="B1434" s="23" t="s">
        <v>2836</v>
      </c>
    </row>
    <row r="1435" ht="14.399999999999999" customHeight="1">
      <c r="A1435" s="23" t="s">
        <v>2837</v>
      </c>
      <c r="B1435" s="23" t="s">
        <v>2838</v>
      </c>
    </row>
    <row r="1436" ht="14.399999999999999" customHeight="1">
      <c r="A1436" s="23" t="s">
        <v>2839</v>
      </c>
      <c r="B1436" s="23" t="s">
        <v>2840</v>
      </c>
    </row>
    <row r="1437" ht="14.399999999999999" customHeight="1">
      <c r="A1437" s="23" t="s">
        <v>2841</v>
      </c>
      <c r="B1437" s="23" t="s">
        <v>2842</v>
      </c>
    </row>
    <row r="1438" ht="14.399999999999999" customHeight="1">
      <c r="A1438" s="23" t="s">
        <v>2843</v>
      </c>
      <c r="B1438" s="23" t="s">
        <v>2844</v>
      </c>
    </row>
    <row r="1439" ht="14.399999999999999" customHeight="1">
      <c r="A1439" s="23" t="s">
        <v>2845</v>
      </c>
      <c r="B1439" s="23" t="s">
        <v>2846</v>
      </c>
    </row>
    <row r="1440" ht="14.399999999999999" customHeight="1">
      <c r="A1440" s="23" t="s">
        <v>2847</v>
      </c>
      <c r="B1440" s="23" t="s">
        <v>2848</v>
      </c>
    </row>
    <row r="1441" ht="14.399999999999999" customHeight="1">
      <c r="A1441" s="23" t="s">
        <v>2849</v>
      </c>
      <c r="B1441" s="23" t="s">
        <v>2850</v>
      </c>
    </row>
    <row r="1442" ht="14.399999999999999" customHeight="1">
      <c r="A1442" s="23" t="s">
        <v>2851</v>
      </c>
      <c r="B1442" s="23" t="s">
        <v>2852</v>
      </c>
    </row>
    <row r="1443" ht="14.399999999999999" customHeight="1">
      <c r="A1443" s="23" t="s">
        <v>2853</v>
      </c>
      <c r="B1443" s="23" t="s">
        <v>2854</v>
      </c>
    </row>
    <row r="1444" ht="14.399999999999999" customHeight="1">
      <c r="A1444" s="23" t="s">
        <v>2855</v>
      </c>
      <c r="B1444" s="23" t="s">
        <v>2856</v>
      </c>
    </row>
    <row r="1445" ht="14.399999999999999" customHeight="1">
      <c r="A1445" s="23" t="s">
        <v>2857</v>
      </c>
      <c r="B1445" s="23" t="s">
        <v>2858</v>
      </c>
    </row>
    <row r="1446" ht="14.399999999999999" customHeight="1">
      <c r="A1446" s="23" t="s">
        <v>2859</v>
      </c>
      <c r="B1446" s="23" t="s">
        <v>2860</v>
      </c>
    </row>
    <row r="1447" ht="14.399999999999999" customHeight="1">
      <c r="A1447" s="23" t="s">
        <v>2861</v>
      </c>
      <c r="B1447" s="23" t="s">
        <v>2862</v>
      </c>
    </row>
    <row r="1448" ht="14.399999999999999" customHeight="1">
      <c r="A1448" s="23" t="s">
        <v>2863</v>
      </c>
      <c r="B1448" s="23" t="s">
        <v>2864</v>
      </c>
    </row>
    <row r="1449" ht="14.399999999999999" customHeight="1">
      <c r="A1449" s="23" t="s">
        <v>2865</v>
      </c>
      <c r="B1449" s="23" t="s">
        <v>2866</v>
      </c>
    </row>
    <row r="1450" ht="14.399999999999999" customHeight="1">
      <c r="A1450" s="23" t="s">
        <v>2867</v>
      </c>
      <c r="B1450" s="23" t="s">
        <v>2868</v>
      </c>
    </row>
    <row r="1451" ht="14.399999999999999" customHeight="1">
      <c r="A1451" s="23" t="s">
        <v>2869</v>
      </c>
      <c r="B1451" s="23" t="s">
        <v>2870</v>
      </c>
    </row>
    <row r="1452" ht="14.399999999999999" customHeight="1">
      <c r="A1452" s="23" t="s">
        <v>2871</v>
      </c>
      <c r="B1452" s="23" t="s">
        <v>2872</v>
      </c>
    </row>
    <row r="1453" ht="14.399999999999999" customHeight="1">
      <c r="A1453" s="23" t="s">
        <v>2873</v>
      </c>
      <c r="B1453" s="23" t="s">
        <v>2874</v>
      </c>
    </row>
    <row r="1454" ht="14.399999999999999" customHeight="1">
      <c r="A1454" s="23" t="s">
        <v>2875</v>
      </c>
      <c r="B1454" s="23" t="s">
        <v>2876</v>
      </c>
    </row>
    <row r="1455" ht="14.399999999999999" customHeight="1">
      <c r="A1455" s="23" t="s">
        <v>2877</v>
      </c>
      <c r="B1455" s="23" t="s">
        <v>2878</v>
      </c>
    </row>
    <row r="1456" ht="14.399999999999999" customHeight="1">
      <c r="A1456" s="23" t="s">
        <v>2879</v>
      </c>
      <c r="B1456" s="23" t="s">
        <v>2880</v>
      </c>
    </row>
    <row r="1457" ht="14.399999999999999" customHeight="1">
      <c r="A1457" s="23" t="s">
        <v>2881</v>
      </c>
      <c r="B1457" s="23" t="s">
        <v>2882</v>
      </c>
    </row>
    <row r="1458" s="20" customFormat="1" ht="14.399999999999999" customHeight="1">
      <c r="A1458" s="23" t="s">
        <v>2883</v>
      </c>
      <c r="B1458" s="23" t="s">
        <v>2884</v>
      </c>
    </row>
    <row r="1459" s="20" customFormat="1" ht="14.399999999999999" customHeight="1">
      <c r="A1459" s="23" t="s">
        <v>2885</v>
      </c>
      <c r="B1459" s="23" t="s">
        <v>2886</v>
      </c>
    </row>
    <row r="1460" s="20" customFormat="1" ht="14.399999999999999" customHeight="1">
      <c r="A1460" s="23" t="s">
        <v>2887</v>
      </c>
      <c r="B1460" s="23" t="s">
        <v>2888</v>
      </c>
    </row>
    <row r="1461" s="20" customFormat="1" ht="14.399999999999999" customHeight="1">
      <c r="A1461" s="23" t="s">
        <v>2889</v>
      </c>
      <c r="B1461" s="23" t="s">
        <v>2890</v>
      </c>
    </row>
    <row r="1462" s="20" customFormat="1" ht="14.399999999999999" customHeight="1">
      <c r="A1462" s="23" t="s">
        <v>2891</v>
      </c>
      <c r="B1462" s="23" t="s">
        <v>2892</v>
      </c>
    </row>
    <row r="1463" ht="14.399999999999999" customHeight="1">
      <c r="A1463" s="23" t="s">
        <v>2893</v>
      </c>
      <c r="B1463" s="23" t="s">
        <v>2894</v>
      </c>
    </row>
    <row r="1464" ht="14.399999999999999" customHeight="1">
      <c r="A1464" s="23" t="s">
        <v>2895</v>
      </c>
      <c r="B1464" s="23" t="s">
        <v>2896</v>
      </c>
    </row>
    <row r="1465" ht="14.399999999999999" customHeight="1">
      <c r="A1465" s="23" t="s">
        <v>2897</v>
      </c>
      <c r="B1465" s="23" t="s">
        <v>2898</v>
      </c>
    </row>
    <row r="1466" ht="14.399999999999999" customHeight="1">
      <c r="A1466" s="23" t="s">
        <v>2899</v>
      </c>
      <c r="B1466" s="23" t="s">
        <v>2900</v>
      </c>
    </row>
    <row r="1467" ht="14.399999999999999" customHeight="1">
      <c r="A1467" s="23" t="s">
        <v>2901</v>
      </c>
      <c r="B1467" s="23" t="s">
        <v>2902</v>
      </c>
    </row>
    <row r="1468" ht="14.399999999999999" customHeight="1">
      <c r="A1468" s="23" t="s">
        <v>2903</v>
      </c>
      <c r="B1468" s="23" t="s">
        <v>2904</v>
      </c>
    </row>
    <row r="1469" ht="14.399999999999999" customHeight="1">
      <c r="A1469" s="23" t="s">
        <v>2905</v>
      </c>
      <c r="B1469" s="23" t="s">
        <v>2906</v>
      </c>
    </row>
    <row r="1470" ht="14.399999999999999" customHeight="1">
      <c r="A1470" s="23" t="s">
        <v>2907</v>
      </c>
      <c r="B1470" s="23" t="s">
        <v>2908</v>
      </c>
    </row>
    <row r="1471" ht="14.399999999999999" customHeight="1">
      <c r="A1471" s="23" t="s">
        <v>2909</v>
      </c>
      <c r="B1471" s="23" t="s">
        <v>2910</v>
      </c>
    </row>
    <row r="1472" ht="14.399999999999999" customHeight="1">
      <c r="A1472" s="23" t="s">
        <v>2911</v>
      </c>
      <c r="B1472" s="23" t="s">
        <v>2912</v>
      </c>
    </row>
    <row r="1473" ht="14.399999999999999" customHeight="1">
      <c r="A1473" s="23" t="s">
        <v>2913</v>
      </c>
      <c r="B1473" s="23" t="s">
        <v>2914</v>
      </c>
    </row>
    <row r="1474" ht="14.399999999999999" customHeight="1">
      <c r="A1474" s="23" t="s">
        <v>2915</v>
      </c>
      <c r="B1474" s="23" t="s">
        <v>2916</v>
      </c>
    </row>
    <row r="1475" ht="14.399999999999999" customHeight="1">
      <c r="A1475" s="23" t="s">
        <v>2917</v>
      </c>
      <c r="B1475" s="23" t="s">
        <v>2918</v>
      </c>
    </row>
    <row r="1476" ht="14.399999999999999" customHeight="1">
      <c r="A1476" s="23" t="s">
        <v>2919</v>
      </c>
      <c r="B1476" s="23" t="s">
        <v>2920</v>
      </c>
    </row>
    <row r="1477" ht="14.399999999999999" customHeight="1">
      <c r="A1477" s="23" t="s">
        <v>2921</v>
      </c>
      <c r="B1477" s="23" t="s">
        <v>2922</v>
      </c>
    </row>
    <row r="1478" ht="14.399999999999999" customHeight="1">
      <c r="A1478" s="23" t="s">
        <v>2923</v>
      </c>
      <c r="B1478" s="23" t="s">
        <v>2924</v>
      </c>
    </row>
    <row r="1479" ht="14.399999999999999" customHeight="1">
      <c r="A1479" s="23" t="s">
        <v>2925</v>
      </c>
      <c r="B1479" s="23" t="s">
        <v>2926</v>
      </c>
    </row>
    <row r="1480" ht="14.399999999999999" customHeight="1">
      <c r="A1480" s="23" t="s">
        <v>2927</v>
      </c>
      <c r="B1480" s="23" t="s">
        <v>2928</v>
      </c>
    </row>
    <row r="1481" ht="14.399999999999999" customHeight="1">
      <c r="A1481" s="23" t="s">
        <v>2929</v>
      </c>
      <c r="B1481" s="23" t="s">
        <v>2930</v>
      </c>
    </row>
    <row r="1482" ht="14.399999999999999" customHeight="1">
      <c r="A1482" s="23" t="s">
        <v>2931</v>
      </c>
      <c r="B1482" s="23" t="s">
        <v>2932</v>
      </c>
    </row>
    <row r="1483" ht="14.399999999999999" customHeight="1">
      <c r="A1483" s="23" t="s">
        <v>2933</v>
      </c>
      <c r="B1483" s="23" t="s">
        <v>2934</v>
      </c>
    </row>
    <row r="1484" ht="14.399999999999999" customHeight="1">
      <c r="A1484" s="23" t="s">
        <v>2935</v>
      </c>
      <c r="B1484" s="23" t="s">
        <v>2936</v>
      </c>
    </row>
    <row r="1485" ht="14.399999999999999" customHeight="1">
      <c r="A1485" s="23" t="s">
        <v>2937</v>
      </c>
      <c r="B1485" s="23" t="s">
        <v>2938</v>
      </c>
    </row>
    <row r="1486" ht="14.399999999999999" customHeight="1">
      <c r="A1486" s="23" t="s">
        <v>2939</v>
      </c>
      <c r="B1486" s="23" t="s">
        <v>2940</v>
      </c>
    </row>
    <row r="1487" ht="14.399999999999999" customHeight="1">
      <c r="A1487" s="23" t="s">
        <v>2941</v>
      </c>
      <c r="B1487" s="23" t="s">
        <v>2942</v>
      </c>
    </row>
    <row r="1488" ht="14.399999999999999" customHeight="1">
      <c r="A1488" s="23" t="s">
        <v>2943</v>
      </c>
      <c r="B1488" s="23" t="s">
        <v>2944</v>
      </c>
    </row>
    <row r="1489" ht="14.399999999999999" customHeight="1">
      <c r="A1489" s="23" t="s">
        <v>2945</v>
      </c>
      <c r="B1489" s="23" t="s">
        <v>2946</v>
      </c>
    </row>
    <row r="1490" ht="14.399999999999999" customHeight="1">
      <c r="A1490" s="23" t="s">
        <v>2947</v>
      </c>
      <c r="B1490" s="23" t="s">
        <v>2948</v>
      </c>
    </row>
    <row r="1491" ht="14.399999999999999" customHeight="1">
      <c r="A1491" s="23" t="s">
        <v>2949</v>
      </c>
      <c r="B1491" s="23" t="s">
        <v>2950</v>
      </c>
    </row>
    <row r="1492" ht="14.399999999999999" customHeight="1">
      <c r="A1492" s="23" t="s">
        <v>2951</v>
      </c>
      <c r="B1492" s="23" t="s">
        <v>2952</v>
      </c>
    </row>
    <row r="1493" ht="14.399999999999999" customHeight="1">
      <c r="A1493" s="23" t="s">
        <v>2953</v>
      </c>
      <c r="B1493" s="23" t="s">
        <v>2954</v>
      </c>
    </row>
    <row r="1494" ht="14.399999999999999" customHeight="1">
      <c r="A1494" s="23" t="s">
        <v>2955</v>
      </c>
      <c r="B1494" s="23" t="s">
        <v>2956</v>
      </c>
    </row>
    <row r="1495" ht="14.399999999999999" customHeight="1">
      <c r="A1495" s="23" t="s">
        <v>2957</v>
      </c>
      <c r="B1495" s="23" t="s">
        <v>2958</v>
      </c>
    </row>
    <row r="1496" ht="14.399999999999999" customHeight="1">
      <c r="A1496" s="23" t="s">
        <v>2959</v>
      </c>
      <c r="B1496" s="23" t="s">
        <v>2960</v>
      </c>
    </row>
    <row r="1497" ht="14.399999999999999" customHeight="1">
      <c r="A1497" s="23" t="s">
        <v>2961</v>
      </c>
      <c r="B1497" s="23" t="s">
        <v>2962</v>
      </c>
    </row>
    <row r="1498" ht="14.399999999999999" customHeight="1">
      <c r="A1498" s="23" t="s">
        <v>2963</v>
      </c>
      <c r="B1498" s="23" t="s">
        <v>2964</v>
      </c>
    </row>
    <row r="1499" ht="14.399999999999999" customHeight="1">
      <c r="A1499" s="23" t="s">
        <v>2965</v>
      </c>
      <c r="B1499" s="23" t="s">
        <v>2966</v>
      </c>
    </row>
    <row r="1500" ht="14.399999999999999" customHeight="1">
      <c r="A1500" s="23" t="s">
        <v>2967</v>
      </c>
      <c r="B1500" s="23" t="s">
        <v>2968</v>
      </c>
    </row>
    <row r="1501" ht="14.399999999999999" customHeight="1">
      <c r="A1501" s="23" t="s">
        <v>2969</v>
      </c>
      <c r="B1501" s="23" t="s">
        <v>2970</v>
      </c>
    </row>
    <row r="1502" ht="14.399999999999999" customHeight="1">
      <c r="A1502" s="23" t="s">
        <v>2971</v>
      </c>
      <c r="B1502" s="23" t="s">
        <v>2972</v>
      </c>
    </row>
    <row r="1503" ht="14.399999999999999" customHeight="1">
      <c r="A1503" s="23" t="s">
        <v>2973</v>
      </c>
      <c r="B1503" s="23" t="s">
        <v>2974</v>
      </c>
    </row>
    <row r="1504" ht="14.399999999999999" customHeight="1">
      <c r="A1504" s="23" t="s">
        <v>2975</v>
      </c>
      <c r="B1504" s="23" t="s">
        <v>2976</v>
      </c>
    </row>
    <row r="1505" ht="14.399999999999999" customHeight="1">
      <c r="A1505" s="23" t="s">
        <v>2977</v>
      </c>
      <c r="B1505" s="23" t="s">
        <v>2978</v>
      </c>
    </row>
    <row r="1506" ht="14.399999999999999" customHeight="1">
      <c r="A1506" s="23" t="s">
        <v>2979</v>
      </c>
      <c r="B1506" s="23" t="s">
        <v>2980</v>
      </c>
    </row>
    <row r="1507" ht="14.399999999999999" customHeight="1">
      <c r="A1507" s="23" t="s">
        <v>2981</v>
      </c>
      <c r="B1507" s="23" t="s">
        <v>2982</v>
      </c>
    </row>
    <row r="1508" ht="14.399999999999999" customHeight="1">
      <c r="A1508" s="23" t="s">
        <v>2983</v>
      </c>
      <c r="B1508" s="23" t="s">
        <v>2984</v>
      </c>
    </row>
    <row r="1509" ht="14.399999999999999" customHeight="1">
      <c r="A1509" s="23" t="s">
        <v>2985</v>
      </c>
      <c r="B1509" s="23" t="s">
        <v>2986</v>
      </c>
    </row>
    <row r="1510" ht="14.399999999999999" customHeight="1">
      <c r="A1510" s="23" t="s">
        <v>2987</v>
      </c>
      <c r="B1510" s="23" t="s">
        <v>2988</v>
      </c>
    </row>
    <row r="1511" ht="14.399999999999999" customHeight="1">
      <c r="A1511" s="23" t="s">
        <v>2989</v>
      </c>
      <c r="B1511" s="23" t="s">
        <v>2990</v>
      </c>
    </row>
    <row r="1512" ht="14.399999999999999" customHeight="1">
      <c r="A1512" s="23" t="s">
        <v>2991</v>
      </c>
      <c r="B1512" s="23" t="s">
        <v>2992</v>
      </c>
    </row>
    <row r="1513" ht="14.399999999999999" customHeight="1">
      <c r="A1513" s="23" t="s">
        <v>2993</v>
      </c>
      <c r="B1513" s="23" t="s">
        <v>2994</v>
      </c>
    </row>
    <row r="1514" ht="14.399999999999999" customHeight="1">
      <c r="A1514" s="23" t="s">
        <v>2995</v>
      </c>
      <c r="B1514" s="23" t="s">
        <v>2996</v>
      </c>
    </row>
    <row r="1515" ht="14.399999999999999" customHeight="1">
      <c r="A1515" s="23" t="s">
        <v>2997</v>
      </c>
      <c r="B1515" s="23" t="s">
        <v>2998</v>
      </c>
    </row>
    <row r="1516" ht="14.399999999999999" customHeight="1">
      <c r="A1516" s="23" t="s">
        <v>2999</v>
      </c>
      <c r="B1516" s="23" t="s">
        <v>3000</v>
      </c>
    </row>
    <row r="1517" ht="14.399999999999999" customHeight="1">
      <c r="A1517" s="23" t="s">
        <v>3001</v>
      </c>
      <c r="B1517" s="23" t="s">
        <v>3002</v>
      </c>
    </row>
    <row r="1518" ht="14.399999999999999" customHeight="1">
      <c r="A1518" s="23" t="s">
        <v>3003</v>
      </c>
      <c r="B1518" s="23" t="s">
        <v>3004</v>
      </c>
    </row>
    <row r="1519" ht="14.399999999999999" customHeight="1">
      <c r="A1519" s="23" t="s">
        <v>3005</v>
      </c>
      <c r="B1519" s="23" t="s">
        <v>3006</v>
      </c>
    </row>
    <row r="1520" ht="14.399999999999999" customHeight="1">
      <c r="A1520" s="23" t="s">
        <v>3007</v>
      </c>
      <c r="B1520" s="23" t="s">
        <v>3008</v>
      </c>
    </row>
    <row r="1521" ht="14.399999999999999" customHeight="1">
      <c r="A1521" s="23" t="s">
        <v>3009</v>
      </c>
      <c r="B1521" s="23" t="s">
        <v>3010</v>
      </c>
    </row>
    <row r="1522" ht="14.399999999999999" customHeight="1">
      <c r="A1522" s="23" t="s">
        <v>3011</v>
      </c>
      <c r="B1522" s="23" t="s">
        <v>3012</v>
      </c>
    </row>
    <row r="1523" ht="14.399999999999999" customHeight="1">
      <c r="A1523" s="23" t="s">
        <v>3013</v>
      </c>
      <c r="B1523" s="23" t="s">
        <v>3014</v>
      </c>
    </row>
    <row r="1524" ht="14.399999999999999" customHeight="1">
      <c r="A1524" s="23" t="s">
        <v>3015</v>
      </c>
      <c r="B1524" s="23" t="s">
        <v>3016</v>
      </c>
    </row>
    <row r="1525" ht="14.399999999999999" customHeight="1">
      <c r="A1525" s="23" t="s">
        <v>3017</v>
      </c>
      <c r="B1525" s="23" t="s">
        <v>3018</v>
      </c>
    </row>
    <row r="1526" ht="14.399999999999999" customHeight="1">
      <c r="A1526" s="23" t="s">
        <v>3019</v>
      </c>
      <c r="B1526" s="23" t="s">
        <v>3020</v>
      </c>
    </row>
    <row r="1527" ht="14.399999999999999" customHeight="1">
      <c r="A1527" s="23" t="s">
        <v>3021</v>
      </c>
      <c r="B1527" s="23" t="s">
        <v>3022</v>
      </c>
    </row>
    <row r="1528" ht="14.399999999999999" customHeight="1">
      <c r="A1528" s="23" t="s">
        <v>3023</v>
      </c>
      <c r="B1528" s="23" t="s">
        <v>3024</v>
      </c>
    </row>
    <row r="1529" ht="14.399999999999999" customHeight="1">
      <c r="A1529" s="23" t="s">
        <v>3025</v>
      </c>
      <c r="B1529" s="23" t="s">
        <v>3026</v>
      </c>
    </row>
    <row r="1530" ht="14.399999999999999" customHeight="1">
      <c r="A1530" s="23" t="s">
        <v>3027</v>
      </c>
      <c r="B1530" s="23" t="s">
        <v>3028</v>
      </c>
    </row>
    <row r="1531" ht="14.399999999999999" customHeight="1">
      <c r="A1531" s="23" t="s">
        <v>3029</v>
      </c>
      <c r="B1531" s="23" t="s">
        <v>3030</v>
      </c>
    </row>
    <row r="1532" ht="14.399999999999999" customHeight="1">
      <c r="A1532" s="23" t="s">
        <v>3031</v>
      </c>
      <c r="B1532" s="23" t="s">
        <v>3032</v>
      </c>
    </row>
    <row r="1533" ht="14.399999999999999" customHeight="1">
      <c r="A1533" s="23" t="s">
        <v>3033</v>
      </c>
      <c r="B1533" s="23" t="s">
        <v>3034</v>
      </c>
    </row>
    <row r="1534" ht="14.399999999999999" customHeight="1">
      <c r="A1534" s="23" t="s">
        <v>3035</v>
      </c>
      <c r="B1534" s="23" t="s">
        <v>3036</v>
      </c>
    </row>
    <row r="1535" ht="14.399999999999999" customHeight="1">
      <c r="A1535" s="23" t="s">
        <v>3037</v>
      </c>
      <c r="B1535" s="23" t="s">
        <v>3038</v>
      </c>
    </row>
    <row r="1536" ht="14.399999999999999" customHeight="1">
      <c r="A1536" s="23" t="s">
        <v>3039</v>
      </c>
      <c r="B1536" s="23" t="s">
        <v>3040</v>
      </c>
    </row>
    <row r="1537" ht="14.399999999999999" customHeight="1">
      <c r="A1537" s="23" t="s">
        <v>3041</v>
      </c>
      <c r="B1537" s="23" t="s">
        <v>3042</v>
      </c>
    </row>
    <row r="1538" ht="14.399999999999999" customHeight="1">
      <c r="A1538" s="23" t="s">
        <v>3043</v>
      </c>
      <c r="B1538" s="23" t="s">
        <v>3044</v>
      </c>
    </row>
    <row r="1539" ht="14.399999999999999" customHeight="1">
      <c r="A1539" s="23" t="s">
        <v>3045</v>
      </c>
      <c r="B1539" s="23" t="s">
        <v>3046</v>
      </c>
    </row>
    <row r="1540" ht="14.399999999999999" customHeight="1">
      <c r="A1540" s="21" t="s">
        <v>3047</v>
      </c>
      <c r="B1540" s="23" t="s">
        <v>3048</v>
      </c>
    </row>
    <row r="1541" ht="14.399999999999999" customHeight="1">
      <c r="A1541" s="23" t="s">
        <v>3049</v>
      </c>
      <c r="B1541" s="23" t="s">
        <v>3050</v>
      </c>
    </row>
    <row r="1542" ht="14.399999999999999" customHeight="1">
      <c r="A1542" s="23" t="s">
        <v>3051</v>
      </c>
      <c r="B1542" s="23" t="s">
        <v>3052</v>
      </c>
    </row>
    <row r="1543" ht="14.399999999999999" customHeight="1">
      <c r="A1543" s="23" t="s">
        <v>3053</v>
      </c>
      <c r="B1543" s="23" t="s">
        <v>3054</v>
      </c>
    </row>
    <row r="1544" ht="14.399999999999999" customHeight="1">
      <c r="A1544" s="23" t="s">
        <v>3055</v>
      </c>
      <c r="B1544" s="23" t="s">
        <v>3056</v>
      </c>
    </row>
    <row r="1545" ht="14.399999999999999" customHeight="1">
      <c r="A1545" s="23" t="s">
        <v>3057</v>
      </c>
      <c r="B1545" s="23" t="s">
        <v>3058</v>
      </c>
    </row>
    <row r="1546" ht="14.399999999999999" customHeight="1">
      <c r="A1546" s="23" t="s">
        <v>3059</v>
      </c>
      <c r="B1546" s="23" t="s">
        <v>3060</v>
      </c>
    </row>
    <row r="1547" ht="14.399999999999999" customHeight="1">
      <c r="A1547" s="21" t="s">
        <v>3061</v>
      </c>
      <c r="B1547" s="23" t="s">
        <v>3062</v>
      </c>
    </row>
    <row r="1548" ht="14.399999999999999" customHeight="1">
      <c r="A1548" s="23" t="s">
        <v>3063</v>
      </c>
      <c r="B1548" s="23" t="s">
        <v>3064</v>
      </c>
    </row>
    <row r="1549" ht="14.399999999999999" customHeight="1">
      <c r="A1549" s="23" t="s">
        <v>3065</v>
      </c>
      <c r="B1549" s="23" t="s">
        <v>3066</v>
      </c>
    </row>
    <row r="1550" ht="14.399999999999999" customHeight="1">
      <c r="A1550" s="23" t="s">
        <v>3067</v>
      </c>
      <c r="B1550" s="23" t="s">
        <v>3068</v>
      </c>
    </row>
    <row r="1551" ht="14.399999999999999" customHeight="1">
      <c r="A1551" s="23" t="s">
        <v>3069</v>
      </c>
      <c r="B1551" s="23" t="s">
        <v>3070</v>
      </c>
    </row>
    <row r="1552" ht="14.399999999999999" customHeight="1">
      <c r="A1552" s="23" t="s">
        <v>3071</v>
      </c>
      <c r="B1552" s="23" t="s">
        <v>3072</v>
      </c>
    </row>
    <row r="1553" ht="14.399999999999999" customHeight="1">
      <c r="A1553" s="23" t="s">
        <v>3073</v>
      </c>
      <c r="B1553" s="23" t="s">
        <v>3074</v>
      </c>
    </row>
    <row r="1554" ht="14.399999999999999" customHeight="1">
      <c r="A1554" s="23" t="s">
        <v>3075</v>
      </c>
      <c r="B1554" s="23" t="s">
        <v>3076</v>
      </c>
    </row>
    <row r="1555" ht="14.399999999999999" customHeight="1">
      <c r="A1555" s="23" t="s">
        <v>3077</v>
      </c>
      <c r="B1555" s="23" t="s">
        <v>3078</v>
      </c>
    </row>
    <row r="1556" ht="14.399999999999999" customHeight="1">
      <c r="A1556" s="23" t="s">
        <v>3079</v>
      </c>
      <c r="B1556" s="23" t="s">
        <v>3080</v>
      </c>
    </row>
    <row r="1557" ht="14.399999999999999" customHeight="1">
      <c r="A1557" s="23" t="s">
        <v>3081</v>
      </c>
      <c r="B1557" s="23" t="s">
        <v>3082</v>
      </c>
    </row>
    <row r="1558" ht="14.399999999999999" customHeight="1">
      <c r="A1558" s="23" t="s">
        <v>3083</v>
      </c>
      <c r="B1558" s="23" t="s">
        <v>3084</v>
      </c>
    </row>
    <row r="1559" ht="14.399999999999999" customHeight="1">
      <c r="A1559" s="23" t="s">
        <v>3085</v>
      </c>
      <c r="B1559" s="23" t="s">
        <v>3086</v>
      </c>
    </row>
    <row r="1560" ht="14.399999999999999" customHeight="1">
      <c r="A1560" s="23" t="s">
        <v>3087</v>
      </c>
      <c r="B1560" s="23" t="s">
        <v>3088</v>
      </c>
    </row>
    <row r="1561" ht="14.399999999999999" customHeight="1">
      <c r="A1561" s="23" t="s">
        <v>3089</v>
      </c>
      <c r="B1561" s="23" t="s">
        <v>3090</v>
      </c>
    </row>
    <row r="1562" ht="14.399999999999999" customHeight="1">
      <c r="A1562" s="23" t="s">
        <v>3091</v>
      </c>
      <c r="B1562" s="23" t="s">
        <v>3092</v>
      </c>
    </row>
    <row r="1563" ht="14.399999999999999" customHeight="1">
      <c r="A1563" s="23" t="s">
        <v>3093</v>
      </c>
      <c r="B1563" s="23" t="s">
        <v>3094</v>
      </c>
    </row>
    <row r="1564" ht="14.399999999999999" customHeight="1">
      <c r="A1564" s="23" t="s">
        <v>3095</v>
      </c>
      <c r="B1564" s="23" t="s">
        <v>3096</v>
      </c>
    </row>
    <row r="1565" ht="14.399999999999999" customHeight="1">
      <c r="A1565" s="23" t="s">
        <v>3097</v>
      </c>
      <c r="B1565" s="23" t="s">
        <v>3098</v>
      </c>
    </row>
    <row r="1566" ht="14.399999999999999" customHeight="1">
      <c r="A1566" s="23" t="s">
        <v>3099</v>
      </c>
      <c r="B1566" s="23" t="s">
        <v>3100</v>
      </c>
    </row>
    <row r="1567" ht="14.399999999999999" customHeight="1">
      <c r="A1567" s="23" t="s">
        <v>3101</v>
      </c>
      <c r="B1567" s="23" t="s">
        <v>3102</v>
      </c>
    </row>
    <row r="1568" ht="14.399999999999999" customHeight="1">
      <c r="A1568" s="23" t="s">
        <v>3103</v>
      </c>
      <c r="B1568" s="23" t="s">
        <v>3104</v>
      </c>
    </row>
    <row r="1569" ht="14.399999999999999" customHeight="1">
      <c r="A1569" s="23" t="s">
        <v>3105</v>
      </c>
      <c r="B1569" s="23" t="s">
        <v>3106</v>
      </c>
    </row>
    <row r="1570" ht="14.399999999999999" customHeight="1">
      <c r="A1570" s="23" t="s">
        <v>3107</v>
      </c>
      <c r="B1570" s="23" t="s">
        <v>3108</v>
      </c>
    </row>
    <row r="1571" ht="14.399999999999999" customHeight="1">
      <c r="A1571" s="23" t="s">
        <v>3109</v>
      </c>
      <c r="B1571" s="23" t="s">
        <v>3110</v>
      </c>
    </row>
    <row r="1572" ht="14.399999999999999" customHeight="1">
      <c r="A1572" s="23" t="s">
        <v>3111</v>
      </c>
      <c r="B1572" s="23" t="s">
        <v>3112</v>
      </c>
    </row>
    <row r="1573" ht="14.399999999999999" customHeight="1">
      <c r="A1573" s="23" t="s">
        <v>3113</v>
      </c>
      <c r="B1573" s="23" t="s">
        <v>3114</v>
      </c>
    </row>
    <row r="1574" ht="14.399999999999999" customHeight="1">
      <c r="A1574" s="23" t="s">
        <v>3115</v>
      </c>
      <c r="B1574" s="23" t="s">
        <v>3116</v>
      </c>
    </row>
    <row r="1575" ht="14.399999999999999" customHeight="1">
      <c r="A1575" s="23" t="s">
        <v>3117</v>
      </c>
      <c r="B1575" s="23" t="s">
        <v>3118</v>
      </c>
    </row>
    <row r="1576" ht="14.399999999999999" customHeight="1">
      <c r="A1576" s="23" t="s">
        <v>3119</v>
      </c>
      <c r="B1576" s="23" t="s">
        <v>3120</v>
      </c>
    </row>
    <row r="1577" ht="14.399999999999999" customHeight="1">
      <c r="A1577" s="23" t="s">
        <v>3121</v>
      </c>
      <c r="B1577" s="23" t="s">
        <v>3122</v>
      </c>
    </row>
    <row r="1578" ht="14.399999999999999" customHeight="1">
      <c r="A1578" s="23" t="s">
        <v>3123</v>
      </c>
      <c r="B1578" s="23" t="s">
        <v>3124</v>
      </c>
    </row>
    <row r="1579" ht="14.399999999999999" customHeight="1">
      <c r="A1579" s="23" t="s">
        <v>3125</v>
      </c>
      <c r="B1579" s="23" t="s">
        <v>3126</v>
      </c>
    </row>
    <row r="1580" ht="14.399999999999999" customHeight="1">
      <c r="A1580" s="23" t="s">
        <v>3127</v>
      </c>
      <c r="B1580" s="23" t="s">
        <v>3128</v>
      </c>
    </row>
    <row r="1581" ht="14.399999999999999" customHeight="1">
      <c r="A1581" s="23" t="s">
        <v>3129</v>
      </c>
      <c r="B1581" s="23" t="s">
        <v>3130</v>
      </c>
    </row>
    <row r="1582" ht="14.399999999999999" customHeight="1">
      <c r="A1582" s="23" t="s">
        <v>3131</v>
      </c>
      <c r="B1582" s="23" t="s">
        <v>3132</v>
      </c>
    </row>
    <row r="1583" ht="14.399999999999999" customHeight="1">
      <c r="A1583" s="23" t="s">
        <v>3133</v>
      </c>
      <c r="B1583" s="23" t="s">
        <v>3134</v>
      </c>
    </row>
    <row r="1584" ht="14.399999999999999" customHeight="1">
      <c r="A1584" s="23" t="s">
        <v>3135</v>
      </c>
      <c r="B1584" s="23" t="s">
        <v>3136</v>
      </c>
    </row>
    <row r="1585" ht="14.399999999999999" customHeight="1">
      <c r="A1585" s="23" t="s">
        <v>3137</v>
      </c>
      <c r="B1585" s="23" t="s">
        <v>3138</v>
      </c>
    </row>
    <row r="1586" ht="14.399999999999999" customHeight="1">
      <c r="A1586" s="23" t="s">
        <v>3139</v>
      </c>
      <c r="B1586" s="23" t="s">
        <v>3140</v>
      </c>
    </row>
    <row r="1587" ht="14.399999999999999" customHeight="1">
      <c r="A1587" s="23" t="s">
        <v>3141</v>
      </c>
      <c r="B1587" s="23" t="s">
        <v>3142</v>
      </c>
    </row>
    <row r="1588" ht="14.399999999999999" customHeight="1">
      <c r="A1588" s="23" t="s">
        <v>3143</v>
      </c>
      <c r="B1588" s="23" t="s">
        <v>3144</v>
      </c>
    </row>
    <row r="1589" ht="14.399999999999999" customHeight="1">
      <c r="A1589" s="23" t="s">
        <v>3145</v>
      </c>
      <c r="B1589" s="23" t="s">
        <v>3146</v>
      </c>
    </row>
    <row r="1590" ht="14.399999999999999" customHeight="1">
      <c r="A1590" s="23" t="s">
        <v>3147</v>
      </c>
      <c r="B1590" s="23" t="s">
        <v>3148</v>
      </c>
    </row>
    <row r="1591" ht="14.399999999999999" customHeight="1">
      <c r="A1591" s="23" t="s">
        <v>3149</v>
      </c>
      <c r="B1591" s="23" t="s">
        <v>3150</v>
      </c>
    </row>
    <row r="1592" ht="14.399999999999999" customHeight="1">
      <c r="A1592" s="23" t="s">
        <v>3151</v>
      </c>
      <c r="B1592" s="23" t="s">
        <v>3152</v>
      </c>
    </row>
    <row r="1593" ht="14.399999999999999" customHeight="1">
      <c r="A1593" s="23" t="s">
        <v>3153</v>
      </c>
      <c r="B1593" s="23" t="s">
        <v>3154</v>
      </c>
    </row>
    <row r="1594" ht="14.399999999999999" customHeight="1">
      <c r="A1594" s="23" t="s">
        <v>3155</v>
      </c>
      <c r="B1594" s="23" t="s">
        <v>3156</v>
      </c>
    </row>
    <row r="1595" ht="14.399999999999999" customHeight="1">
      <c r="A1595" s="23" t="s">
        <v>3157</v>
      </c>
      <c r="B1595" s="23" t="s">
        <v>3158</v>
      </c>
    </row>
    <row r="1596" ht="14.399999999999999" customHeight="1">
      <c r="A1596" s="23" t="s">
        <v>3159</v>
      </c>
      <c r="B1596" s="23" t="s">
        <v>3160</v>
      </c>
    </row>
    <row r="1597" ht="14.399999999999999" customHeight="1">
      <c r="A1597" s="23" t="s">
        <v>3161</v>
      </c>
      <c r="B1597" s="23" t="s">
        <v>3162</v>
      </c>
    </row>
    <row r="1598" ht="14.399999999999999" customHeight="1">
      <c r="A1598" s="23" t="s">
        <v>3163</v>
      </c>
      <c r="B1598" s="23" t="s">
        <v>3164</v>
      </c>
    </row>
    <row r="1599" ht="14.399999999999999" customHeight="1">
      <c r="A1599" s="23" t="s">
        <v>3165</v>
      </c>
      <c r="B1599" s="23" t="s">
        <v>3166</v>
      </c>
    </row>
    <row r="1600" ht="14.399999999999999" customHeight="1">
      <c r="A1600" s="23" t="s">
        <v>3167</v>
      </c>
      <c r="B1600" s="23" t="s">
        <v>3168</v>
      </c>
    </row>
    <row r="1601" ht="14.399999999999999" customHeight="1">
      <c r="A1601" s="23" t="s">
        <v>3169</v>
      </c>
      <c r="B1601" s="23" t="s">
        <v>3170</v>
      </c>
    </row>
    <row r="1602" ht="14.399999999999999" customHeight="1">
      <c r="A1602" s="23" t="s">
        <v>3171</v>
      </c>
      <c r="B1602" s="23" t="s">
        <v>3172</v>
      </c>
    </row>
    <row r="1603" ht="14.399999999999999" customHeight="1">
      <c r="A1603" s="23" t="s">
        <v>3173</v>
      </c>
      <c r="B1603" s="23" t="s">
        <v>3174</v>
      </c>
    </row>
    <row r="1604" ht="14.399999999999999" customHeight="1">
      <c r="A1604" s="23" t="s">
        <v>3175</v>
      </c>
      <c r="B1604" s="23" t="s">
        <v>3176</v>
      </c>
    </row>
    <row r="1605" ht="14.399999999999999" customHeight="1">
      <c r="A1605" s="23" t="s">
        <v>3177</v>
      </c>
      <c r="B1605" s="23" t="s">
        <v>3178</v>
      </c>
    </row>
    <row r="1606" ht="14.399999999999999" customHeight="1">
      <c r="A1606" s="23" t="s">
        <v>3179</v>
      </c>
      <c r="B1606" s="23" t="s">
        <v>3180</v>
      </c>
    </row>
    <row r="1607" ht="14.399999999999999" customHeight="1">
      <c r="A1607" s="23" t="s">
        <v>3181</v>
      </c>
      <c r="B1607" s="23" t="s">
        <v>3182</v>
      </c>
    </row>
    <row r="1608" ht="14.399999999999999" customHeight="1">
      <c r="A1608" s="23" t="s">
        <v>3183</v>
      </c>
      <c r="B1608" s="23" t="s">
        <v>3184</v>
      </c>
    </row>
    <row r="1609" ht="14.399999999999999" customHeight="1">
      <c r="A1609" s="23" t="s">
        <v>3185</v>
      </c>
      <c r="B1609" s="23" t="s">
        <v>3186</v>
      </c>
    </row>
    <row r="1610" ht="14.399999999999999" customHeight="1">
      <c r="A1610" s="23" t="s">
        <v>3187</v>
      </c>
      <c r="B1610" s="23" t="s">
        <v>3188</v>
      </c>
    </row>
    <row r="1611" ht="14.399999999999999" customHeight="1">
      <c r="A1611" s="23" t="s">
        <v>3189</v>
      </c>
      <c r="B1611" s="23" t="s">
        <v>3190</v>
      </c>
    </row>
    <row r="1612" ht="14.399999999999999" customHeight="1">
      <c r="A1612" s="23" t="s">
        <v>3191</v>
      </c>
      <c r="B1612" s="23" t="s">
        <v>3192</v>
      </c>
    </row>
    <row r="1613" ht="14.399999999999999" customHeight="1">
      <c r="A1613" s="23" t="s">
        <v>3193</v>
      </c>
      <c r="B1613" s="23" t="s">
        <v>3194</v>
      </c>
    </row>
    <row r="1614" ht="14.399999999999999" customHeight="1">
      <c r="A1614" s="23" t="s">
        <v>3195</v>
      </c>
      <c r="B1614" s="23" t="s">
        <v>3196</v>
      </c>
    </row>
    <row r="1615" ht="14.399999999999999" customHeight="1">
      <c r="A1615" s="23" t="s">
        <v>3197</v>
      </c>
      <c r="B1615" s="23" t="s">
        <v>3198</v>
      </c>
    </row>
    <row r="1616" ht="14.399999999999999" customHeight="1">
      <c r="A1616" s="23" t="s">
        <v>3199</v>
      </c>
      <c r="B1616" s="23" t="s">
        <v>3200</v>
      </c>
    </row>
    <row r="1617" ht="14.399999999999999" customHeight="1">
      <c r="A1617" s="23" t="s">
        <v>3201</v>
      </c>
      <c r="B1617" s="23" t="s">
        <v>3202</v>
      </c>
    </row>
    <row r="1618" ht="14.399999999999999" customHeight="1">
      <c r="A1618" s="23" t="s">
        <v>3203</v>
      </c>
      <c r="B1618" s="23" t="s">
        <v>3204</v>
      </c>
    </row>
    <row r="1619" ht="14.399999999999999" customHeight="1">
      <c r="A1619" s="23" t="s">
        <v>3205</v>
      </c>
      <c r="B1619" s="23" t="s">
        <v>3206</v>
      </c>
    </row>
    <row r="1620" ht="14.399999999999999" customHeight="1">
      <c r="A1620" s="23" t="s">
        <v>3207</v>
      </c>
      <c r="B1620" s="23" t="s">
        <v>3208</v>
      </c>
    </row>
    <row r="1621" ht="14.399999999999999" customHeight="1">
      <c r="A1621" s="23" t="s">
        <v>3209</v>
      </c>
      <c r="B1621" s="23" t="s">
        <v>3210</v>
      </c>
    </row>
    <row r="1622" ht="14.399999999999999" customHeight="1">
      <c r="A1622" s="23" t="s">
        <v>3211</v>
      </c>
      <c r="B1622" s="23" t="s">
        <v>3212</v>
      </c>
    </row>
    <row r="1623" ht="14.399999999999999" customHeight="1">
      <c r="A1623" s="23" t="s">
        <v>3213</v>
      </c>
      <c r="B1623" s="23" t="s">
        <v>3214</v>
      </c>
    </row>
    <row r="1624" ht="14.399999999999999" customHeight="1">
      <c r="A1624" s="23" t="s">
        <v>3215</v>
      </c>
      <c r="B1624" s="23" t="s">
        <v>3216</v>
      </c>
    </row>
    <row r="1625" ht="14.399999999999999" customHeight="1">
      <c r="A1625" s="23" t="s">
        <v>3217</v>
      </c>
      <c r="B1625" s="23" t="s">
        <v>3218</v>
      </c>
    </row>
    <row r="1626" ht="14.399999999999999" customHeight="1">
      <c r="A1626" s="23" t="s">
        <v>3219</v>
      </c>
      <c r="B1626" s="23" t="s">
        <v>3220</v>
      </c>
    </row>
    <row r="1627" ht="14.399999999999999" customHeight="1">
      <c r="A1627" s="23" t="s">
        <v>3221</v>
      </c>
      <c r="B1627" s="23" t="s">
        <v>3222</v>
      </c>
    </row>
    <row r="1628" ht="14.399999999999999" customHeight="1">
      <c r="A1628" s="23" t="s">
        <v>3223</v>
      </c>
      <c r="B1628" s="23" t="s">
        <v>3224</v>
      </c>
    </row>
    <row r="1629" ht="14.399999999999999" customHeight="1">
      <c r="A1629" s="23" t="s">
        <v>3225</v>
      </c>
      <c r="B1629" s="23" t="s">
        <v>3226</v>
      </c>
    </row>
    <row r="1630" ht="14.399999999999999" customHeight="1">
      <c r="A1630" s="23" t="s">
        <v>3227</v>
      </c>
      <c r="B1630" s="23" t="s">
        <v>3228</v>
      </c>
    </row>
    <row r="1631" ht="14.399999999999999" customHeight="1">
      <c r="A1631" s="23" t="s">
        <v>3229</v>
      </c>
      <c r="B1631" s="23" t="s">
        <v>3230</v>
      </c>
    </row>
    <row r="1632" ht="14.399999999999999" customHeight="1">
      <c r="A1632" s="23" t="s">
        <v>3231</v>
      </c>
      <c r="B1632" s="23" t="s">
        <v>3232</v>
      </c>
    </row>
    <row r="1633" ht="14.399999999999999" customHeight="1">
      <c r="A1633" s="23" t="s">
        <v>3233</v>
      </c>
      <c r="B1633" s="23" t="s">
        <v>3234</v>
      </c>
    </row>
    <row r="1634" ht="14.399999999999999" customHeight="1">
      <c r="A1634" s="23" t="s">
        <v>3235</v>
      </c>
      <c r="B1634" s="23" t="s">
        <v>3236</v>
      </c>
    </row>
    <row r="1635" ht="14.399999999999999" customHeight="1">
      <c r="A1635" s="23" t="s">
        <v>3237</v>
      </c>
      <c r="B1635" s="23" t="s">
        <v>3238</v>
      </c>
    </row>
    <row r="1636" ht="14.399999999999999" customHeight="1">
      <c r="A1636" s="23" t="s">
        <v>3239</v>
      </c>
      <c r="B1636" s="23" t="s">
        <v>3240</v>
      </c>
    </row>
    <row r="1637" ht="14.399999999999999" customHeight="1">
      <c r="A1637" s="23" t="s">
        <v>3241</v>
      </c>
      <c r="B1637" s="23" t="s">
        <v>3242</v>
      </c>
    </row>
    <row r="1638" ht="14.399999999999999" customHeight="1">
      <c r="A1638" s="23" t="s">
        <v>3243</v>
      </c>
      <c r="B1638" s="23" t="s">
        <v>3244</v>
      </c>
    </row>
    <row r="1639" ht="14.399999999999999" customHeight="1">
      <c r="A1639" s="23" t="s">
        <v>3245</v>
      </c>
      <c r="B1639" s="23" t="s">
        <v>3246</v>
      </c>
    </row>
    <row r="1640" ht="14.399999999999999" customHeight="1">
      <c r="A1640" s="23" t="s">
        <v>3247</v>
      </c>
      <c r="B1640" s="23" t="s">
        <v>3248</v>
      </c>
    </row>
    <row r="1641" ht="14.399999999999999" customHeight="1">
      <c r="A1641" s="23" t="s">
        <v>3249</v>
      </c>
      <c r="B1641" s="23" t="s">
        <v>3250</v>
      </c>
    </row>
    <row r="1642" ht="14.399999999999999" customHeight="1">
      <c r="A1642" s="23" t="s">
        <v>3251</v>
      </c>
      <c r="B1642" s="23" t="s">
        <v>3252</v>
      </c>
    </row>
    <row r="1643" ht="14.399999999999999" customHeight="1">
      <c r="A1643" s="23" t="s">
        <v>3253</v>
      </c>
      <c r="B1643" s="23" t="s">
        <v>3254</v>
      </c>
    </row>
    <row r="1644" ht="14.399999999999999" customHeight="1">
      <c r="A1644" s="23" t="s">
        <v>3255</v>
      </c>
      <c r="B1644" s="23" t="s">
        <v>3256</v>
      </c>
    </row>
    <row r="1645" ht="14.399999999999999" customHeight="1">
      <c r="A1645" s="23" t="s">
        <v>3257</v>
      </c>
      <c r="B1645" s="23" t="s">
        <v>3258</v>
      </c>
    </row>
    <row r="1646" ht="14.399999999999999" customHeight="1">
      <c r="A1646" s="23" t="s">
        <v>3259</v>
      </c>
      <c r="B1646" s="23" t="s">
        <v>3260</v>
      </c>
    </row>
    <row r="1647" ht="14.399999999999999" customHeight="1">
      <c r="A1647" s="23" t="s">
        <v>3261</v>
      </c>
      <c r="B1647" s="23" t="s">
        <v>3262</v>
      </c>
    </row>
    <row r="1648" ht="14.399999999999999" customHeight="1">
      <c r="A1648" s="23" t="s">
        <v>3263</v>
      </c>
      <c r="B1648" s="23" t="s">
        <v>3264</v>
      </c>
    </row>
    <row r="1649" ht="14.399999999999999" customHeight="1">
      <c r="A1649" s="23" t="s">
        <v>3265</v>
      </c>
      <c r="B1649" s="23" t="s">
        <v>3266</v>
      </c>
    </row>
    <row r="1650" ht="14.399999999999999" customHeight="1">
      <c r="A1650" s="23" t="s">
        <v>3267</v>
      </c>
      <c r="B1650" s="23" t="s">
        <v>3268</v>
      </c>
    </row>
    <row r="1651" ht="14.399999999999999" customHeight="1">
      <c r="A1651" s="23" t="s">
        <v>3269</v>
      </c>
      <c r="B1651" s="23" t="s">
        <v>3270</v>
      </c>
    </row>
    <row r="1652" ht="14.399999999999999" customHeight="1">
      <c r="A1652" s="23" t="s">
        <v>3271</v>
      </c>
      <c r="B1652" s="23" t="s">
        <v>3272</v>
      </c>
    </row>
    <row r="1653" ht="14.399999999999999" customHeight="1">
      <c r="A1653" s="23" t="s">
        <v>3273</v>
      </c>
      <c r="B1653" s="23" t="s">
        <v>3274</v>
      </c>
    </row>
    <row r="1654" ht="14.399999999999999" customHeight="1">
      <c r="A1654" s="23" t="s">
        <v>3275</v>
      </c>
      <c r="B1654" s="23" t="s">
        <v>3276</v>
      </c>
    </row>
    <row r="1655" ht="14.399999999999999" customHeight="1">
      <c r="A1655" s="23" t="s">
        <v>3277</v>
      </c>
      <c r="B1655" s="23" t="s">
        <v>3278</v>
      </c>
    </row>
    <row r="1656" ht="14.399999999999999" customHeight="1">
      <c r="A1656" s="23" t="s">
        <v>3279</v>
      </c>
      <c r="B1656" s="23" t="s">
        <v>3280</v>
      </c>
    </row>
    <row r="1657" ht="14.399999999999999" customHeight="1">
      <c r="A1657" s="23" t="s">
        <v>3281</v>
      </c>
      <c r="B1657" s="23" t="s">
        <v>3282</v>
      </c>
    </row>
    <row r="1658" ht="14.399999999999999" customHeight="1">
      <c r="A1658" s="23" t="s">
        <v>3283</v>
      </c>
      <c r="B1658" s="23" t="s">
        <v>3284</v>
      </c>
    </row>
    <row r="1659" ht="14.399999999999999" customHeight="1">
      <c r="A1659" s="23" t="s">
        <v>3285</v>
      </c>
      <c r="B1659" s="23" t="s">
        <v>3286</v>
      </c>
    </row>
    <row r="1660" ht="14.399999999999999" customHeight="1">
      <c r="A1660" s="23" t="s">
        <v>3287</v>
      </c>
      <c r="B1660" s="23" t="s">
        <v>3288</v>
      </c>
    </row>
    <row r="1661" ht="14.399999999999999" customHeight="1">
      <c r="A1661" s="23" t="s">
        <v>3289</v>
      </c>
      <c r="B1661" s="23" t="s">
        <v>3290</v>
      </c>
    </row>
    <row r="1662" ht="14.399999999999999" customHeight="1">
      <c r="A1662" s="23" t="s">
        <v>3291</v>
      </c>
      <c r="B1662" s="23" t="s">
        <v>3292</v>
      </c>
    </row>
    <row r="1663" ht="14.399999999999999" customHeight="1">
      <c r="A1663" s="23" t="s">
        <v>3293</v>
      </c>
      <c r="B1663" s="23" t="s">
        <v>3294</v>
      </c>
    </row>
    <row r="1664" ht="14.399999999999999" customHeight="1">
      <c r="A1664" s="23" t="s">
        <v>3295</v>
      </c>
      <c r="B1664" s="23" t="s">
        <v>3296</v>
      </c>
    </row>
    <row r="1665" ht="14.399999999999999" customHeight="1">
      <c r="A1665" s="23" t="s">
        <v>3297</v>
      </c>
      <c r="B1665" s="23" t="s">
        <v>3298</v>
      </c>
    </row>
    <row r="1666" ht="14.399999999999999" customHeight="1">
      <c r="A1666" s="23" t="s">
        <v>3299</v>
      </c>
      <c r="B1666" s="23" t="s">
        <v>3300</v>
      </c>
    </row>
    <row r="1667" ht="14.399999999999999" customHeight="1">
      <c r="A1667" s="23" t="s">
        <v>3301</v>
      </c>
      <c r="B1667" s="23" t="s">
        <v>3302</v>
      </c>
    </row>
    <row r="1668" ht="14.399999999999999" customHeight="1">
      <c r="A1668" s="23" t="s">
        <v>3303</v>
      </c>
      <c r="B1668" s="23" t="s">
        <v>3304</v>
      </c>
    </row>
    <row r="1669" ht="14.399999999999999" customHeight="1">
      <c r="A1669" s="23" t="s">
        <v>3305</v>
      </c>
      <c r="B1669" s="23" t="s">
        <v>3306</v>
      </c>
    </row>
    <row r="1670" ht="14.399999999999999" customHeight="1">
      <c r="A1670" s="23" t="s">
        <v>3307</v>
      </c>
      <c r="B1670" s="23" t="s">
        <v>3308</v>
      </c>
    </row>
    <row r="1671" ht="14.399999999999999" customHeight="1">
      <c r="A1671" s="23" t="s">
        <v>3309</v>
      </c>
      <c r="B1671" s="23" t="s">
        <v>3310</v>
      </c>
    </row>
    <row r="1672" ht="14.399999999999999" customHeight="1">
      <c r="A1672" s="23" t="s">
        <v>3311</v>
      </c>
      <c r="B1672" s="23" t="s">
        <v>3312</v>
      </c>
    </row>
    <row r="1673" ht="14.399999999999999" customHeight="1">
      <c r="A1673" s="23" t="s">
        <v>3313</v>
      </c>
      <c r="B1673" s="23" t="s">
        <v>3314</v>
      </c>
    </row>
    <row r="1674" ht="14.399999999999999" customHeight="1">
      <c r="A1674" s="23" t="s">
        <v>3315</v>
      </c>
      <c r="B1674" s="23" t="s">
        <v>3316</v>
      </c>
    </row>
    <row r="1675" ht="14.399999999999999" customHeight="1">
      <c r="A1675" s="23" t="s">
        <v>3317</v>
      </c>
      <c r="B1675" s="23" t="s">
        <v>3318</v>
      </c>
    </row>
    <row r="1676" ht="14.399999999999999" customHeight="1">
      <c r="A1676" s="23" t="s">
        <v>3319</v>
      </c>
      <c r="B1676" s="23" t="s">
        <v>3320</v>
      </c>
    </row>
    <row r="1677" ht="14.399999999999999" customHeight="1">
      <c r="A1677" s="23" t="s">
        <v>3321</v>
      </c>
      <c r="B1677" s="23" t="s">
        <v>3322</v>
      </c>
    </row>
    <row r="1678" ht="14.399999999999999" customHeight="1">
      <c r="A1678" s="23" t="s">
        <v>3323</v>
      </c>
      <c r="B1678" s="23" t="s">
        <v>3324</v>
      </c>
    </row>
    <row r="1679" ht="14.399999999999999" customHeight="1">
      <c r="A1679" s="23" t="s">
        <v>3325</v>
      </c>
      <c r="B1679" s="23" t="s">
        <v>3326</v>
      </c>
    </row>
    <row r="1680" ht="14.399999999999999" customHeight="1">
      <c r="A1680" s="23" t="s">
        <v>3327</v>
      </c>
      <c r="B1680" s="23" t="s">
        <v>3328</v>
      </c>
    </row>
    <row r="1681" ht="14.399999999999999" customHeight="1">
      <c r="A1681" s="23" t="s">
        <v>3329</v>
      </c>
      <c r="B1681" s="23" t="s">
        <v>3330</v>
      </c>
    </row>
    <row r="1682" ht="14.399999999999999" customHeight="1">
      <c r="A1682" s="23" t="s">
        <v>3331</v>
      </c>
      <c r="B1682" s="23" t="s">
        <v>3332</v>
      </c>
    </row>
    <row r="1683" ht="14.399999999999999" customHeight="1">
      <c r="A1683" s="23" t="s">
        <v>3333</v>
      </c>
      <c r="B1683" s="23" t="s">
        <v>3334</v>
      </c>
    </row>
    <row r="1684" ht="14.399999999999999" customHeight="1">
      <c r="A1684" s="23" t="s">
        <v>3335</v>
      </c>
      <c r="B1684" s="23" t="s">
        <v>3336</v>
      </c>
    </row>
    <row r="1685" ht="14.399999999999999" customHeight="1">
      <c r="A1685" s="23" t="s">
        <v>3337</v>
      </c>
      <c r="B1685" s="23" t="s">
        <v>3338</v>
      </c>
    </row>
    <row r="1686" ht="14.399999999999999" customHeight="1">
      <c r="A1686" s="23" t="s">
        <v>3339</v>
      </c>
      <c r="B1686" s="23" t="s">
        <v>3340</v>
      </c>
    </row>
    <row r="1687" ht="14.399999999999999" customHeight="1">
      <c r="A1687" s="23" t="s">
        <v>3341</v>
      </c>
      <c r="B1687" s="23" t="s">
        <v>3342</v>
      </c>
    </row>
    <row r="1688" ht="14.399999999999999" customHeight="1">
      <c r="A1688" s="23" t="s">
        <v>3343</v>
      </c>
      <c r="B1688" s="23" t="s">
        <v>3344</v>
      </c>
    </row>
    <row r="1689" ht="14.399999999999999" customHeight="1">
      <c r="A1689" s="23" t="s">
        <v>3345</v>
      </c>
      <c r="B1689" s="23" t="s">
        <v>3346</v>
      </c>
    </row>
    <row r="1690" ht="14.399999999999999" customHeight="1">
      <c r="A1690" s="23" t="s">
        <v>3347</v>
      </c>
      <c r="B1690" s="23" t="s">
        <v>3348</v>
      </c>
    </row>
    <row r="1691" ht="14.399999999999999" customHeight="1">
      <c r="A1691" s="23" t="s">
        <v>3349</v>
      </c>
      <c r="B1691" s="23" t="s">
        <v>3350</v>
      </c>
    </row>
    <row r="1692" ht="14.399999999999999" customHeight="1">
      <c r="A1692" s="23" t="s">
        <v>3351</v>
      </c>
      <c r="B1692" s="23" t="s">
        <v>3352</v>
      </c>
    </row>
    <row r="1693" ht="14.399999999999999" customHeight="1">
      <c r="A1693" s="23" t="s">
        <v>3353</v>
      </c>
      <c r="B1693" s="23" t="s">
        <v>3354</v>
      </c>
    </row>
    <row r="1694" ht="14.399999999999999" customHeight="1">
      <c r="A1694" s="23" t="s">
        <v>3355</v>
      </c>
      <c r="B1694" s="23" t="s">
        <v>3356</v>
      </c>
    </row>
    <row r="1695" ht="14.399999999999999" customHeight="1">
      <c r="A1695" s="23" t="s">
        <v>3357</v>
      </c>
      <c r="B1695" s="23" t="s">
        <v>3358</v>
      </c>
    </row>
    <row r="1696" ht="14.399999999999999" customHeight="1">
      <c r="A1696" s="23" t="s">
        <v>3359</v>
      </c>
      <c r="B1696" s="23" t="s">
        <v>3360</v>
      </c>
    </row>
    <row r="1697" ht="14.399999999999999" customHeight="1">
      <c r="A1697" s="23" t="s">
        <v>3361</v>
      </c>
      <c r="B1697" s="23" t="s">
        <v>3362</v>
      </c>
    </row>
    <row r="1698" ht="14.399999999999999" customHeight="1">
      <c r="A1698" s="23" t="s">
        <v>3363</v>
      </c>
      <c r="B1698" s="23" t="s">
        <v>3364</v>
      </c>
    </row>
    <row r="1699" ht="14.399999999999999" customHeight="1">
      <c r="A1699" s="23" t="s">
        <v>3365</v>
      </c>
      <c r="B1699" s="23" t="s">
        <v>3366</v>
      </c>
    </row>
    <row r="1700" ht="14.399999999999999" customHeight="1">
      <c r="A1700" s="23" t="s">
        <v>3367</v>
      </c>
      <c r="B1700" s="23" t="s">
        <v>3368</v>
      </c>
    </row>
    <row r="1701" ht="14.399999999999999" customHeight="1">
      <c r="A1701" s="23" t="s">
        <v>3369</v>
      </c>
      <c r="B1701" s="23" t="s">
        <v>3370</v>
      </c>
    </row>
    <row r="1702" ht="14.399999999999999" customHeight="1">
      <c r="A1702" s="23" t="s">
        <v>3371</v>
      </c>
      <c r="B1702" s="23" t="s">
        <v>3372</v>
      </c>
    </row>
    <row r="1703" ht="14.399999999999999" customHeight="1">
      <c r="A1703" s="23" t="s">
        <v>3373</v>
      </c>
      <c r="B1703" s="23" t="s">
        <v>3374</v>
      </c>
    </row>
    <row r="1704" ht="14.399999999999999" customHeight="1">
      <c r="A1704" s="23" t="s">
        <v>3375</v>
      </c>
      <c r="B1704" s="23" t="s">
        <v>3376</v>
      </c>
    </row>
    <row r="1705" ht="14.399999999999999" customHeight="1">
      <c r="A1705" s="23" t="s">
        <v>3377</v>
      </c>
      <c r="B1705" s="23" t="s">
        <v>3378</v>
      </c>
    </row>
    <row r="1706" ht="14.399999999999999" customHeight="1">
      <c r="A1706" s="23" t="s">
        <v>3379</v>
      </c>
      <c r="B1706" s="23" t="s">
        <v>3380</v>
      </c>
    </row>
    <row r="1707" ht="14.399999999999999" customHeight="1">
      <c r="A1707" s="23" t="s">
        <v>3381</v>
      </c>
      <c r="B1707" s="23" t="s">
        <v>3382</v>
      </c>
    </row>
    <row r="1708" ht="14.399999999999999" customHeight="1">
      <c r="A1708" s="23" t="s">
        <v>3383</v>
      </c>
      <c r="B1708" s="23" t="s">
        <v>3384</v>
      </c>
    </row>
    <row r="1709" ht="14.399999999999999" customHeight="1">
      <c r="A1709" s="23" t="s">
        <v>3385</v>
      </c>
      <c r="B1709" s="23" t="s">
        <v>3386</v>
      </c>
    </row>
    <row r="1710" ht="14.399999999999999" customHeight="1">
      <c r="A1710" s="23" t="s">
        <v>3387</v>
      </c>
      <c r="B1710" s="23" t="s">
        <v>3388</v>
      </c>
    </row>
    <row r="1711" ht="14.399999999999999" customHeight="1">
      <c r="A1711" s="23" t="s">
        <v>3389</v>
      </c>
      <c r="B1711" s="23" t="s">
        <v>3390</v>
      </c>
    </row>
    <row r="1712" ht="14.399999999999999" customHeight="1">
      <c r="A1712" s="23" t="s">
        <v>3391</v>
      </c>
      <c r="B1712" s="23" t="s">
        <v>3392</v>
      </c>
    </row>
    <row r="1713" ht="14.399999999999999" customHeight="1">
      <c r="A1713" s="23" t="s">
        <v>3393</v>
      </c>
      <c r="B1713" s="23" t="s">
        <v>3394</v>
      </c>
    </row>
    <row r="1714" ht="14.399999999999999" customHeight="1">
      <c r="A1714" s="23" t="s">
        <v>3395</v>
      </c>
      <c r="B1714" s="23" t="s">
        <v>3396</v>
      </c>
    </row>
    <row r="1715" ht="14.399999999999999" customHeight="1">
      <c r="A1715" s="23" t="s">
        <v>3397</v>
      </c>
      <c r="B1715" s="23" t="s">
        <v>3398</v>
      </c>
    </row>
    <row r="1716" ht="14.399999999999999" customHeight="1">
      <c r="A1716" s="23" t="s">
        <v>3399</v>
      </c>
      <c r="B1716" s="23" t="s">
        <v>3400</v>
      </c>
    </row>
    <row r="1717" ht="14.399999999999999" customHeight="1">
      <c r="A1717" s="23" t="s">
        <v>3401</v>
      </c>
      <c r="B1717" s="23" t="s">
        <v>3402</v>
      </c>
    </row>
    <row r="1718" ht="14.399999999999999" customHeight="1">
      <c r="A1718" s="23" t="s">
        <v>3403</v>
      </c>
      <c r="B1718" s="23" t="s">
        <v>3404</v>
      </c>
    </row>
    <row r="1719" ht="14.399999999999999" customHeight="1">
      <c r="A1719" s="23" t="s">
        <v>3405</v>
      </c>
      <c r="B1719" s="23" t="s">
        <v>3406</v>
      </c>
    </row>
    <row r="1720" ht="14.399999999999999" customHeight="1">
      <c r="A1720" s="23" t="s">
        <v>3407</v>
      </c>
      <c r="B1720" s="23" t="s">
        <v>3408</v>
      </c>
    </row>
    <row r="1721" ht="14.399999999999999" customHeight="1">
      <c r="A1721" s="23" t="s">
        <v>3409</v>
      </c>
      <c r="B1721" s="23" t="s">
        <v>3410</v>
      </c>
    </row>
    <row r="1722" ht="14.399999999999999" customHeight="1">
      <c r="A1722" s="23" t="s">
        <v>3411</v>
      </c>
      <c r="B1722" s="23" t="s">
        <v>3412</v>
      </c>
    </row>
    <row r="1723" ht="14.399999999999999" customHeight="1">
      <c r="A1723" s="23" t="s">
        <v>3413</v>
      </c>
      <c r="B1723" s="23" t="s">
        <v>3414</v>
      </c>
    </row>
    <row r="1724" ht="14.399999999999999" customHeight="1">
      <c r="A1724" s="23" t="s">
        <v>3415</v>
      </c>
      <c r="B1724" s="23" t="s">
        <v>3416</v>
      </c>
    </row>
    <row r="1725" ht="14.399999999999999" customHeight="1">
      <c r="A1725" s="23" t="s">
        <v>3417</v>
      </c>
      <c r="B1725" s="23" t="s">
        <v>3418</v>
      </c>
    </row>
    <row r="1726" ht="14.399999999999999" customHeight="1">
      <c r="A1726" s="23" t="s">
        <v>3419</v>
      </c>
      <c r="B1726" s="23" t="s">
        <v>3420</v>
      </c>
    </row>
    <row r="1727" ht="14.399999999999999" customHeight="1">
      <c r="A1727" s="23" t="s">
        <v>3421</v>
      </c>
      <c r="B1727" s="23" t="s">
        <v>3422</v>
      </c>
    </row>
    <row r="1728" ht="14.399999999999999" customHeight="1">
      <c r="A1728" s="23" t="s">
        <v>3423</v>
      </c>
      <c r="B1728" s="23" t="s">
        <v>3424</v>
      </c>
    </row>
    <row r="1729" ht="14.399999999999999" customHeight="1">
      <c r="A1729" s="23" t="s">
        <v>3425</v>
      </c>
      <c r="B1729" s="23" t="s">
        <v>3426</v>
      </c>
    </row>
    <row r="1730" ht="14.399999999999999" customHeight="1">
      <c r="A1730" s="23" t="s">
        <v>3427</v>
      </c>
      <c r="B1730" s="23" t="s">
        <v>3428</v>
      </c>
    </row>
    <row r="1731" ht="14.399999999999999" customHeight="1">
      <c r="A1731" s="23" t="s">
        <v>3429</v>
      </c>
      <c r="B1731" s="23" t="s">
        <v>3430</v>
      </c>
    </row>
    <row r="1732" s="20" customFormat="1" ht="14.399999999999999" customHeight="1">
      <c r="A1732" s="23" t="s">
        <v>3431</v>
      </c>
      <c r="B1732" s="23" t="s">
        <v>3432</v>
      </c>
    </row>
    <row r="1733" ht="14.399999999999999" customHeight="1">
      <c r="A1733" s="23" t="s">
        <v>3433</v>
      </c>
      <c r="B1733" s="23" t="s">
        <v>3434</v>
      </c>
    </row>
    <row r="1734" ht="14.399999999999999" customHeight="1">
      <c r="A1734" s="23" t="s">
        <v>3435</v>
      </c>
      <c r="B1734" s="23" t="s">
        <v>3436</v>
      </c>
    </row>
    <row r="1735" ht="14.399999999999999" customHeight="1">
      <c r="A1735" s="23" t="s">
        <v>3437</v>
      </c>
      <c r="B1735" s="23" t="s">
        <v>3438</v>
      </c>
    </row>
    <row r="1736" ht="14.399999999999999" customHeight="1">
      <c r="A1736" s="23" t="s">
        <v>3439</v>
      </c>
      <c r="B1736" s="23" t="s">
        <v>3440</v>
      </c>
    </row>
    <row r="1737" ht="14.399999999999999" customHeight="1">
      <c r="A1737" s="23" t="s">
        <v>3441</v>
      </c>
      <c r="B1737" s="23" t="s">
        <v>3442</v>
      </c>
    </row>
    <row r="1738" ht="14.399999999999999" customHeight="1">
      <c r="A1738" s="23" t="s">
        <v>3443</v>
      </c>
      <c r="B1738" s="23" t="s">
        <v>3444</v>
      </c>
    </row>
    <row r="1739" ht="14.399999999999999" customHeight="1">
      <c r="A1739" s="23" t="s">
        <v>3445</v>
      </c>
      <c r="B1739" s="23" t="s">
        <v>3446</v>
      </c>
    </row>
    <row r="1740" s="20" customFormat="1" ht="14.399999999999999" customHeight="1">
      <c r="A1740" s="23" t="s">
        <v>3447</v>
      </c>
      <c r="B1740" s="23" t="s">
        <v>3448</v>
      </c>
    </row>
    <row r="1741" ht="14.399999999999999" customHeight="1">
      <c r="A1741" s="23" t="s">
        <v>3449</v>
      </c>
      <c r="B1741" s="23" t="s">
        <v>3450</v>
      </c>
    </row>
    <row r="1742" ht="14.399999999999999" customHeight="1">
      <c r="A1742" s="23" t="s">
        <v>3451</v>
      </c>
      <c r="B1742" s="23" t="s">
        <v>3452</v>
      </c>
    </row>
    <row r="1743" ht="14.399999999999999" customHeight="1">
      <c r="A1743" s="23" t="s">
        <v>3453</v>
      </c>
      <c r="B1743" s="23" t="s">
        <v>3454</v>
      </c>
    </row>
    <row r="1744" ht="14.399999999999999" customHeight="1">
      <c r="A1744" s="23" t="s">
        <v>3455</v>
      </c>
      <c r="B1744" s="23" t="s">
        <v>3456</v>
      </c>
    </row>
    <row r="1745" ht="14.399999999999999" customHeight="1">
      <c r="A1745" s="23" t="s">
        <v>3457</v>
      </c>
      <c r="B1745" s="23" t="s">
        <v>3458</v>
      </c>
    </row>
    <row r="1746" ht="14.399999999999999" customHeight="1">
      <c r="A1746" s="23" t="s">
        <v>3459</v>
      </c>
      <c r="B1746" s="23" t="s">
        <v>3460</v>
      </c>
    </row>
    <row r="1747" ht="14.399999999999999" customHeight="1">
      <c r="A1747" s="23" t="s">
        <v>3461</v>
      </c>
      <c r="B1747" s="23" t="s">
        <v>3462</v>
      </c>
    </row>
    <row r="1748" ht="14.399999999999999" customHeight="1">
      <c r="A1748" s="23" t="s">
        <v>3463</v>
      </c>
      <c r="B1748" s="23" t="s">
        <v>3464</v>
      </c>
    </row>
    <row r="1749" ht="14.399999999999999" customHeight="1">
      <c r="A1749" s="23" t="s">
        <v>3465</v>
      </c>
      <c r="B1749" s="23" t="s">
        <v>3466</v>
      </c>
    </row>
    <row r="1750" ht="14.399999999999999" customHeight="1">
      <c r="A1750" s="23" t="s">
        <v>3467</v>
      </c>
      <c r="B1750" s="23" t="s">
        <v>3468</v>
      </c>
    </row>
    <row r="1751" ht="14.399999999999999" customHeight="1">
      <c r="A1751" s="23" t="s">
        <v>3469</v>
      </c>
      <c r="B1751" s="23" t="s">
        <v>3470</v>
      </c>
    </row>
    <row r="1752" ht="14.399999999999999" customHeight="1">
      <c r="A1752" s="23" t="s">
        <v>3471</v>
      </c>
      <c r="B1752" s="23" t="s">
        <v>3472</v>
      </c>
    </row>
    <row r="1753" ht="14.399999999999999" customHeight="1">
      <c r="A1753" s="23" t="s">
        <v>3473</v>
      </c>
      <c r="B1753" s="23" t="s">
        <v>3474</v>
      </c>
    </row>
    <row r="1754" ht="14.399999999999999" customHeight="1">
      <c r="A1754" s="23" t="s">
        <v>3475</v>
      </c>
      <c r="B1754" s="23" t="s">
        <v>3476</v>
      </c>
    </row>
    <row r="1755" ht="14.399999999999999" customHeight="1">
      <c r="A1755" s="23" t="s">
        <v>3477</v>
      </c>
      <c r="B1755" s="23" t="s">
        <v>3478</v>
      </c>
    </row>
    <row r="1756" ht="14.399999999999999" customHeight="1">
      <c r="A1756" s="23" t="s">
        <v>3479</v>
      </c>
      <c r="B1756" s="23" t="s">
        <v>3480</v>
      </c>
    </row>
    <row r="1757" ht="14.399999999999999" customHeight="1">
      <c r="A1757" s="23" t="s">
        <v>3481</v>
      </c>
      <c r="B1757" s="23" t="s">
        <v>3482</v>
      </c>
    </row>
    <row r="1758" ht="14.399999999999999" customHeight="1">
      <c r="A1758" s="23" t="s">
        <v>3483</v>
      </c>
      <c r="B1758" s="23" t="s">
        <v>3484</v>
      </c>
    </row>
    <row r="1759" ht="14.399999999999999" customHeight="1">
      <c r="A1759" s="23" t="s">
        <v>3485</v>
      </c>
      <c r="B1759" s="23" t="s">
        <v>3486</v>
      </c>
    </row>
    <row r="1760" ht="14.399999999999999" customHeight="1">
      <c r="A1760" s="23" t="s">
        <v>3487</v>
      </c>
      <c r="B1760" s="23" t="s">
        <v>3488</v>
      </c>
    </row>
    <row r="1761" ht="14.399999999999999" customHeight="1">
      <c r="A1761" s="23" t="s">
        <v>3489</v>
      </c>
      <c r="B1761" s="23" t="s">
        <v>3490</v>
      </c>
    </row>
    <row r="1762" ht="14.399999999999999" customHeight="1">
      <c r="A1762" s="23" t="s">
        <v>3491</v>
      </c>
      <c r="B1762" s="23" t="s">
        <v>3492</v>
      </c>
    </row>
    <row r="1763" ht="14.399999999999999" customHeight="1">
      <c r="A1763" s="23" t="s">
        <v>3493</v>
      </c>
      <c r="B1763" s="23" t="s">
        <v>3494</v>
      </c>
    </row>
    <row r="1764" ht="14.399999999999999" customHeight="1">
      <c r="A1764" s="23" t="s">
        <v>3495</v>
      </c>
      <c r="B1764" s="23" t="s">
        <v>3496</v>
      </c>
    </row>
    <row r="1765" ht="14.399999999999999" customHeight="1">
      <c r="A1765" s="23" t="s">
        <v>3497</v>
      </c>
      <c r="B1765" s="23" t="s">
        <v>3498</v>
      </c>
    </row>
    <row r="1766" ht="14.399999999999999" customHeight="1">
      <c r="A1766" s="23" t="s">
        <v>3499</v>
      </c>
      <c r="B1766" s="23" t="s">
        <v>3500</v>
      </c>
    </row>
    <row r="1767" ht="14.399999999999999" customHeight="1">
      <c r="A1767" s="23" t="s">
        <v>3501</v>
      </c>
      <c r="B1767" s="23" t="s">
        <v>3502</v>
      </c>
    </row>
    <row r="1768" ht="14.399999999999999" customHeight="1">
      <c r="A1768" s="23" t="s">
        <v>3503</v>
      </c>
      <c r="B1768" s="23" t="s">
        <v>3504</v>
      </c>
    </row>
    <row r="1769" ht="14.399999999999999" customHeight="1">
      <c r="A1769" s="23" t="s">
        <v>3505</v>
      </c>
      <c r="B1769" s="23" t="s">
        <v>3506</v>
      </c>
    </row>
    <row r="1770" ht="14.399999999999999" customHeight="1">
      <c r="A1770" s="23" t="s">
        <v>3507</v>
      </c>
      <c r="B1770" s="23" t="s">
        <v>3508</v>
      </c>
    </row>
    <row r="1771" ht="14.399999999999999" customHeight="1">
      <c r="A1771" s="23" t="s">
        <v>3509</v>
      </c>
      <c r="B1771" s="23" t="s">
        <v>3510</v>
      </c>
    </row>
    <row r="1772" ht="14.399999999999999" customHeight="1">
      <c r="A1772" s="23" t="s">
        <v>3511</v>
      </c>
      <c r="B1772" s="23" t="s">
        <v>3512</v>
      </c>
    </row>
    <row r="1773" ht="14.399999999999999" customHeight="1">
      <c r="A1773" s="23" t="s">
        <v>3513</v>
      </c>
      <c r="B1773" s="23" t="s">
        <v>3514</v>
      </c>
    </row>
    <row r="1774" ht="14.399999999999999" customHeight="1">
      <c r="A1774" s="23" t="s">
        <v>3515</v>
      </c>
      <c r="B1774" s="23" t="s">
        <v>3516</v>
      </c>
    </row>
    <row r="1775" ht="14.399999999999999" customHeight="1">
      <c r="A1775" s="23" t="s">
        <v>3517</v>
      </c>
      <c r="B1775" s="23" t="s">
        <v>3518</v>
      </c>
    </row>
    <row r="1776" ht="14.399999999999999" customHeight="1">
      <c r="A1776" s="23" t="s">
        <v>3519</v>
      </c>
      <c r="B1776" s="23" t="s">
        <v>3520</v>
      </c>
    </row>
    <row r="1777" ht="14.399999999999999" customHeight="1">
      <c r="A1777" s="23" t="s">
        <v>3521</v>
      </c>
      <c r="B1777" s="23" t="s">
        <v>3522</v>
      </c>
    </row>
    <row r="1778" ht="14.399999999999999" customHeight="1">
      <c r="A1778" s="23" t="s">
        <v>3523</v>
      </c>
      <c r="B1778" s="23" t="s">
        <v>3524</v>
      </c>
    </row>
    <row r="1779" ht="14.399999999999999" customHeight="1">
      <c r="A1779" s="23" t="s">
        <v>3525</v>
      </c>
      <c r="B1779" s="23" t="s">
        <v>3526</v>
      </c>
    </row>
    <row r="1780" ht="14.399999999999999" customHeight="1">
      <c r="A1780" s="23" t="s">
        <v>3527</v>
      </c>
      <c r="B1780" s="23" t="s">
        <v>3528</v>
      </c>
    </row>
    <row r="1781" ht="14.399999999999999" customHeight="1">
      <c r="A1781" s="23" t="s">
        <v>3529</v>
      </c>
      <c r="B1781" s="23" t="s">
        <v>3530</v>
      </c>
    </row>
    <row r="1782" ht="14.399999999999999" customHeight="1">
      <c r="A1782" s="23" t="s">
        <v>3531</v>
      </c>
      <c r="B1782" s="23" t="s">
        <v>3532</v>
      </c>
    </row>
    <row r="1783" s="20" customFormat="1" ht="14.399999999999999" customHeight="1">
      <c r="A1783" s="23" t="s">
        <v>3533</v>
      </c>
      <c r="B1783" s="23" t="s">
        <v>3534</v>
      </c>
    </row>
    <row r="1784" ht="14.399999999999999" customHeight="1">
      <c r="A1784" s="23" t="s">
        <v>3535</v>
      </c>
      <c r="B1784" s="23" t="s">
        <v>3536</v>
      </c>
    </row>
    <row r="1785" ht="14.399999999999999" customHeight="1">
      <c r="A1785" s="23" t="s">
        <v>3537</v>
      </c>
      <c r="B1785" s="23" t="s">
        <v>3538</v>
      </c>
    </row>
    <row r="1786" ht="14.399999999999999" customHeight="1">
      <c r="A1786" s="23" t="s">
        <v>3539</v>
      </c>
      <c r="B1786" s="23" t="s">
        <v>3540</v>
      </c>
    </row>
    <row r="1787" ht="14.399999999999999" customHeight="1">
      <c r="A1787" s="23" t="s">
        <v>3541</v>
      </c>
      <c r="B1787" s="23" t="s">
        <v>3542</v>
      </c>
    </row>
    <row r="1788" ht="14.399999999999999" customHeight="1">
      <c r="A1788" s="23" t="s">
        <v>3543</v>
      </c>
      <c r="B1788" s="23" t="s">
        <v>3544</v>
      </c>
    </row>
    <row r="1789" ht="14.399999999999999" customHeight="1">
      <c r="A1789" s="23" t="s">
        <v>3545</v>
      </c>
      <c r="B1789" s="23" t="s">
        <v>3546</v>
      </c>
    </row>
    <row r="1790" ht="14.399999999999999" customHeight="1">
      <c r="A1790" s="23" t="s">
        <v>3547</v>
      </c>
      <c r="B1790" s="23" t="s">
        <v>3548</v>
      </c>
    </row>
    <row r="1791" ht="14.399999999999999" customHeight="1">
      <c r="A1791" s="23" t="s">
        <v>3549</v>
      </c>
      <c r="B1791" s="23" t="s">
        <v>3550</v>
      </c>
    </row>
    <row r="1792" ht="14.399999999999999" customHeight="1">
      <c r="A1792" s="23" t="s">
        <v>3551</v>
      </c>
      <c r="B1792" s="23" t="s">
        <v>3552</v>
      </c>
    </row>
    <row r="1793" ht="14.399999999999999" customHeight="1">
      <c r="A1793" s="23" t="s">
        <v>3553</v>
      </c>
      <c r="B1793" s="23" t="s">
        <v>3554</v>
      </c>
    </row>
    <row r="1794" ht="14.399999999999999" customHeight="1">
      <c r="A1794" s="23" t="s">
        <v>3555</v>
      </c>
      <c r="B1794" s="23" t="s">
        <v>3556</v>
      </c>
    </row>
    <row r="1795" ht="14.399999999999999" customHeight="1">
      <c r="A1795" s="23" t="s">
        <v>3557</v>
      </c>
      <c r="B1795" s="23" t="s">
        <v>3558</v>
      </c>
    </row>
    <row r="1796" ht="14.399999999999999" customHeight="1">
      <c r="A1796" s="23" t="s">
        <v>3559</v>
      </c>
      <c r="B1796" s="23" t="s">
        <v>3560</v>
      </c>
    </row>
    <row r="1797" ht="14.399999999999999" customHeight="1">
      <c r="A1797" s="23" t="s">
        <v>3561</v>
      </c>
      <c r="B1797" s="23" t="s">
        <v>3562</v>
      </c>
    </row>
    <row r="1798" ht="14.399999999999999" customHeight="1">
      <c r="A1798" s="23" t="s">
        <v>3563</v>
      </c>
      <c r="B1798" s="23" t="s">
        <v>3564</v>
      </c>
    </row>
    <row r="1799" ht="14.399999999999999" customHeight="1">
      <c r="A1799" s="23" t="s">
        <v>3565</v>
      </c>
      <c r="B1799" s="23" t="s">
        <v>3566</v>
      </c>
    </row>
    <row r="1800" ht="14.399999999999999" customHeight="1">
      <c r="A1800" s="23" t="s">
        <v>3567</v>
      </c>
      <c r="B1800" s="23" t="s">
        <v>3568</v>
      </c>
    </row>
    <row r="1801" ht="14.399999999999999" customHeight="1">
      <c r="A1801" s="23" t="s">
        <v>3569</v>
      </c>
      <c r="B1801" s="23" t="s">
        <v>3570</v>
      </c>
    </row>
    <row r="1802" ht="14.399999999999999" customHeight="1">
      <c r="A1802" s="23" t="s">
        <v>3571</v>
      </c>
      <c r="B1802" s="23" t="s">
        <v>3572</v>
      </c>
    </row>
    <row r="1803" ht="14.399999999999999" customHeight="1">
      <c r="A1803" s="23" t="s">
        <v>3573</v>
      </c>
      <c r="B1803" s="23" t="s">
        <v>3574</v>
      </c>
    </row>
    <row r="1804" ht="14.399999999999999" customHeight="1">
      <c r="A1804" s="23" t="s">
        <v>3575</v>
      </c>
      <c r="B1804" s="23" t="s">
        <v>3576</v>
      </c>
    </row>
    <row r="1805" ht="14.399999999999999" customHeight="1">
      <c r="A1805" s="23" t="s">
        <v>3577</v>
      </c>
      <c r="B1805" s="23" t="s">
        <v>3578</v>
      </c>
    </row>
    <row r="1806" ht="14.399999999999999" customHeight="1">
      <c r="A1806" s="23" t="s">
        <v>3579</v>
      </c>
      <c r="B1806" s="23" t="s">
        <v>3580</v>
      </c>
    </row>
    <row r="1807" ht="14.399999999999999" customHeight="1">
      <c r="A1807" s="23" t="s">
        <v>3581</v>
      </c>
      <c r="B1807" s="23" t="s">
        <v>3582</v>
      </c>
    </row>
    <row r="1808" ht="14.399999999999999" customHeight="1">
      <c r="A1808" s="23" t="s">
        <v>3583</v>
      </c>
      <c r="B1808" s="23" t="s">
        <v>3584</v>
      </c>
    </row>
    <row r="1809" ht="14.399999999999999" customHeight="1">
      <c r="A1809" s="23" t="s">
        <v>3585</v>
      </c>
      <c r="B1809" s="23" t="s">
        <v>3586</v>
      </c>
    </row>
    <row r="1810" ht="14.399999999999999" customHeight="1">
      <c r="A1810" s="23" t="s">
        <v>3587</v>
      </c>
      <c r="B1810" s="23" t="s">
        <v>3588</v>
      </c>
    </row>
    <row r="1811" ht="14.399999999999999" customHeight="1">
      <c r="A1811" s="23" t="s">
        <v>3589</v>
      </c>
      <c r="B1811" s="23" t="s">
        <v>3590</v>
      </c>
    </row>
    <row r="1812" ht="14.399999999999999" customHeight="1">
      <c r="A1812" s="23" t="s">
        <v>3591</v>
      </c>
      <c r="B1812" s="23" t="s">
        <v>3592</v>
      </c>
    </row>
    <row r="1813" ht="14.399999999999999" customHeight="1">
      <c r="A1813" s="23" t="s">
        <v>3593</v>
      </c>
      <c r="B1813" s="23" t="s">
        <v>3594</v>
      </c>
    </row>
    <row r="1814" ht="14.399999999999999" customHeight="1">
      <c r="A1814" s="23" t="s">
        <v>3595</v>
      </c>
      <c r="B1814" s="23" t="s">
        <v>3596</v>
      </c>
    </row>
    <row r="1815" ht="14.399999999999999" customHeight="1">
      <c r="A1815" s="23" t="s">
        <v>3597</v>
      </c>
      <c r="B1815" s="23" t="s">
        <v>3598</v>
      </c>
    </row>
    <row r="1816" ht="14.399999999999999" customHeight="1">
      <c r="A1816" s="23" t="s">
        <v>3599</v>
      </c>
      <c r="B1816" s="23" t="s">
        <v>3600</v>
      </c>
    </row>
    <row r="1817" ht="14.399999999999999" customHeight="1">
      <c r="A1817" s="23" t="s">
        <v>3601</v>
      </c>
      <c r="B1817" s="23" t="s">
        <v>3602</v>
      </c>
    </row>
    <row r="1818" ht="14.399999999999999" customHeight="1">
      <c r="A1818" s="23" t="s">
        <v>3603</v>
      </c>
      <c r="B1818" s="23" t="s">
        <v>3604</v>
      </c>
    </row>
    <row r="1819" ht="14.399999999999999" customHeight="1">
      <c r="A1819" s="23" t="s">
        <v>3605</v>
      </c>
      <c r="B1819" s="23" t="s">
        <v>3606</v>
      </c>
    </row>
    <row r="1820" ht="14.399999999999999" customHeight="1">
      <c r="A1820" s="23" t="s">
        <v>3607</v>
      </c>
      <c r="B1820" s="23" t="s">
        <v>3608</v>
      </c>
    </row>
    <row r="1821" ht="14.399999999999999" customHeight="1">
      <c r="A1821" s="23" t="s">
        <v>3609</v>
      </c>
      <c r="B1821" s="23" t="s">
        <v>3610</v>
      </c>
    </row>
    <row r="1822" ht="14.399999999999999" customHeight="1">
      <c r="A1822" s="23" t="s">
        <v>3611</v>
      </c>
      <c r="B1822" s="23" t="s">
        <v>3612</v>
      </c>
    </row>
    <row r="1823" ht="14.399999999999999" customHeight="1">
      <c r="A1823" s="23" t="s">
        <v>3613</v>
      </c>
      <c r="B1823" s="23" t="s">
        <v>3614</v>
      </c>
    </row>
    <row r="1824" ht="14.399999999999999" customHeight="1">
      <c r="A1824" s="23" t="s">
        <v>3615</v>
      </c>
      <c r="B1824" s="23" t="s">
        <v>3616</v>
      </c>
    </row>
    <row r="1825" ht="14.399999999999999" customHeight="1">
      <c r="A1825" s="23" t="s">
        <v>3617</v>
      </c>
      <c r="B1825" s="23" t="s">
        <v>3618</v>
      </c>
    </row>
    <row r="1826" ht="14.399999999999999" customHeight="1">
      <c r="A1826" s="23" t="s">
        <v>3619</v>
      </c>
      <c r="B1826" s="23" t="s">
        <v>3620</v>
      </c>
    </row>
    <row r="1827" ht="14.399999999999999" customHeight="1">
      <c r="A1827" s="23" t="s">
        <v>3621</v>
      </c>
      <c r="B1827" s="23" t="s">
        <v>3622</v>
      </c>
    </row>
    <row r="1828" ht="14.399999999999999" customHeight="1">
      <c r="A1828" s="23" t="s">
        <v>3623</v>
      </c>
      <c r="B1828" s="23" t="s">
        <v>3624</v>
      </c>
    </row>
    <row r="1829" ht="14.399999999999999" customHeight="1">
      <c r="A1829" s="23" t="s">
        <v>3625</v>
      </c>
      <c r="B1829" s="23" t="s">
        <v>3626</v>
      </c>
    </row>
    <row r="1830" ht="14.399999999999999" customHeight="1">
      <c r="A1830" s="23" t="s">
        <v>3627</v>
      </c>
      <c r="B1830" s="23" t="s">
        <v>3628</v>
      </c>
    </row>
    <row r="1831" ht="14.399999999999999" customHeight="1">
      <c r="A1831" s="23" t="s">
        <v>3629</v>
      </c>
      <c r="B1831" s="23" t="s">
        <v>3630</v>
      </c>
    </row>
    <row r="1832" ht="14.399999999999999" customHeight="1">
      <c r="A1832" s="23" t="s">
        <v>3631</v>
      </c>
      <c r="B1832" s="23" t="s">
        <v>3632</v>
      </c>
    </row>
    <row r="1833" ht="14.399999999999999" customHeight="1">
      <c r="A1833" s="23" t="s">
        <v>3633</v>
      </c>
      <c r="B1833" s="23" t="s">
        <v>3634</v>
      </c>
    </row>
    <row r="1834" ht="14.399999999999999" customHeight="1">
      <c r="A1834" s="23" t="s">
        <v>3635</v>
      </c>
      <c r="B1834" s="23" t="s">
        <v>3636</v>
      </c>
    </row>
    <row r="1835" ht="14.399999999999999" customHeight="1">
      <c r="A1835" s="23" t="s">
        <v>3637</v>
      </c>
      <c r="B1835" s="23" t="s">
        <v>3638</v>
      </c>
    </row>
    <row r="1836" ht="14.399999999999999" customHeight="1">
      <c r="A1836" s="23" t="s">
        <v>3639</v>
      </c>
      <c r="B1836" s="23" t="s">
        <v>3640</v>
      </c>
    </row>
    <row r="1837" ht="14.399999999999999" customHeight="1">
      <c r="A1837" s="23" t="s">
        <v>3641</v>
      </c>
      <c r="B1837" s="23" t="s">
        <v>3642</v>
      </c>
    </row>
    <row r="1838" ht="14.399999999999999" customHeight="1">
      <c r="A1838" s="23" t="s">
        <v>3643</v>
      </c>
      <c r="B1838" s="23" t="s">
        <v>3644</v>
      </c>
    </row>
    <row r="1839" ht="14.399999999999999" customHeight="1">
      <c r="A1839" s="23" t="s">
        <v>3645</v>
      </c>
      <c r="B1839" s="23" t="s">
        <v>3646</v>
      </c>
    </row>
    <row r="1840" ht="14.399999999999999" customHeight="1">
      <c r="A1840" s="23" t="s">
        <v>3647</v>
      </c>
      <c r="B1840" s="23" t="s">
        <v>3648</v>
      </c>
    </row>
    <row r="1841" ht="14.399999999999999" customHeight="1">
      <c r="A1841" s="23" t="s">
        <v>3649</v>
      </c>
      <c r="B1841" s="23" t="s">
        <v>3650</v>
      </c>
    </row>
    <row r="1842" ht="14.399999999999999" customHeight="1">
      <c r="A1842" s="23" t="s">
        <v>3651</v>
      </c>
      <c r="B1842" s="23" t="s">
        <v>3652</v>
      </c>
    </row>
    <row r="1843" ht="14.399999999999999" customHeight="1">
      <c r="A1843" s="23" t="s">
        <v>3653</v>
      </c>
      <c r="B1843" s="23" t="s">
        <v>3654</v>
      </c>
    </row>
    <row r="1844" ht="14.399999999999999" customHeight="1">
      <c r="A1844" s="23" t="s">
        <v>3655</v>
      </c>
      <c r="B1844" s="23" t="s">
        <v>3656</v>
      </c>
    </row>
    <row r="1845" ht="14.399999999999999" customHeight="1">
      <c r="A1845" s="23" t="s">
        <v>3657</v>
      </c>
      <c r="B1845" s="23" t="s">
        <v>3658</v>
      </c>
    </row>
    <row r="1846" ht="14.399999999999999" customHeight="1">
      <c r="A1846" s="23" t="s">
        <v>3659</v>
      </c>
      <c r="B1846" s="23" t="s">
        <v>3660</v>
      </c>
    </row>
    <row r="1847" ht="14.399999999999999" customHeight="1">
      <c r="A1847" s="23" t="s">
        <v>3661</v>
      </c>
      <c r="B1847" s="23" t="s">
        <v>3662</v>
      </c>
    </row>
    <row r="1848" ht="14.399999999999999" customHeight="1">
      <c r="A1848" s="23" t="s">
        <v>3663</v>
      </c>
      <c r="B1848" s="23" t="s">
        <v>3664</v>
      </c>
    </row>
    <row r="1849" ht="14.399999999999999" customHeight="1">
      <c r="A1849" s="23" t="s">
        <v>3665</v>
      </c>
      <c r="B1849" s="23" t="s">
        <v>3666</v>
      </c>
    </row>
    <row r="1850" ht="14.399999999999999" customHeight="1">
      <c r="A1850" s="23" t="s">
        <v>3667</v>
      </c>
      <c r="B1850" s="23" t="s">
        <v>3668</v>
      </c>
    </row>
    <row r="1851" ht="14.399999999999999" customHeight="1">
      <c r="A1851" s="23" t="s">
        <v>3669</v>
      </c>
      <c r="B1851" s="23" t="s">
        <v>3670</v>
      </c>
    </row>
    <row r="1852" ht="14.399999999999999" customHeight="1">
      <c r="A1852" s="23" t="s">
        <v>3671</v>
      </c>
      <c r="B1852" s="23" t="s">
        <v>3672</v>
      </c>
    </row>
    <row r="1853" ht="14.399999999999999" customHeight="1">
      <c r="A1853" s="23" t="s">
        <v>3673</v>
      </c>
      <c r="B1853" s="23" t="s">
        <v>3674</v>
      </c>
    </row>
    <row r="1854" ht="14.399999999999999" customHeight="1">
      <c r="A1854" s="23" t="s">
        <v>3675</v>
      </c>
      <c r="B1854" s="23" t="s">
        <v>3676</v>
      </c>
    </row>
    <row r="1855" ht="14.399999999999999" customHeight="1">
      <c r="A1855" s="23" t="s">
        <v>3677</v>
      </c>
      <c r="B1855" s="23" t="s">
        <v>3678</v>
      </c>
    </row>
    <row r="1856" ht="14.399999999999999" customHeight="1">
      <c r="A1856" s="23" t="s">
        <v>3679</v>
      </c>
      <c r="B1856" s="23" t="s">
        <v>3680</v>
      </c>
    </row>
    <row r="1857" ht="14.399999999999999" customHeight="1">
      <c r="A1857" s="23" t="s">
        <v>3681</v>
      </c>
      <c r="B1857" s="23" t="s">
        <v>3682</v>
      </c>
    </row>
    <row r="1858" ht="14.399999999999999" customHeight="1">
      <c r="A1858" s="23" t="s">
        <v>3683</v>
      </c>
      <c r="B1858" s="23" t="s">
        <v>3684</v>
      </c>
    </row>
    <row r="1859" ht="14.399999999999999" customHeight="1">
      <c r="A1859" s="23" t="s">
        <v>3685</v>
      </c>
      <c r="B1859" s="23" t="s">
        <v>3686</v>
      </c>
    </row>
    <row r="1860" ht="14.399999999999999" customHeight="1">
      <c r="A1860" s="23" t="s">
        <v>3687</v>
      </c>
      <c r="B1860" s="23" t="s">
        <v>3688</v>
      </c>
    </row>
    <row r="1861" ht="14.399999999999999" customHeight="1">
      <c r="A1861" s="23" t="s">
        <v>3689</v>
      </c>
      <c r="B1861" s="23" t="s">
        <v>3690</v>
      </c>
    </row>
    <row r="1862" ht="14.399999999999999" customHeight="1">
      <c r="A1862" s="23" t="s">
        <v>3691</v>
      </c>
      <c r="B1862" s="23" t="s">
        <v>3692</v>
      </c>
    </row>
    <row r="1863" ht="14.399999999999999" customHeight="1">
      <c r="A1863" s="23" t="s">
        <v>3693</v>
      </c>
      <c r="B1863" s="23" t="s">
        <v>3694</v>
      </c>
    </row>
    <row r="1864" ht="14.399999999999999" customHeight="1">
      <c r="A1864" s="23" t="s">
        <v>3695</v>
      </c>
      <c r="B1864" s="23" t="s">
        <v>3696</v>
      </c>
    </row>
    <row r="1865" ht="14.399999999999999" customHeight="1">
      <c r="A1865" s="23" t="s">
        <v>3697</v>
      </c>
      <c r="B1865" s="23" t="s">
        <v>3698</v>
      </c>
    </row>
    <row r="1866" ht="14.399999999999999" customHeight="1">
      <c r="A1866" s="23" t="s">
        <v>3699</v>
      </c>
      <c r="B1866" s="23" t="s">
        <v>3700</v>
      </c>
    </row>
    <row r="1867" ht="14.399999999999999" customHeight="1">
      <c r="A1867" s="23" t="s">
        <v>3701</v>
      </c>
      <c r="B1867" s="23" t="s">
        <v>3702</v>
      </c>
    </row>
    <row r="1868" ht="14.399999999999999" customHeight="1">
      <c r="A1868" s="23" t="s">
        <v>3703</v>
      </c>
      <c r="B1868" s="23" t="s">
        <v>3704</v>
      </c>
    </row>
    <row r="1869" ht="14.399999999999999" customHeight="1">
      <c r="A1869" s="23" t="s">
        <v>3705</v>
      </c>
      <c r="B1869" s="23" t="s">
        <v>3706</v>
      </c>
    </row>
    <row r="1870" ht="14.399999999999999" customHeight="1">
      <c r="A1870" s="23" t="s">
        <v>3707</v>
      </c>
      <c r="B1870" s="23" t="s">
        <v>3708</v>
      </c>
    </row>
    <row r="1871" ht="14.399999999999999" customHeight="1">
      <c r="A1871" s="23" t="s">
        <v>3709</v>
      </c>
      <c r="B1871" s="23" t="s">
        <v>3710</v>
      </c>
    </row>
    <row r="1872" ht="14.399999999999999" customHeight="1">
      <c r="A1872" s="23" t="s">
        <v>3711</v>
      </c>
      <c r="B1872" s="23" t="s">
        <v>3712</v>
      </c>
    </row>
    <row r="1873" ht="14.399999999999999" customHeight="1">
      <c r="A1873" s="23" t="s">
        <v>3713</v>
      </c>
      <c r="B1873" s="23" t="s">
        <v>3714</v>
      </c>
    </row>
    <row r="1874" ht="14.399999999999999" customHeight="1">
      <c r="A1874" s="23" t="s">
        <v>3715</v>
      </c>
      <c r="B1874" s="23" t="s">
        <v>3716</v>
      </c>
    </row>
    <row r="1875" ht="14.399999999999999" customHeight="1">
      <c r="A1875" s="23" t="s">
        <v>3717</v>
      </c>
      <c r="B1875" s="23" t="s">
        <v>3718</v>
      </c>
    </row>
    <row r="1876" ht="14.399999999999999" customHeight="1">
      <c r="A1876" s="23" t="s">
        <v>3719</v>
      </c>
      <c r="B1876" s="23" t="s">
        <v>3720</v>
      </c>
    </row>
    <row r="1877" ht="14.399999999999999" customHeight="1">
      <c r="A1877" s="23" t="s">
        <v>3721</v>
      </c>
      <c r="B1877" s="23" t="s">
        <v>3722</v>
      </c>
    </row>
    <row r="1878" ht="14.399999999999999" customHeight="1">
      <c r="A1878" s="23" t="s">
        <v>3723</v>
      </c>
      <c r="B1878" s="23" t="s">
        <v>3724</v>
      </c>
    </row>
    <row r="1879" ht="14.399999999999999" customHeight="1">
      <c r="A1879" s="23" t="s">
        <v>3725</v>
      </c>
      <c r="B1879" s="23" t="s">
        <v>3726</v>
      </c>
    </row>
    <row r="1880" ht="14.399999999999999" customHeight="1">
      <c r="A1880" s="23" t="s">
        <v>3727</v>
      </c>
      <c r="B1880" s="23" t="s">
        <v>3728</v>
      </c>
    </row>
    <row r="1881" ht="14.399999999999999" customHeight="1">
      <c r="A1881" s="23" t="s">
        <v>3729</v>
      </c>
      <c r="B1881" s="23" t="s">
        <v>3730</v>
      </c>
    </row>
    <row r="1882" ht="14.399999999999999" customHeight="1">
      <c r="A1882" s="23" t="s">
        <v>3731</v>
      </c>
      <c r="B1882" s="23" t="s">
        <v>3732</v>
      </c>
    </row>
    <row r="1883" ht="14.399999999999999" customHeight="1">
      <c r="A1883" s="23" t="s">
        <v>3733</v>
      </c>
      <c r="B1883" s="23" t="s">
        <v>3734</v>
      </c>
    </row>
    <row r="1884" ht="14.399999999999999" customHeight="1">
      <c r="A1884" s="23" t="s">
        <v>3735</v>
      </c>
      <c r="B1884" s="23" t="s">
        <v>3736</v>
      </c>
    </row>
    <row r="1885" ht="14.399999999999999" customHeight="1">
      <c r="A1885" s="23" t="s">
        <v>3737</v>
      </c>
      <c r="B1885" s="23" t="s">
        <v>3738</v>
      </c>
    </row>
    <row r="1886" ht="14.399999999999999" customHeight="1">
      <c r="A1886" s="23" t="s">
        <v>3739</v>
      </c>
      <c r="B1886" s="23" t="s">
        <v>3740</v>
      </c>
    </row>
    <row r="1887" ht="14.399999999999999" customHeight="1">
      <c r="A1887" s="23" t="s">
        <v>3741</v>
      </c>
      <c r="B1887" s="23" t="s">
        <v>3742</v>
      </c>
    </row>
    <row r="1888" ht="14.399999999999999" customHeight="1">
      <c r="A1888" s="23" t="s">
        <v>3743</v>
      </c>
      <c r="B1888" s="23" t="s">
        <v>3744</v>
      </c>
    </row>
    <row r="1889" ht="14.399999999999999" customHeight="1">
      <c r="A1889" s="23" t="s">
        <v>3745</v>
      </c>
      <c r="B1889" s="23" t="s">
        <v>3746</v>
      </c>
    </row>
    <row r="1890" ht="14.399999999999999" customHeight="1">
      <c r="A1890" s="23" t="s">
        <v>3747</v>
      </c>
      <c r="B1890" s="23" t="s">
        <v>3748</v>
      </c>
    </row>
    <row r="1891" ht="14.399999999999999" customHeight="1">
      <c r="A1891" s="23" t="s">
        <v>3749</v>
      </c>
      <c r="B1891" s="23" t="s">
        <v>3750</v>
      </c>
    </row>
    <row r="1892" ht="14.399999999999999" customHeight="1">
      <c r="A1892" s="23" t="s">
        <v>3751</v>
      </c>
      <c r="B1892" s="23" t="s">
        <v>3752</v>
      </c>
    </row>
    <row r="1893" s="20" customFormat="1" ht="14.399999999999999" customHeight="1">
      <c r="A1893" s="23" t="s">
        <v>3753</v>
      </c>
      <c r="B1893" s="23" t="s">
        <v>3754</v>
      </c>
    </row>
    <row r="1894" s="20" customFormat="1" ht="14.399999999999999" customHeight="1">
      <c r="A1894" s="23" t="s">
        <v>3755</v>
      </c>
      <c r="B1894" s="23" t="s">
        <v>3756</v>
      </c>
    </row>
    <row r="1895" s="20" customFormat="1" ht="14.399999999999999" customHeight="1">
      <c r="A1895" s="23" t="s">
        <v>3757</v>
      </c>
      <c r="B1895" s="23" t="s">
        <v>3758</v>
      </c>
    </row>
    <row r="1896" ht="14.399999999999999" customHeight="1">
      <c r="A1896" s="23" t="s">
        <v>3759</v>
      </c>
      <c r="B1896" s="23" t="s">
        <v>3760</v>
      </c>
    </row>
    <row r="1897" ht="14.399999999999999" customHeight="1">
      <c r="A1897" s="23" t="s">
        <v>3761</v>
      </c>
      <c r="B1897" s="23" t="s">
        <v>3762</v>
      </c>
    </row>
    <row r="1898" ht="14.399999999999999" customHeight="1">
      <c r="A1898" s="23" t="s">
        <v>3763</v>
      </c>
      <c r="B1898" s="23" t="s">
        <v>3764</v>
      </c>
    </row>
    <row r="1899" ht="14.399999999999999" customHeight="1">
      <c r="A1899" s="23" t="s">
        <v>3765</v>
      </c>
      <c r="B1899" s="23" t="s">
        <v>3766</v>
      </c>
    </row>
    <row r="1900" ht="14.399999999999999" customHeight="1">
      <c r="A1900" s="23" t="s">
        <v>3767</v>
      </c>
      <c r="B1900" s="23" t="s">
        <v>3768</v>
      </c>
    </row>
    <row r="1901" ht="14.399999999999999" customHeight="1">
      <c r="A1901" s="23" t="s">
        <v>3769</v>
      </c>
      <c r="B1901" s="23" t="s">
        <v>3770</v>
      </c>
    </row>
    <row r="1902" ht="14.399999999999999" customHeight="1">
      <c r="A1902" s="23" t="s">
        <v>3771</v>
      </c>
      <c r="B1902" s="23" t="s">
        <v>3772</v>
      </c>
    </row>
    <row r="1903" ht="14.399999999999999" customHeight="1">
      <c r="A1903" s="23" t="s">
        <v>3773</v>
      </c>
      <c r="B1903" s="23" t="s">
        <v>3774</v>
      </c>
    </row>
    <row r="1904" ht="14.399999999999999" customHeight="1">
      <c r="A1904" s="23" t="s">
        <v>3775</v>
      </c>
      <c r="B1904" s="23" t="s">
        <v>3776</v>
      </c>
    </row>
    <row r="1905" ht="14.399999999999999" customHeight="1">
      <c r="A1905" s="23" t="s">
        <v>3777</v>
      </c>
      <c r="B1905" s="23" t="s">
        <v>3778</v>
      </c>
    </row>
    <row r="1906" ht="14.399999999999999" customHeight="1">
      <c r="A1906" s="23" t="s">
        <v>3779</v>
      </c>
      <c r="B1906" s="23" t="s">
        <v>3780</v>
      </c>
    </row>
    <row r="1907" ht="14.399999999999999" customHeight="1">
      <c r="A1907" s="23" t="s">
        <v>3781</v>
      </c>
      <c r="B1907" s="23" t="s">
        <v>3782</v>
      </c>
    </row>
    <row r="1908" ht="14.399999999999999" customHeight="1">
      <c r="A1908" s="23" t="s">
        <v>3783</v>
      </c>
      <c r="B1908" s="23" t="s">
        <v>3784</v>
      </c>
    </row>
    <row r="1909" ht="14.399999999999999" customHeight="1">
      <c r="A1909" s="23" t="s">
        <v>3785</v>
      </c>
      <c r="B1909" s="23" t="s">
        <v>3786</v>
      </c>
    </row>
    <row r="1910" ht="14.399999999999999" customHeight="1">
      <c r="A1910" s="23" t="s">
        <v>3787</v>
      </c>
      <c r="B1910" s="23" t="s">
        <v>3788</v>
      </c>
    </row>
    <row r="1911" ht="14.399999999999999" customHeight="1">
      <c r="A1911" s="23" t="s">
        <v>3789</v>
      </c>
      <c r="B1911" s="23" t="s">
        <v>3790</v>
      </c>
    </row>
    <row r="1912" ht="14.399999999999999" customHeight="1">
      <c r="A1912" s="23" t="s">
        <v>3791</v>
      </c>
      <c r="B1912" s="23" t="s">
        <v>3792</v>
      </c>
    </row>
    <row r="1913" ht="14.399999999999999" customHeight="1">
      <c r="A1913" s="23" t="s">
        <v>3793</v>
      </c>
      <c r="B1913" s="23" t="s">
        <v>3794</v>
      </c>
    </row>
    <row r="1914" ht="14.399999999999999" customHeight="1">
      <c r="A1914" s="23" t="s">
        <v>3795</v>
      </c>
      <c r="B1914" s="23" t="s">
        <v>3796</v>
      </c>
    </row>
    <row r="1915" ht="14.399999999999999" customHeight="1">
      <c r="A1915" s="23" t="s">
        <v>3797</v>
      </c>
      <c r="B1915" s="23" t="s">
        <v>3798</v>
      </c>
    </row>
    <row r="1916" ht="14.399999999999999" customHeight="1">
      <c r="A1916" s="23" t="s">
        <v>3799</v>
      </c>
      <c r="B1916" s="23" t="s">
        <v>3800</v>
      </c>
    </row>
    <row r="1917" ht="14.399999999999999" customHeight="1">
      <c r="A1917" s="23" t="s">
        <v>3801</v>
      </c>
      <c r="B1917" s="23" t="s">
        <v>3802</v>
      </c>
    </row>
    <row r="1918" ht="14.399999999999999" customHeight="1">
      <c r="A1918" s="23" t="s">
        <v>3803</v>
      </c>
      <c r="B1918" s="23" t="s">
        <v>3804</v>
      </c>
    </row>
    <row r="1919" ht="14.399999999999999" customHeight="1">
      <c r="A1919" s="23" t="s">
        <v>3805</v>
      </c>
      <c r="B1919" s="23" t="s">
        <v>3806</v>
      </c>
    </row>
    <row r="1920" ht="14.399999999999999" customHeight="1">
      <c r="A1920" s="23" t="s">
        <v>3807</v>
      </c>
      <c r="B1920" s="23" t="s">
        <v>3808</v>
      </c>
    </row>
    <row r="1921" ht="14.399999999999999" customHeight="1">
      <c r="A1921" s="23" t="s">
        <v>3809</v>
      </c>
      <c r="B1921" s="23" t="s">
        <v>3810</v>
      </c>
    </row>
    <row r="1922" ht="14.399999999999999" customHeight="1">
      <c r="A1922" s="23" t="s">
        <v>3811</v>
      </c>
      <c r="B1922" s="23" t="s">
        <v>3812</v>
      </c>
    </row>
    <row r="1923" ht="14.399999999999999" customHeight="1">
      <c r="A1923" s="23" t="s">
        <v>3813</v>
      </c>
      <c r="B1923" s="23" t="s">
        <v>3814</v>
      </c>
    </row>
    <row r="1924" ht="14.399999999999999" customHeight="1">
      <c r="A1924" s="23" t="s">
        <v>3815</v>
      </c>
      <c r="B1924" s="23" t="s">
        <v>3816</v>
      </c>
    </row>
    <row r="1925" ht="14.399999999999999" customHeight="1">
      <c r="A1925" s="23" t="s">
        <v>3817</v>
      </c>
      <c r="B1925" s="23" t="s">
        <v>3818</v>
      </c>
    </row>
    <row r="1926" ht="14.399999999999999" customHeight="1">
      <c r="A1926" s="23" t="s">
        <v>3819</v>
      </c>
      <c r="B1926" s="23" t="s">
        <v>3820</v>
      </c>
    </row>
    <row r="1927" ht="14.399999999999999" customHeight="1">
      <c r="A1927" s="23" t="s">
        <v>3821</v>
      </c>
      <c r="B1927" s="23" t="s">
        <v>3822</v>
      </c>
    </row>
    <row r="1928" ht="14.399999999999999" customHeight="1">
      <c r="A1928" s="23" t="s">
        <v>3823</v>
      </c>
      <c r="B1928" s="23" t="s">
        <v>3824</v>
      </c>
    </row>
    <row r="1929" ht="14.399999999999999" customHeight="1">
      <c r="A1929" s="23" t="s">
        <v>3825</v>
      </c>
      <c r="B1929" s="23" t="s">
        <v>3826</v>
      </c>
    </row>
    <row r="1930" ht="14.399999999999999" customHeight="1">
      <c r="A1930" s="23" t="s">
        <v>3827</v>
      </c>
      <c r="B1930" s="23" t="s">
        <v>3828</v>
      </c>
    </row>
    <row r="1931" ht="14.399999999999999" customHeight="1">
      <c r="A1931" s="23" t="s">
        <v>3829</v>
      </c>
      <c r="B1931" s="23" t="s">
        <v>3830</v>
      </c>
    </row>
    <row r="1932" ht="14.399999999999999" customHeight="1">
      <c r="A1932" s="23" t="s">
        <v>3831</v>
      </c>
      <c r="B1932" s="23" t="s">
        <v>3832</v>
      </c>
    </row>
    <row r="1933" ht="13" customHeight="1">
      <c r="A1933" s="23" t="s">
        <v>3833</v>
      </c>
      <c r="B1933" s="23" t="s">
        <v>3834</v>
      </c>
    </row>
    <row r="1934" ht="14.399999999999999" customHeight="1">
      <c r="A1934" s="23" t="s">
        <v>3835</v>
      </c>
      <c r="B1934" s="23" t="s">
        <v>3836</v>
      </c>
    </row>
    <row r="1935" ht="14.399999999999999" customHeight="1">
      <c r="A1935" s="23" t="s">
        <v>3837</v>
      </c>
      <c r="B1935" s="23" t="s">
        <v>3838</v>
      </c>
    </row>
    <row r="1936" ht="14.399999999999999" customHeight="1">
      <c r="A1936" s="23" t="s">
        <v>3839</v>
      </c>
      <c r="B1936" s="23" t="s">
        <v>3840</v>
      </c>
    </row>
    <row r="1937" ht="14.399999999999999" customHeight="1">
      <c r="A1937" s="23" t="s">
        <v>3841</v>
      </c>
      <c r="B1937" s="23" t="s">
        <v>3842</v>
      </c>
    </row>
    <row r="1938" ht="14.399999999999999" customHeight="1">
      <c r="A1938" s="23" t="s">
        <v>3843</v>
      </c>
      <c r="B1938" s="23" t="s">
        <v>3844</v>
      </c>
    </row>
    <row r="1939" ht="14.399999999999999" customHeight="1">
      <c r="A1939" s="23" t="s">
        <v>3845</v>
      </c>
      <c r="B1939" s="23" t="s">
        <v>3846</v>
      </c>
    </row>
    <row r="1940" ht="14.399999999999999" customHeight="1">
      <c r="A1940" s="23" t="s">
        <v>3847</v>
      </c>
      <c r="B1940" s="23" t="s">
        <v>3848</v>
      </c>
    </row>
    <row r="1941" ht="14.399999999999999" customHeight="1">
      <c r="A1941" s="23" t="s">
        <v>3849</v>
      </c>
      <c r="B1941" s="23" t="s">
        <v>3850</v>
      </c>
    </row>
    <row r="1942" ht="14.399999999999999" customHeight="1">
      <c r="A1942" s="23" t="s">
        <v>3851</v>
      </c>
      <c r="B1942" s="23" t="s">
        <v>3852</v>
      </c>
    </row>
    <row r="1943" ht="14.399999999999999" customHeight="1">
      <c r="A1943" s="23" t="s">
        <v>3853</v>
      </c>
      <c r="B1943" s="23" t="s">
        <v>3854</v>
      </c>
    </row>
    <row r="1944" ht="14.399999999999999" customHeight="1">
      <c r="A1944" s="23" t="s">
        <v>3855</v>
      </c>
      <c r="B1944" s="23" t="s">
        <v>3856</v>
      </c>
    </row>
    <row r="1945" ht="14.399999999999999" customHeight="1">
      <c r="A1945" s="23" t="s">
        <v>3857</v>
      </c>
      <c r="B1945" s="23" t="s">
        <v>3858</v>
      </c>
    </row>
    <row r="1946" ht="14.399999999999999" customHeight="1">
      <c r="A1946" s="23" t="s">
        <v>3859</v>
      </c>
      <c r="B1946" s="23" t="s">
        <v>3860</v>
      </c>
    </row>
    <row r="1947" ht="14.399999999999999" customHeight="1">
      <c r="A1947" s="23" t="s">
        <v>3861</v>
      </c>
      <c r="B1947" s="23" t="s">
        <v>3862</v>
      </c>
    </row>
    <row r="1948" ht="14.399999999999999" customHeight="1">
      <c r="A1948" s="23" t="s">
        <v>3863</v>
      </c>
      <c r="B1948" s="23" t="s">
        <v>3864</v>
      </c>
    </row>
    <row r="1949" ht="14.399999999999999" customHeight="1">
      <c r="A1949" s="23" t="s">
        <v>3865</v>
      </c>
      <c r="B1949" s="23" t="s">
        <v>3866</v>
      </c>
    </row>
    <row r="1950" ht="14.399999999999999" customHeight="1">
      <c r="A1950" s="23" t="s">
        <v>3867</v>
      </c>
      <c r="B1950" s="23" t="s">
        <v>3868</v>
      </c>
    </row>
    <row r="1951" ht="14.399999999999999" customHeight="1">
      <c r="A1951" s="23" t="s">
        <v>3869</v>
      </c>
      <c r="B1951" s="23" t="s">
        <v>3870</v>
      </c>
    </row>
    <row r="1952" ht="14.399999999999999" customHeight="1">
      <c r="A1952" s="23" t="s">
        <v>3871</v>
      </c>
      <c r="B1952" s="23" t="s">
        <v>3872</v>
      </c>
    </row>
    <row r="1953" ht="14.399999999999999" customHeight="1">
      <c r="A1953" s="23" t="s">
        <v>3873</v>
      </c>
      <c r="B1953" s="23" t="s">
        <v>3874</v>
      </c>
    </row>
    <row r="1954" ht="14.399999999999999" customHeight="1">
      <c r="A1954" s="23" t="s">
        <v>3875</v>
      </c>
      <c r="B1954" s="23" t="s">
        <v>3876</v>
      </c>
    </row>
    <row r="1955" ht="14.399999999999999" customHeight="1">
      <c r="A1955" s="23" t="s">
        <v>3877</v>
      </c>
      <c r="B1955" s="23" t="s">
        <v>3878</v>
      </c>
    </row>
    <row r="1956" ht="14.399999999999999" customHeight="1">
      <c r="A1956" s="23" t="s">
        <v>3879</v>
      </c>
      <c r="B1956" s="23" t="s">
        <v>3880</v>
      </c>
    </row>
    <row r="1957" ht="14.399999999999999" customHeight="1">
      <c r="A1957" s="23" t="s">
        <v>3881</v>
      </c>
      <c r="B1957" s="23" t="s">
        <v>3882</v>
      </c>
    </row>
    <row r="1958" ht="14.399999999999999" customHeight="1">
      <c r="A1958" s="23" t="s">
        <v>3883</v>
      </c>
      <c r="B1958" s="23" t="s">
        <v>3884</v>
      </c>
    </row>
    <row r="1959" ht="14.399999999999999" customHeight="1">
      <c r="A1959" s="23" t="s">
        <v>3885</v>
      </c>
      <c r="B1959" s="23" t="s">
        <v>3886</v>
      </c>
    </row>
    <row r="1960" ht="14.399999999999999" customHeight="1">
      <c r="A1960" s="23" t="s">
        <v>3887</v>
      </c>
      <c r="B1960" s="23" t="s">
        <v>3888</v>
      </c>
    </row>
    <row r="1961" ht="14.399999999999999" customHeight="1">
      <c r="A1961" s="23" t="s">
        <v>3889</v>
      </c>
      <c r="B1961" s="23" t="s">
        <v>3890</v>
      </c>
    </row>
    <row r="1962" ht="14.399999999999999" customHeight="1">
      <c r="A1962" s="23" t="s">
        <v>3891</v>
      </c>
      <c r="B1962" s="23" t="s">
        <v>3892</v>
      </c>
    </row>
    <row r="1963" ht="14.399999999999999" customHeight="1">
      <c r="A1963" s="23" t="s">
        <v>3893</v>
      </c>
      <c r="B1963" s="23" t="s">
        <v>3894</v>
      </c>
    </row>
    <row r="1964" ht="14.399999999999999" customHeight="1">
      <c r="A1964" s="23" t="s">
        <v>3895</v>
      </c>
      <c r="B1964" s="23" t="s">
        <v>3896</v>
      </c>
    </row>
    <row r="1965" ht="14.399999999999999" customHeight="1">
      <c r="A1965" s="23" t="s">
        <v>3897</v>
      </c>
      <c r="B1965" s="23" t="s">
        <v>3898</v>
      </c>
    </row>
    <row r="1966" ht="14.399999999999999" customHeight="1">
      <c r="A1966" s="23" t="s">
        <v>3899</v>
      </c>
      <c r="B1966" s="23" t="s">
        <v>3900</v>
      </c>
    </row>
    <row r="1967" ht="14.399999999999999" customHeight="1">
      <c r="A1967" s="23" t="s">
        <v>3901</v>
      </c>
      <c r="B1967" s="23" t="s">
        <v>3902</v>
      </c>
    </row>
    <row r="1968" ht="14.399999999999999" customHeight="1">
      <c r="A1968" s="23" t="s">
        <v>3903</v>
      </c>
      <c r="B1968" s="23" t="s">
        <v>3904</v>
      </c>
    </row>
    <row r="1969" ht="14.399999999999999" customHeight="1">
      <c r="A1969" s="23" t="s">
        <v>3905</v>
      </c>
      <c r="B1969" s="23" t="s">
        <v>3906</v>
      </c>
    </row>
    <row r="1970" ht="14.399999999999999" customHeight="1">
      <c r="A1970" s="23" t="s">
        <v>3907</v>
      </c>
      <c r="B1970" s="23" t="s">
        <v>3908</v>
      </c>
    </row>
    <row r="1971" ht="14.399999999999999" customHeight="1">
      <c r="A1971" s="23" t="s">
        <v>3909</v>
      </c>
      <c r="B1971" s="23" t="s">
        <v>3910</v>
      </c>
    </row>
    <row r="1972" ht="14.399999999999999" customHeight="1">
      <c r="A1972" s="23" t="s">
        <v>3911</v>
      </c>
      <c r="B1972" s="23" t="s">
        <v>3912</v>
      </c>
    </row>
    <row r="1973" ht="14.399999999999999" customHeight="1">
      <c r="A1973" s="23" t="s">
        <v>3913</v>
      </c>
      <c r="B1973" s="23" t="s">
        <v>3914</v>
      </c>
    </row>
    <row r="1974" ht="14.399999999999999" customHeight="1">
      <c r="A1974" s="23" t="s">
        <v>3915</v>
      </c>
      <c r="B1974" s="23" t="s">
        <v>3916</v>
      </c>
    </row>
    <row r="1975" ht="14.399999999999999" customHeight="1">
      <c r="A1975" s="23" t="s">
        <v>3917</v>
      </c>
      <c r="B1975" s="23" t="s">
        <v>3918</v>
      </c>
    </row>
    <row r="1976" ht="14.399999999999999" customHeight="1">
      <c r="A1976" s="23" t="s">
        <v>3919</v>
      </c>
      <c r="B1976" s="23" t="s">
        <v>3920</v>
      </c>
    </row>
    <row r="1977" ht="14.399999999999999" customHeight="1">
      <c r="A1977" s="23" t="s">
        <v>3921</v>
      </c>
      <c r="B1977" s="23" t="s">
        <v>3922</v>
      </c>
    </row>
    <row r="1978" ht="14.399999999999999" customHeight="1">
      <c r="A1978" s="23" t="s">
        <v>3923</v>
      </c>
      <c r="B1978" s="23" t="s">
        <v>3924</v>
      </c>
    </row>
    <row r="1979" ht="14.399999999999999" customHeight="1">
      <c r="A1979" s="23" t="s">
        <v>3925</v>
      </c>
      <c r="B1979" s="23" t="s">
        <v>3926</v>
      </c>
    </row>
    <row r="1980" ht="14.399999999999999" customHeight="1">
      <c r="A1980" s="23" t="s">
        <v>3927</v>
      </c>
      <c r="B1980" s="23" t="s">
        <v>3928</v>
      </c>
    </row>
    <row r="1981" ht="14.399999999999999" customHeight="1">
      <c r="A1981" s="23" t="s">
        <v>3929</v>
      </c>
      <c r="B1981" s="23" t="s">
        <v>3930</v>
      </c>
    </row>
    <row r="1982" ht="14.399999999999999" customHeight="1">
      <c r="A1982" s="23" t="s">
        <v>3931</v>
      </c>
      <c r="B1982" s="23" t="s">
        <v>3932</v>
      </c>
    </row>
    <row r="1983" ht="14.399999999999999" customHeight="1">
      <c r="A1983" s="23" t="s">
        <v>3933</v>
      </c>
      <c r="B1983" s="23" t="s">
        <v>3934</v>
      </c>
    </row>
    <row r="1984" ht="14.399999999999999" customHeight="1">
      <c r="A1984" s="23" t="s">
        <v>3935</v>
      </c>
      <c r="B1984" s="23" t="s">
        <v>3936</v>
      </c>
    </row>
    <row r="1985" ht="14.399999999999999" customHeight="1">
      <c r="A1985" s="23" t="s">
        <v>3937</v>
      </c>
      <c r="B1985" s="23" t="s">
        <v>3938</v>
      </c>
    </row>
    <row r="1986" ht="14.399999999999999" customHeight="1">
      <c r="A1986" s="23" t="s">
        <v>3939</v>
      </c>
      <c r="B1986" s="23" t="s">
        <v>3940</v>
      </c>
    </row>
    <row r="1987" ht="14.399999999999999" customHeight="1">
      <c r="A1987" s="23" t="s">
        <v>3941</v>
      </c>
      <c r="B1987" s="23" t="s">
        <v>3942</v>
      </c>
    </row>
    <row r="1988" ht="14.399999999999999" customHeight="1">
      <c r="A1988" s="23" t="s">
        <v>3943</v>
      </c>
      <c r="B1988" s="23" t="s">
        <v>3944</v>
      </c>
    </row>
    <row r="1989" ht="14.399999999999999" customHeight="1">
      <c r="A1989" s="23" t="s">
        <v>3945</v>
      </c>
      <c r="B1989" s="23" t="s">
        <v>3946</v>
      </c>
    </row>
    <row r="1990" ht="14.399999999999999" customHeight="1">
      <c r="A1990" s="23" t="s">
        <v>3947</v>
      </c>
      <c r="B1990" s="23" t="s">
        <v>3948</v>
      </c>
    </row>
    <row r="1991" ht="14.399999999999999" customHeight="1">
      <c r="A1991" s="23" t="s">
        <v>3949</v>
      </c>
      <c r="B1991" s="23" t="s">
        <v>3950</v>
      </c>
    </row>
    <row r="1992" ht="14.399999999999999" customHeight="1">
      <c r="A1992" s="23" t="s">
        <v>3951</v>
      </c>
      <c r="B1992" s="23" t="s">
        <v>3952</v>
      </c>
    </row>
    <row r="1993" ht="14.399999999999999" customHeight="1">
      <c r="A1993" s="23" t="s">
        <v>3953</v>
      </c>
      <c r="B1993" s="23" t="s">
        <v>3954</v>
      </c>
    </row>
    <row r="1994" ht="14.399999999999999" customHeight="1">
      <c r="A1994" s="23" t="s">
        <v>3955</v>
      </c>
      <c r="B1994" s="23" t="s">
        <v>3956</v>
      </c>
    </row>
    <row r="1995" ht="14.399999999999999" customHeight="1">
      <c r="A1995" s="23" t="s">
        <v>3957</v>
      </c>
      <c r="B1995" s="23" t="s">
        <v>3958</v>
      </c>
    </row>
    <row r="1996" ht="14.399999999999999" customHeight="1">
      <c r="A1996" s="23" t="s">
        <v>3959</v>
      </c>
      <c r="B1996" s="23" t="s">
        <v>3960</v>
      </c>
    </row>
    <row r="1997" ht="14.399999999999999" customHeight="1">
      <c r="A1997" s="23" t="s">
        <v>3961</v>
      </c>
      <c r="B1997" s="23" t="s">
        <v>3962</v>
      </c>
    </row>
    <row r="1998" ht="14.399999999999999" customHeight="1">
      <c r="A1998" s="23" t="s">
        <v>3963</v>
      </c>
      <c r="B1998" s="23" t="s">
        <v>3964</v>
      </c>
    </row>
    <row r="1999" ht="14.399999999999999" customHeight="1">
      <c r="A1999" s="23" t="s">
        <v>3965</v>
      </c>
      <c r="B1999" s="23" t="s">
        <v>3966</v>
      </c>
    </row>
    <row r="2000" ht="14.399999999999999" customHeight="1">
      <c r="A2000" s="23" t="s">
        <v>3967</v>
      </c>
      <c r="B2000" s="23" t="s">
        <v>3968</v>
      </c>
    </row>
    <row r="2001" ht="14.399999999999999" customHeight="1">
      <c r="A2001" s="23" t="s">
        <v>3969</v>
      </c>
      <c r="B2001" s="23" t="s">
        <v>3970</v>
      </c>
    </row>
    <row r="2002" ht="14.399999999999999" customHeight="1">
      <c r="A2002" s="23" t="s">
        <v>3971</v>
      </c>
      <c r="B2002" s="23" t="s">
        <v>3972</v>
      </c>
    </row>
    <row r="2003" ht="14.399999999999999" customHeight="1">
      <c r="A2003" s="23" t="s">
        <v>3973</v>
      </c>
      <c r="B2003" s="23" t="s">
        <v>3974</v>
      </c>
    </row>
    <row r="2004" ht="14.399999999999999" customHeight="1">
      <c r="A2004" s="23" t="s">
        <v>3975</v>
      </c>
      <c r="B2004" s="23" t="s">
        <v>3976</v>
      </c>
    </row>
    <row r="2005" ht="14.399999999999999" customHeight="1">
      <c r="A2005" s="23" t="s">
        <v>3977</v>
      </c>
      <c r="B2005" s="23" t="s">
        <v>3978</v>
      </c>
    </row>
    <row r="2006" ht="14.399999999999999" customHeight="1">
      <c r="A2006" s="23" t="s">
        <v>3979</v>
      </c>
      <c r="B2006" s="23" t="s">
        <v>3980</v>
      </c>
    </row>
    <row r="2007" ht="14.399999999999999" customHeight="1">
      <c r="A2007" s="23" t="s">
        <v>3981</v>
      </c>
      <c r="B2007" s="23" t="s">
        <v>3982</v>
      </c>
    </row>
    <row r="2008" ht="14.399999999999999" customHeight="1">
      <c r="A2008" s="23" t="s">
        <v>3983</v>
      </c>
      <c r="B2008" s="23" t="s">
        <v>3984</v>
      </c>
    </row>
    <row r="2009" ht="14.399999999999999" customHeight="1">
      <c r="A2009" s="23" t="s">
        <v>3985</v>
      </c>
      <c r="B2009" s="23" t="s">
        <v>3986</v>
      </c>
    </row>
    <row r="2010" ht="14.399999999999999" customHeight="1">
      <c r="A2010" s="23" t="s">
        <v>3987</v>
      </c>
      <c r="B2010" s="23" t="s">
        <v>3988</v>
      </c>
    </row>
    <row r="2011" ht="14.399999999999999" customHeight="1">
      <c r="A2011" s="23" t="s">
        <v>3989</v>
      </c>
      <c r="B2011" s="23" t="s">
        <v>3990</v>
      </c>
    </row>
    <row r="2012" ht="14.399999999999999" customHeight="1">
      <c r="A2012" s="23" t="s">
        <v>3991</v>
      </c>
      <c r="B2012" s="23" t="s">
        <v>3992</v>
      </c>
    </row>
    <row r="2013" ht="14.399999999999999" customHeight="1">
      <c r="A2013" s="23" t="s">
        <v>3993</v>
      </c>
      <c r="B2013" s="23" t="s">
        <v>3994</v>
      </c>
    </row>
    <row r="2014" ht="14.399999999999999" customHeight="1">
      <c r="A2014" s="23" t="s">
        <v>3995</v>
      </c>
      <c r="B2014" s="23" t="s">
        <v>3996</v>
      </c>
    </row>
    <row r="2015" ht="14.399999999999999" customHeight="1">
      <c r="A2015" s="23" t="s">
        <v>3997</v>
      </c>
      <c r="B2015" s="23" t="s">
        <v>3998</v>
      </c>
    </row>
    <row r="2016" ht="14.399999999999999" customHeight="1">
      <c r="A2016" s="23" t="s">
        <v>3999</v>
      </c>
      <c r="B2016" s="23" t="s">
        <v>4000</v>
      </c>
    </row>
    <row r="2017" ht="14.399999999999999" customHeight="1">
      <c r="A2017" s="23" t="s">
        <v>4001</v>
      </c>
      <c r="B2017" s="23" t="s">
        <v>4002</v>
      </c>
    </row>
    <row r="2018" ht="14.399999999999999" customHeight="1">
      <c r="A2018" s="23" t="s">
        <v>4003</v>
      </c>
      <c r="B2018" s="23" t="s">
        <v>4004</v>
      </c>
    </row>
    <row r="2019" ht="14.399999999999999" customHeight="1">
      <c r="A2019" s="23" t="s">
        <v>4005</v>
      </c>
      <c r="B2019" s="23" t="s">
        <v>4006</v>
      </c>
    </row>
    <row r="2020" ht="14.399999999999999" customHeight="1">
      <c r="A2020" s="23" t="s">
        <v>4007</v>
      </c>
      <c r="B2020" s="23" t="s">
        <v>4008</v>
      </c>
    </row>
    <row r="2021" ht="14.399999999999999" customHeight="1">
      <c r="A2021" s="23" t="s">
        <v>4009</v>
      </c>
      <c r="B2021" s="23" t="s">
        <v>4010</v>
      </c>
    </row>
    <row r="2022" ht="14.399999999999999" customHeight="1">
      <c r="A2022" s="23" t="s">
        <v>4011</v>
      </c>
      <c r="B2022" s="23" t="s">
        <v>4012</v>
      </c>
    </row>
    <row r="2023" ht="14.399999999999999" customHeight="1">
      <c r="A2023" s="23" t="s">
        <v>4013</v>
      </c>
      <c r="B2023" s="23" t="s">
        <v>4014</v>
      </c>
    </row>
    <row r="2024" ht="14.399999999999999" customHeight="1">
      <c r="A2024" s="23" t="s">
        <v>4015</v>
      </c>
      <c r="B2024" s="23" t="s">
        <v>4016</v>
      </c>
    </row>
    <row r="2025" ht="14.399999999999999" customHeight="1">
      <c r="A2025" s="23" t="s">
        <v>4017</v>
      </c>
      <c r="B2025" s="23" t="s">
        <v>4018</v>
      </c>
    </row>
    <row r="2026" ht="14.399999999999999" customHeight="1">
      <c r="A2026" s="23" t="s">
        <v>4019</v>
      </c>
      <c r="B2026" s="23" t="s">
        <v>4020</v>
      </c>
    </row>
    <row r="2027" ht="14.399999999999999" customHeight="1">
      <c r="A2027" s="23" t="s">
        <v>4021</v>
      </c>
      <c r="B2027" s="23" t="s">
        <v>4022</v>
      </c>
    </row>
    <row r="2028" ht="14.399999999999999" customHeight="1">
      <c r="A2028" s="23" t="s">
        <v>4023</v>
      </c>
      <c r="B2028" s="23" t="s">
        <v>4024</v>
      </c>
    </row>
    <row r="2029" ht="14.399999999999999" customHeight="1">
      <c r="A2029" s="23" t="s">
        <v>4025</v>
      </c>
      <c r="B2029" s="23" t="s">
        <v>4026</v>
      </c>
    </row>
    <row r="2030" ht="14.399999999999999" customHeight="1">
      <c r="A2030" s="23" t="s">
        <v>4027</v>
      </c>
      <c r="B2030" s="23" t="s">
        <v>4028</v>
      </c>
    </row>
    <row r="2031" ht="14.399999999999999" customHeight="1">
      <c r="A2031" s="23" t="s">
        <v>4029</v>
      </c>
      <c r="B2031" s="23" t="s">
        <v>4030</v>
      </c>
    </row>
    <row r="2032" ht="14.399999999999999" customHeight="1">
      <c r="A2032" s="23" t="s">
        <v>4031</v>
      </c>
      <c r="B2032" s="23" t="s">
        <v>4032</v>
      </c>
    </row>
    <row r="2033" ht="14.399999999999999" customHeight="1">
      <c r="A2033" s="23" t="s">
        <v>4033</v>
      </c>
      <c r="B2033" s="23" t="s">
        <v>4034</v>
      </c>
    </row>
    <row r="2034" ht="14.399999999999999" customHeight="1">
      <c r="A2034" s="23" t="s">
        <v>4035</v>
      </c>
      <c r="B2034" s="23" t="s">
        <v>4036</v>
      </c>
    </row>
    <row r="2035" ht="14.399999999999999" customHeight="1">
      <c r="A2035" s="23" t="s">
        <v>4037</v>
      </c>
      <c r="B2035" s="23" t="s">
        <v>4038</v>
      </c>
    </row>
    <row r="2036" ht="14.399999999999999" customHeight="1">
      <c r="A2036" s="23" t="s">
        <v>4039</v>
      </c>
      <c r="B2036" s="23" t="s">
        <v>4040</v>
      </c>
    </row>
    <row r="2037" ht="14.399999999999999" customHeight="1">
      <c r="A2037" s="23" t="s">
        <v>4041</v>
      </c>
      <c r="B2037" s="23" t="s">
        <v>4042</v>
      </c>
    </row>
    <row r="2038" ht="14.399999999999999" customHeight="1">
      <c r="A2038" s="23" t="s">
        <v>4043</v>
      </c>
      <c r="B2038" s="23" t="s">
        <v>4044</v>
      </c>
    </row>
    <row r="2039" ht="14.399999999999999" customHeight="1">
      <c r="A2039" s="23" t="s">
        <v>4045</v>
      </c>
      <c r="B2039" s="23" t="s">
        <v>4046</v>
      </c>
    </row>
    <row r="2040" ht="14.399999999999999" customHeight="1">
      <c r="A2040" s="23" t="s">
        <v>4047</v>
      </c>
      <c r="B2040" s="23" t="s">
        <v>4048</v>
      </c>
    </row>
    <row r="2041" ht="14.399999999999999" customHeight="1">
      <c r="A2041" s="23" t="s">
        <v>4049</v>
      </c>
      <c r="B2041" s="23" t="s">
        <v>4050</v>
      </c>
    </row>
    <row r="2042" ht="14.399999999999999" customHeight="1">
      <c r="A2042" s="23" t="s">
        <v>4051</v>
      </c>
      <c r="B2042" s="23" t="s">
        <v>4052</v>
      </c>
    </row>
    <row r="2043" ht="14.399999999999999" customHeight="1">
      <c r="A2043" s="23" t="s">
        <v>4053</v>
      </c>
      <c r="B2043" s="23" t="s">
        <v>4054</v>
      </c>
    </row>
    <row r="2044" ht="14.399999999999999" customHeight="1">
      <c r="A2044" s="23" t="s">
        <v>4055</v>
      </c>
      <c r="B2044" s="23" t="s">
        <v>4056</v>
      </c>
    </row>
    <row r="2045" ht="14.399999999999999" customHeight="1">
      <c r="A2045" s="23" t="s">
        <v>4057</v>
      </c>
      <c r="B2045" s="23" t="s">
        <v>4058</v>
      </c>
    </row>
    <row r="2046" ht="14.399999999999999" customHeight="1">
      <c r="A2046" s="23" t="s">
        <v>4059</v>
      </c>
      <c r="B2046" s="23" t="s">
        <v>4060</v>
      </c>
    </row>
    <row r="2047" s="20" customFormat="1" ht="14.399999999999999" customHeight="1">
      <c r="A2047" s="23" t="s">
        <v>4061</v>
      </c>
      <c r="B2047" s="23" t="s">
        <v>4062</v>
      </c>
    </row>
    <row r="2048" s="20" customFormat="1" ht="14.399999999999999" customHeight="1">
      <c r="A2048" s="23" t="s">
        <v>4063</v>
      </c>
      <c r="B2048" s="23" t="s">
        <v>4064</v>
      </c>
    </row>
    <row r="2049" ht="14.399999999999999" customHeight="1">
      <c r="A2049" s="23" t="s">
        <v>4065</v>
      </c>
      <c r="B2049" s="23" t="s">
        <v>4066</v>
      </c>
    </row>
    <row r="2050" ht="14.399999999999999" customHeight="1">
      <c r="A2050" s="23" t="s">
        <v>4067</v>
      </c>
      <c r="B2050" s="23" t="s">
        <v>4068</v>
      </c>
    </row>
    <row r="2051" ht="14.399999999999999" customHeight="1">
      <c r="A2051" s="23" t="s">
        <v>4069</v>
      </c>
      <c r="B2051" s="23" t="s">
        <v>4070</v>
      </c>
    </row>
    <row r="2052" ht="14.399999999999999" customHeight="1">
      <c r="A2052" s="23" t="s">
        <v>4071</v>
      </c>
      <c r="B2052" s="23" t="s">
        <v>4072</v>
      </c>
    </row>
    <row r="2053" ht="14.399999999999999" customHeight="1">
      <c r="A2053" s="23" t="s">
        <v>4073</v>
      </c>
      <c r="B2053" s="23" t="s">
        <v>4074</v>
      </c>
    </row>
    <row r="2054" ht="14.399999999999999" customHeight="1">
      <c r="A2054" s="23" t="s">
        <v>4075</v>
      </c>
      <c r="B2054" s="23" t="s">
        <v>4076</v>
      </c>
    </row>
    <row r="2055" ht="14.399999999999999" customHeight="1">
      <c r="A2055" s="23" t="s">
        <v>4077</v>
      </c>
      <c r="B2055" s="23" t="s">
        <v>4078</v>
      </c>
    </row>
    <row r="2056" ht="14.399999999999999" customHeight="1">
      <c r="A2056" s="23" t="s">
        <v>4079</v>
      </c>
      <c r="B2056" s="23" t="s">
        <v>4080</v>
      </c>
    </row>
    <row r="2057" ht="14.399999999999999" customHeight="1">
      <c r="A2057" s="23" t="s">
        <v>4081</v>
      </c>
      <c r="B2057" s="23" t="s">
        <v>4082</v>
      </c>
    </row>
    <row r="2058" ht="14.399999999999999" customHeight="1">
      <c r="A2058" s="23" t="s">
        <v>4083</v>
      </c>
      <c r="B2058" s="23" t="s">
        <v>4084</v>
      </c>
    </row>
    <row r="2059" ht="14.399999999999999" customHeight="1">
      <c r="A2059" s="23" t="s">
        <v>4085</v>
      </c>
      <c r="B2059" s="23" t="s">
        <v>4086</v>
      </c>
    </row>
    <row r="2060" ht="14.399999999999999" customHeight="1">
      <c r="A2060" s="23" t="s">
        <v>4087</v>
      </c>
      <c r="B2060" s="23" t="s">
        <v>4088</v>
      </c>
    </row>
    <row r="2061" ht="14.399999999999999" customHeight="1">
      <c r="A2061" s="23" t="s">
        <v>4089</v>
      </c>
      <c r="B2061" s="23" t="s">
        <v>4090</v>
      </c>
    </row>
    <row r="2062" ht="14.399999999999999" customHeight="1">
      <c r="A2062" s="23" t="s">
        <v>4091</v>
      </c>
      <c r="B2062" s="23" t="s">
        <v>4092</v>
      </c>
    </row>
    <row r="2063" ht="14.399999999999999" customHeight="1">
      <c r="A2063" s="23" t="s">
        <v>4093</v>
      </c>
      <c r="B2063" s="23" t="s">
        <v>4094</v>
      </c>
    </row>
    <row r="2064" ht="14.399999999999999" customHeight="1">
      <c r="A2064" s="23" t="s">
        <v>4095</v>
      </c>
      <c r="B2064" s="23" t="s">
        <v>4096</v>
      </c>
    </row>
    <row r="2065" ht="14.399999999999999" customHeight="1">
      <c r="A2065" s="23" t="s">
        <v>4097</v>
      </c>
      <c r="B2065" s="23" t="s">
        <v>4098</v>
      </c>
    </row>
    <row r="2066" ht="14.399999999999999" customHeight="1">
      <c r="A2066" s="23" t="s">
        <v>4099</v>
      </c>
      <c r="B2066" s="23" t="s">
        <v>4100</v>
      </c>
    </row>
    <row r="2067" ht="14.399999999999999" customHeight="1">
      <c r="A2067" s="23" t="s">
        <v>4101</v>
      </c>
      <c r="B2067" s="23" t="s">
        <v>4102</v>
      </c>
    </row>
    <row r="2068" ht="14.399999999999999" customHeight="1">
      <c r="A2068" s="23" t="s">
        <v>4103</v>
      </c>
      <c r="B2068" s="23" t="s">
        <v>4104</v>
      </c>
    </row>
    <row r="2069" ht="14.399999999999999" customHeight="1">
      <c r="A2069" s="23" t="s">
        <v>4105</v>
      </c>
      <c r="B2069" s="23" t="s">
        <v>4106</v>
      </c>
    </row>
    <row r="2070" ht="14.399999999999999" customHeight="1">
      <c r="A2070" s="23" t="s">
        <v>4107</v>
      </c>
      <c r="B2070" s="23" t="s">
        <v>4108</v>
      </c>
    </row>
    <row r="2071" ht="14.399999999999999" customHeight="1">
      <c r="A2071" s="23" t="s">
        <v>4109</v>
      </c>
      <c r="B2071" s="23" t="s">
        <v>4110</v>
      </c>
    </row>
    <row r="2072" ht="14.399999999999999" customHeight="1">
      <c r="A2072" s="23" t="s">
        <v>4111</v>
      </c>
      <c r="B2072" s="23" t="s">
        <v>4112</v>
      </c>
    </row>
    <row r="2073" ht="14.399999999999999" customHeight="1">
      <c r="A2073" s="23" t="s">
        <v>4113</v>
      </c>
      <c r="B2073" s="23" t="s">
        <v>4114</v>
      </c>
    </row>
    <row r="2074" ht="14.399999999999999" customHeight="1">
      <c r="A2074" s="23" t="s">
        <v>4115</v>
      </c>
      <c r="B2074" s="23" t="s">
        <v>4116</v>
      </c>
    </row>
    <row r="2075" ht="14.399999999999999" customHeight="1">
      <c r="A2075" s="23" t="s">
        <v>4117</v>
      </c>
      <c r="B2075" s="23" t="s">
        <v>4118</v>
      </c>
    </row>
    <row r="2076" ht="14.399999999999999" customHeight="1">
      <c r="A2076" s="23" t="s">
        <v>4119</v>
      </c>
      <c r="B2076" s="23" t="s">
        <v>4120</v>
      </c>
    </row>
    <row r="2077" ht="14.399999999999999" customHeight="1">
      <c r="A2077" s="23" t="s">
        <v>4121</v>
      </c>
      <c r="B2077" s="23" t="s">
        <v>4122</v>
      </c>
    </row>
    <row r="2078" ht="14.399999999999999" customHeight="1">
      <c r="A2078" s="23" t="s">
        <v>4123</v>
      </c>
      <c r="B2078" s="23" t="s">
        <v>4124</v>
      </c>
    </row>
    <row r="2079" ht="14.399999999999999" customHeight="1">
      <c r="A2079" s="23" t="s">
        <v>4125</v>
      </c>
      <c r="B2079" s="23" t="s">
        <v>4126</v>
      </c>
    </row>
    <row r="2080" ht="14.399999999999999" customHeight="1">
      <c r="A2080" s="23" t="s">
        <v>4127</v>
      </c>
      <c r="B2080" s="23" t="s">
        <v>4128</v>
      </c>
    </row>
    <row r="2081" ht="14.399999999999999" customHeight="1">
      <c r="A2081" s="23" t="s">
        <v>4129</v>
      </c>
      <c r="B2081" s="23" t="s">
        <v>4130</v>
      </c>
    </row>
    <row r="2082" ht="14.399999999999999" customHeight="1">
      <c r="A2082" s="23" t="s">
        <v>4131</v>
      </c>
      <c r="B2082" s="23" t="s">
        <v>4132</v>
      </c>
    </row>
    <row r="2083" ht="14.399999999999999" customHeight="1">
      <c r="A2083" s="23" t="s">
        <v>4133</v>
      </c>
      <c r="B2083" s="23" t="s">
        <v>4134</v>
      </c>
    </row>
    <row r="2084" ht="14.399999999999999" customHeight="1">
      <c r="A2084" s="23" t="s">
        <v>4135</v>
      </c>
      <c r="B2084" s="23" t="s">
        <v>4136</v>
      </c>
    </row>
    <row r="2085" ht="14.399999999999999" customHeight="1">
      <c r="A2085" s="23" t="s">
        <v>4137</v>
      </c>
      <c r="B2085" s="23" t="s">
        <v>4138</v>
      </c>
    </row>
    <row r="2086" ht="14.399999999999999" customHeight="1">
      <c r="A2086" s="23" t="s">
        <v>4139</v>
      </c>
      <c r="B2086" s="23" t="s">
        <v>4140</v>
      </c>
    </row>
    <row r="2087" ht="14.399999999999999" customHeight="1">
      <c r="A2087" s="23" t="s">
        <v>4141</v>
      </c>
      <c r="B2087" s="23" t="s">
        <v>4142</v>
      </c>
    </row>
    <row r="2088" ht="14.399999999999999" customHeight="1">
      <c r="A2088" s="23" t="s">
        <v>4143</v>
      </c>
      <c r="B2088" s="23" t="s">
        <v>4144</v>
      </c>
    </row>
    <row r="2089" ht="14.399999999999999" customHeight="1">
      <c r="A2089" s="23" t="s">
        <v>4145</v>
      </c>
      <c r="B2089" s="23" t="s">
        <v>4146</v>
      </c>
    </row>
    <row r="2090" ht="14.399999999999999" customHeight="1">
      <c r="A2090" s="23" t="s">
        <v>4147</v>
      </c>
      <c r="B2090" s="23" t="s">
        <v>4148</v>
      </c>
    </row>
    <row r="2091" ht="14.399999999999999" customHeight="1">
      <c r="A2091" s="23" t="s">
        <v>4149</v>
      </c>
      <c r="B2091" s="23" t="s">
        <v>4150</v>
      </c>
    </row>
    <row r="2092" ht="14.399999999999999" customHeight="1">
      <c r="A2092" s="23" t="s">
        <v>4151</v>
      </c>
      <c r="B2092" s="23" t="s">
        <v>4152</v>
      </c>
    </row>
    <row r="2093" ht="14.399999999999999" customHeight="1">
      <c r="A2093" s="23" t="s">
        <v>4153</v>
      </c>
      <c r="B2093" s="23" t="s">
        <v>4154</v>
      </c>
    </row>
    <row r="2094" ht="14.399999999999999" customHeight="1">
      <c r="A2094" s="23" t="s">
        <v>4155</v>
      </c>
      <c r="B2094" s="23" t="s">
        <v>4156</v>
      </c>
    </row>
    <row r="2095" ht="14.399999999999999" customHeight="1">
      <c r="A2095" s="23" t="s">
        <v>4157</v>
      </c>
      <c r="B2095" s="23" t="s">
        <v>4158</v>
      </c>
    </row>
    <row r="2096" ht="14.399999999999999" customHeight="1">
      <c r="A2096" s="23" t="s">
        <v>4159</v>
      </c>
      <c r="B2096" s="23" t="s">
        <v>4160</v>
      </c>
    </row>
    <row r="2097" ht="14.399999999999999" customHeight="1">
      <c r="A2097" s="23" t="s">
        <v>4161</v>
      </c>
      <c r="B2097" s="23" t="s">
        <v>4162</v>
      </c>
    </row>
    <row r="2098" ht="14.399999999999999" customHeight="1">
      <c r="A2098" s="23" t="s">
        <v>4163</v>
      </c>
      <c r="B2098" s="23" t="s">
        <v>4164</v>
      </c>
    </row>
    <row r="2099" ht="14.399999999999999" customHeight="1">
      <c r="A2099" s="23" t="s">
        <v>4165</v>
      </c>
      <c r="B2099" s="23" t="s">
        <v>4166</v>
      </c>
    </row>
    <row r="2100" ht="14.399999999999999" customHeight="1">
      <c r="A2100" s="23" t="s">
        <v>4167</v>
      </c>
      <c r="B2100" s="23" t="s">
        <v>4168</v>
      </c>
    </row>
    <row r="2101" ht="14.399999999999999" customHeight="1">
      <c r="A2101" s="23" t="s">
        <v>4169</v>
      </c>
      <c r="B2101" s="23" t="s">
        <v>4170</v>
      </c>
    </row>
    <row r="2102" ht="14.399999999999999" customHeight="1">
      <c r="A2102" s="23" t="s">
        <v>4171</v>
      </c>
      <c r="B2102" s="23" t="s">
        <v>4172</v>
      </c>
    </row>
    <row r="2103" ht="14.399999999999999" customHeight="1">
      <c r="A2103" s="23" t="s">
        <v>4173</v>
      </c>
      <c r="B2103" s="23" t="s">
        <v>4174</v>
      </c>
    </row>
    <row r="2104" ht="14.399999999999999" customHeight="1">
      <c r="A2104" s="23" t="s">
        <v>4175</v>
      </c>
      <c r="B2104" s="23" t="s">
        <v>4176</v>
      </c>
    </row>
    <row r="2105" ht="14.399999999999999" customHeight="1">
      <c r="A2105" s="23" t="s">
        <v>4177</v>
      </c>
      <c r="B2105" s="23" t="s">
        <v>4178</v>
      </c>
    </row>
    <row r="2106" ht="14.399999999999999" customHeight="1">
      <c r="A2106" s="23" t="s">
        <v>4179</v>
      </c>
      <c r="B2106" s="23" t="s">
        <v>4180</v>
      </c>
    </row>
    <row r="2107" ht="14.399999999999999" customHeight="1">
      <c r="A2107" s="23" t="s">
        <v>4181</v>
      </c>
      <c r="B2107" s="23" t="s">
        <v>4182</v>
      </c>
    </row>
    <row r="2108" ht="14.399999999999999" customHeight="1">
      <c r="A2108" s="23" t="s">
        <v>4183</v>
      </c>
      <c r="B2108" s="23" t="s">
        <v>4184</v>
      </c>
    </row>
    <row r="2109" ht="14.399999999999999" customHeight="1">
      <c r="A2109" s="23" t="s">
        <v>4185</v>
      </c>
      <c r="B2109" s="23" t="s">
        <v>4186</v>
      </c>
    </row>
    <row r="2110" ht="14.399999999999999" customHeight="1">
      <c r="A2110" s="23" t="s">
        <v>4187</v>
      </c>
      <c r="B2110" s="23" t="s">
        <v>4188</v>
      </c>
    </row>
    <row r="2111" ht="14.399999999999999" customHeight="1">
      <c r="A2111" s="23" t="s">
        <v>4189</v>
      </c>
      <c r="B2111" s="23" t="s">
        <v>4190</v>
      </c>
    </row>
    <row r="2112" ht="14.399999999999999" customHeight="1">
      <c r="A2112" s="23" t="s">
        <v>4191</v>
      </c>
      <c r="B2112" s="23" t="s">
        <v>4192</v>
      </c>
    </row>
    <row r="2113" ht="14.399999999999999" customHeight="1">
      <c r="A2113" s="23" t="s">
        <v>4193</v>
      </c>
      <c r="B2113" s="23" t="s">
        <v>4194</v>
      </c>
    </row>
    <row r="2114" ht="14.399999999999999" customHeight="1">
      <c r="A2114" s="23" t="s">
        <v>4195</v>
      </c>
      <c r="B2114" s="23" t="s">
        <v>4196</v>
      </c>
    </row>
    <row r="2115" ht="14.399999999999999" customHeight="1">
      <c r="A2115" s="23" t="s">
        <v>4197</v>
      </c>
      <c r="B2115" s="23" t="s">
        <v>4198</v>
      </c>
    </row>
    <row r="2116" ht="14.399999999999999" customHeight="1">
      <c r="A2116" s="23" t="s">
        <v>4199</v>
      </c>
      <c r="B2116" s="23" t="s">
        <v>4200</v>
      </c>
    </row>
    <row r="2117" ht="14.399999999999999" customHeight="1">
      <c r="A2117" s="23" t="s">
        <v>4201</v>
      </c>
      <c r="B2117" s="23" t="s">
        <v>4202</v>
      </c>
    </row>
    <row r="2118" ht="14.399999999999999" customHeight="1">
      <c r="A2118" s="23" t="s">
        <v>4203</v>
      </c>
      <c r="B2118" s="23" t="s">
        <v>4204</v>
      </c>
    </row>
    <row r="2119" ht="14.399999999999999" customHeight="1">
      <c r="A2119" s="23" t="s">
        <v>4205</v>
      </c>
      <c r="B2119" s="23" t="s">
        <v>4206</v>
      </c>
    </row>
    <row r="2120" ht="14.399999999999999" customHeight="1">
      <c r="A2120" s="23" t="s">
        <v>4207</v>
      </c>
      <c r="B2120" s="23" t="s">
        <v>4208</v>
      </c>
    </row>
    <row r="2121" ht="14.399999999999999" customHeight="1">
      <c r="A2121" s="23" t="s">
        <v>4209</v>
      </c>
      <c r="B2121" s="23" t="s">
        <v>4210</v>
      </c>
    </row>
    <row r="2122" ht="14.399999999999999" customHeight="1">
      <c r="A2122" s="23" t="s">
        <v>4211</v>
      </c>
      <c r="B2122" s="23" t="s">
        <v>4212</v>
      </c>
    </row>
    <row r="2123" ht="14.399999999999999" customHeight="1">
      <c r="A2123" s="23" t="s">
        <v>4213</v>
      </c>
      <c r="B2123" s="23" t="s">
        <v>4214</v>
      </c>
    </row>
    <row r="2124" ht="14.399999999999999" customHeight="1">
      <c r="A2124" s="23" t="s">
        <v>4215</v>
      </c>
      <c r="B2124" s="23" t="s">
        <v>4216</v>
      </c>
    </row>
    <row r="2125" ht="14.399999999999999" customHeight="1">
      <c r="A2125" s="23" t="s">
        <v>4217</v>
      </c>
      <c r="B2125" s="23" t="s">
        <v>4218</v>
      </c>
    </row>
    <row r="2126" ht="14.399999999999999" customHeight="1">
      <c r="A2126" s="23" t="s">
        <v>4219</v>
      </c>
      <c r="B2126" s="23" t="s">
        <v>4220</v>
      </c>
    </row>
    <row r="2127" ht="14.399999999999999" customHeight="1">
      <c r="A2127" s="23" t="s">
        <v>4221</v>
      </c>
      <c r="B2127" s="23" t="s">
        <v>4222</v>
      </c>
    </row>
    <row r="2128" ht="14.399999999999999" customHeight="1">
      <c r="A2128" s="23" t="s">
        <v>4223</v>
      </c>
      <c r="B2128" s="23" t="s">
        <v>4224</v>
      </c>
    </row>
    <row r="2129" ht="14.399999999999999" customHeight="1">
      <c r="A2129" s="23" t="s">
        <v>4225</v>
      </c>
      <c r="B2129" s="23" t="s">
        <v>4226</v>
      </c>
    </row>
    <row r="2130" ht="14.399999999999999" customHeight="1">
      <c r="A2130" s="23" t="s">
        <v>4227</v>
      </c>
      <c r="B2130" s="23" t="s">
        <v>4228</v>
      </c>
    </row>
    <row r="2131" ht="14.399999999999999" customHeight="1">
      <c r="A2131" s="23" t="s">
        <v>4229</v>
      </c>
      <c r="B2131" s="23" t="s">
        <v>4230</v>
      </c>
    </row>
    <row r="2132" ht="14.399999999999999" customHeight="1">
      <c r="A2132" s="23" t="s">
        <v>4231</v>
      </c>
      <c r="B2132" s="23" t="s">
        <v>4232</v>
      </c>
    </row>
    <row r="2133" ht="14.399999999999999" customHeight="1">
      <c r="A2133" s="23" t="s">
        <v>4233</v>
      </c>
      <c r="B2133" s="23" t="s">
        <v>4234</v>
      </c>
    </row>
    <row r="2134" ht="14.399999999999999" customHeight="1">
      <c r="A2134" s="23" t="s">
        <v>4235</v>
      </c>
      <c r="B2134" s="23" t="s">
        <v>4236</v>
      </c>
    </row>
    <row r="2135" ht="14.399999999999999" customHeight="1">
      <c r="A2135" s="23" t="s">
        <v>4237</v>
      </c>
      <c r="B2135" s="23" t="s">
        <v>4238</v>
      </c>
    </row>
    <row r="2136" ht="14.399999999999999" customHeight="1">
      <c r="A2136" s="23" t="s">
        <v>4239</v>
      </c>
      <c r="B2136" s="23" t="s">
        <v>4240</v>
      </c>
    </row>
    <row r="2137" ht="14.399999999999999" customHeight="1">
      <c r="A2137" s="23" t="s">
        <v>4241</v>
      </c>
      <c r="B2137" s="23" t="s">
        <v>4242</v>
      </c>
    </row>
    <row r="2138" ht="14.399999999999999" customHeight="1">
      <c r="A2138" s="23" t="s">
        <v>4243</v>
      </c>
      <c r="B2138" s="23" t="s">
        <v>4244</v>
      </c>
    </row>
    <row r="2139" ht="14.399999999999999" customHeight="1">
      <c r="A2139" s="23" t="s">
        <v>4245</v>
      </c>
      <c r="B2139" s="23" t="s">
        <v>4246</v>
      </c>
    </row>
    <row r="2140" ht="14.399999999999999" customHeight="1">
      <c r="A2140" s="23" t="s">
        <v>4247</v>
      </c>
      <c r="B2140" s="23" t="s">
        <v>4248</v>
      </c>
    </row>
    <row r="2141" s="20" customFormat="1" ht="14.399999999999999" customHeight="1">
      <c r="A2141" s="23" t="s">
        <v>4249</v>
      </c>
      <c r="B2141" s="23" t="s">
        <v>4250</v>
      </c>
    </row>
    <row r="2142" ht="14.399999999999999" customHeight="1">
      <c r="A2142" s="23" t="s">
        <v>4251</v>
      </c>
      <c r="B2142" s="23" t="s">
        <v>4252</v>
      </c>
    </row>
    <row r="2143" ht="14.399999999999999" customHeight="1">
      <c r="A2143" s="23" t="s">
        <v>4253</v>
      </c>
      <c r="B2143" s="23" t="s">
        <v>4254</v>
      </c>
    </row>
    <row r="2144" ht="14.399999999999999" customHeight="1">
      <c r="A2144" s="23" t="s">
        <v>4255</v>
      </c>
      <c r="B2144" s="23" t="s">
        <v>4256</v>
      </c>
    </row>
    <row r="2145" ht="14.399999999999999" customHeight="1">
      <c r="A2145" s="23" t="s">
        <v>4257</v>
      </c>
      <c r="B2145" s="23" t="s">
        <v>4258</v>
      </c>
    </row>
    <row r="2146" ht="14.399999999999999" customHeight="1">
      <c r="A2146" s="23" t="s">
        <v>4259</v>
      </c>
      <c r="B2146" s="23" t="s">
        <v>4260</v>
      </c>
    </row>
    <row r="2147" ht="14.399999999999999" customHeight="1">
      <c r="A2147" s="23" t="s">
        <v>4261</v>
      </c>
      <c r="B2147" s="23" t="s">
        <v>4262</v>
      </c>
    </row>
    <row r="2148" ht="14.399999999999999" customHeight="1">
      <c r="A2148" s="23" t="s">
        <v>4263</v>
      </c>
      <c r="B2148" s="23" t="s">
        <v>4264</v>
      </c>
    </row>
    <row r="2149" ht="14.399999999999999" customHeight="1">
      <c r="A2149" s="23" t="s">
        <v>4265</v>
      </c>
      <c r="B2149" s="23" t="s">
        <v>4266</v>
      </c>
    </row>
    <row r="2150" ht="14.399999999999999" customHeight="1">
      <c r="A2150" s="23" t="s">
        <v>4267</v>
      </c>
      <c r="B2150" s="23" t="s">
        <v>4268</v>
      </c>
    </row>
    <row r="2151" ht="14.399999999999999" customHeight="1">
      <c r="A2151" s="23" t="s">
        <v>4269</v>
      </c>
      <c r="B2151" s="23" t="s">
        <v>4270</v>
      </c>
    </row>
    <row r="2152" ht="14.399999999999999" customHeight="1">
      <c r="A2152" s="23" t="s">
        <v>4271</v>
      </c>
      <c r="B2152" s="23" t="s">
        <v>4272</v>
      </c>
    </row>
    <row r="2153" ht="14.399999999999999" customHeight="1">
      <c r="A2153" s="23" t="s">
        <v>4273</v>
      </c>
      <c r="B2153" s="23" t="s">
        <v>4274</v>
      </c>
    </row>
    <row r="2154" ht="14.399999999999999" customHeight="1">
      <c r="A2154" s="23" t="s">
        <v>4275</v>
      </c>
      <c r="B2154" s="23" t="s">
        <v>4276</v>
      </c>
    </row>
    <row r="2155" ht="14.399999999999999" customHeight="1">
      <c r="A2155" s="23" t="s">
        <v>4277</v>
      </c>
      <c r="B2155" s="23" t="s">
        <v>4278</v>
      </c>
    </row>
    <row r="2156" ht="14.399999999999999" customHeight="1">
      <c r="A2156" s="23" t="s">
        <v>4279</v>
      </c>
      <c r="B2156" s="23" t="s">
        <v>4280</v>
      </c>
    </row>
    <row r="2157" ht="14.399999999999999" customHeight="1">
      <c r="A2157" s="23" t="s">
        <v>4281</v>
      </c>
      <c r="B2157" s="23" t="s">
        <v>4282</v>
      </c>
    </row>
    <row r="2158" ht="14.399999999999999" customHeight="1">
      <c r="A2158" s="23" t="s">
        <v>4283</v>
      </c>
      <c r="B2158" s="23" t="s">
        <v>4284</v>
      </c>
    </row>
    <row r="2159" ht="14.399999999999999" customHeight="1">
      <c r="A2159" s="23" t="s">
        <v>4285</v>
      </c>
      <c r="B2159" s="23" t="s">
        <v>4286</v>
      </c>
    </row>
    <row r="2160" ht="14.399999999999999" customHeight="1">
      <c r="A2160" s="23" t="s">
        <v>4287</v>
      </c>
      <c r="B2160" s="23" t="s">
        <v>4288</v>
      </c>
    </row>
    <row r="2161" ht="14.399999999999999" customHeight="1">
      <c r="A2161" s="23" t="s">
        <v>4289</v>
      </c>
      <c r="B2161" s="23" t="s">
        <v>4290</v>
      </c>
    </row>
    <row r="2162" ht="14.399999999999999" customHeight="1">
      <c r="A2162" s="23" t="s">
        <v>4291</v>
      </c>
      <c r="B2162" s="23" t="s">
        <v>4292</v>
      </c>
    </row>
    <row r="2163" ht="14.399999999999999" customHeight="1">
      <c r="A2163" s="23" t="s">
        <v>4293</v>
      </c>
      <c r="B2163" s="23" t="s">
        <v>4294</v>
      </c>
    </row>
    <row r="2164" ht="14.399999999999999" customHeight="1">
      <c r="A2164" s="23" t="s">
        <v>4295</v>
      </c>
      <c r="B2164" s="23" t="s">
        <v>4296</v>
      </c>
    </row>
    <row r="2165" ht="14.399999999999999" customHeight="1">
      <c r="A2165" s="23" t="s">
        <v>4297</v>
      </c>
      <c r="B2165" s="23" t="s">
        <v>4298</v>
      </c>
    </row>
    <row r="2166" ht="14.399999999999999" customHeight="1">
      <c r="A2166" s="23" t="s">
        <v>4299</v>
      </c>
      <c r="B2166" s="23" t="s">
        <v>4300</v>
      </c>
    </row>
    <row r="2167" ht="14.399999999999999" customHeight="1">
      <c r="A2167" s="23" t="s">
        <v>4301</v>
      </c>
      <c r="B2167" s="23" t="s">
        <v>4302</v>
      </c>
    </row>
    <row r="2168" ht="14.399999999999999" customHeight="1">
      <c r="A2168" s="23" t="s">
        <v>4303</v>
      </c>
      <c r="B2168" s="23" t="s">
        <v>4304</v>
      </c>
    </row>
    <row r="2169" ht="14.399999999999999" customHeight="1">
      <c r="A2169" s="23" t="s">
        <v>4305</v>
      </c>
      <c r="B2169" s="23" t="s">
        <v>4306</v>
      </c>
    </row>
    <row r="2170" ht="14.399999999999999" customHeight="1">
      <c r="A2170" s="23" t="s">
        <v>4307</v>
      </c>
      <c r="B2170" s="23" t="s">
        <v>4308</v>
      </c>
    </row>
    <row r="2171" ht="14.399999999999999" customHeight="1">
      <c r="A2171" s="23" t="s">
        <v>4309</v>
      </c>
      <c r="B2171" s="23" t="s">
        <v>4310</v>
      </c>
    </row>
    <row r="2172" ht="14.399999999999999" customHeight="1">
      <c r="A2172" s="23" t="s">
        <v>4311</v>
      </c>
      <c r="B2172" s="23" t="s">
        <v>4312</v>
      </c>
    </row>
    <row r="2173" ht="14.399999999999999" customHeight="1">
      <c r="A2173" s="23" t="s">
        <v>4313</v>
      </c>
      <c r="B2173" s="23" t="s">
        <v>4314</v>
      </c>
    </row>
    <row r="2174" ht="14.399999999999999" customHeight="1">
      <c r="A2174" s="23" t="s">
        <v>4315</v>
      </c>
      <c r="B2174" s="23" t="s">
        <v>4316</v>
      </c>
    </row>
    <row r="2175" ht="14.399999999999999" customHeight="1">
      <c r="A2175" s="23" t="s">
        <v>4317</v>
      </c>
      <c r="B2175" s="23" t="s">
        <v>4318</v>
      </c>
    </row>
    <row r="2176" ht="14.399999999999999" customHeight="1">
      <c r="A2176" s="23" t="s">
        <v>4319</v>
      </c>
      <c r="B2176" s="23" t="s">
        <v>4320</v>
      </c>
    </row>
    <row r="2177" ht="14.399999999999999" customHeight="1">
      <c r="A2177" s="23" t="s">
        <v>4321</v>
      </c>
      <c r="B2177" s="23" t="s">
        <v>4322</v>
      </c>
    </row>
    <row r="2178" ht="14.399999999999999" customHeight="1">
      <c r="A2178" s="23" t="s">
        <v>4323</v>
      </c>
      <c r="B2178" s="23" t="s">
        <v>4324</v>
      </c>
    </row>
    <row r="2179" ht="14.399999999999999" customHeight="1">
      <c r="A2179" s="23" t="s">
        <v>4325</v>
      </c>
      <c r="B2179" s="23" t="s">
        <v>4326</v>
      </c>
    </row>
    <row r="2180" ht="14.399999999999999" customHeight="1">
      <c r="A2180" s="23" t="s">
        <v>4327</v>
      </c>
      <c r="B2180" s="23" t="s">
        <v>4328</v>
      </c>
    </row>
    <row r="2181" ht="14.399999999999999" customHeight="1">
      <c r="A2181" s="23" t="s">
        <v>4329</v>
      </c>
      <c r="B2181" s="23" t="s">
        <v>4330</v>
      </c>
    </row>
    <row r="2182" ht="14.399999999999999" customHeight="1">
      <c r="A2182" s="23" t="s">
        <v>4331</v>
      </c>
      <c r="B2182" s="23" t="s">
        <v>4332</v>
      </c>
    </row>
    <row r="2183" ht="14.399999999999999" customHeight="1">
      <c r="A2183" s="23" t="s">
        <v>4333</v>
      </c>
      <c r="B2183" s="23" t="s">
        <v>4334</v>
      </c>
    </row>
    <row r="2184" ht="14.399999999999999" customHeight="1">
      <c r="A2184" s="23" t="s">
        <v>4335</v>
      </c>
      <c r="B2184" s="23" t="s">
        <v>4336</v>
      </c>
    </row>
    <row r="2185" ht="14.399999999999999" customHeight="1">
      <c r="A2185" s="23" t="s">
        <v>4337</v>
      </c>
      <c r="B2185" s="23" t="s">
        <v>4338</v>
      </c>
    </row>
    <row r="2186" ht="14.399999999999999" customHeight="1">
      <c r="A2186" s="23" t="s">
        <v>4339</v>
      </c>
      <c r="B2186" s="23" t="s">
        <v>4340</v>
      </c>
    </row>
    <row r="2187" ht="14.399999999999999" customHeight="1">
      <c r="A2187" s="23" t="s">
        <v>4341</v>
      </c>
      <c r="B2187" s="23" t="s">
        <v>4342</v>
      </c>
    </row>
    <row r="2188" ht="14.399999999999999" customHeight="1">
      <c r="A2188" s="23" t="s">
        <v>4343</v>
      </c>
      <c r="B2188" s="23" t="s">
        <v>4344</v>
      </c>
    </row>
    <row r="2189" ht="14.399999999999999" customHeight="1">
      <c r="A2189" s="23" t="s">
        <v>4345</v>
      </c>
      <c r="B2189" s="23" t="s">
        <v>4346</v>
      </c>
    </row>
    <row r="2190" ht="14.399999999999999" customHeight="1">
      <c r="A2190" s="23" t="s">
        <v>4347</v>
      </c>
      <c r="B2190" s="23" t="s">
        <v>4348</v>
      </c>
    </row>
    <row r="2191" ht="14.399999999999999" customHeight="1">
      <c r="A2191" s="23" t="s">
        <v>4349</v>
      </c>
      <c r="B2191" s="23" t="s">
        <v>4350</v>
      </c>
    </row>
    <row r="2192" ht="14.399999999999999" customHeight="1">
      <c r="A2192" s="23" t="s">
        <v>4351</v>
      </c>
      <c r="B2192" s="23" t="s">
        <v>4352</v>
      </c>
    </row>
    <row r="2193" ht="14.399999999999999" customHeight="1">
      <c r="A2193" s="23" t="s">
        <v>4353</v>
      </c>
      <c r="B2193" s="23" t="s">
        <v>4354</v>
      </c>
    </row>
    <row r="2194" ht="14.399999999999999" customHeight="1">
      <c r="A2194" s="23" t="s">
        <v>4355</v>
      </c>
      <c r="B2194" s="23" t="s">
        <v>4356</v>
      </c>
    </row>
    <row r="2195" ht="14.399999999999999" customHeight="1">
      <c r="A2195" s="23" t="s">
        <v>4357</v>
      </c>
      <c r="B2195" s="23" t="s">
        <v>4358</v>
      </c>
    </row>
    <row r="2196" ht="14.399999999999999" customHeight="1">
      <c r="A2196" s="23" t="s">
        <v>4359</v>
      </c>
      <c r="B2196" s="23" t="s">
        <v>4360</v>
      </c>
    </row>
    <row r="2197" ht="14.399999999999999" customHeight="1">
      <c r="A2197" s="23" t="s">
        <v>4361</v>
      </c>
      <c r="B2197" s="23" t="s">
        <v>4362</v>
      </c>
    </row>
    <row r="2198" ht="14.399999999999999" customHeight="1">
      <c r="A2198" s="23" t="s">
        <v>4363</v>
      </c>
      <c r="B2198" s="23" t="s">
        <v>4364</v>
      </c>
    </row>
    <row r="2199" ht="14.399999999999999" customHeight="1">
      <c r="A2199" s="23" t="s">
        <v>4365</v>
      </c>
      <c r="B2199" s="23" t="s">
        <v>4366</v>
      </c>
    </row>
    <row r="2200" ht="14.399999999999999" customHeight="1">
      <c r="A2200" s="23" t="s">
        <v>4367</v>
      </c>
      <c r="B2200" s="23" t="s">
        <v>4368</v>
      </c>
    </row>
    <row r="2201" ht="14.399999999999999" customHeight="1">
      <c r="A2201" s="23" t="s">
        <v>4369</v>
      </c>
      <c r="B2201" s="23" t="s">
        <v>4370</v>
      </c>
    </row>
    <row r="2202" ht="14.399999999999999" customHeight="1">
      <c r="A2202" s="23" t="s">
        <v>4371</v>
      </c>
      <c r="B2202" s="23" t="s">
        <v>4372</v>
      </c>
    </row>
    <row r="2203" ht="14.399999999999999" customHeight="1">
      <c r="A2203" s="23" t="s">
        <v>4373</v>
      </c>
      <c r="B2203" s="23" t="s">
        <v>4374</v>
      </c>
    </row>
    <row r="2204" ht="14.399999999999999" customHeight="1">
      <c r="A2204" s="23" t="s">
        <v>4375</v>
      </c>
      <c r="B2204" s="23" t="s">
        <v>4376</v>
      </c>
    </row>
    <row r="2205" ht="14.399999999999999" customHeight="1">
      <c r="A2205" s="23" t="s">
        <v>4377</v>
      </c>
      <c r="B2205" s="23" t="s">
        <v>4378</v>
      </c>
    </row>
    <row r="2206" ht="14.399999999999999" customHeight="1">
      <c r="A2206" s="23" t="s">
        <v>4379</v>
      </c>
      <c r="B2206" s="23" t="s">
        <v>4380</v>
      </c>
    </row>
    <row r="2207" ht="14.399999999999999" customHeight="1">
      <c r="A2207" s="23" t="s">
        <v>4381</v>
      </c>
      <c r="B2207" s="23" t="s">
        <v>4382</v>
      </c>
    </row>
    <row r="2208" ht="14.399999999999999" customHeight="1">
      <c r="A2208" s="23" t="s">
        <v>4383</v>
      </c>
      <c r="B2208" s="23" t="s">
        <v>4384</v>
      </c>
    </row>
    <row r="2209" ht="14.399999999999999" customHeight="1">
      <c r="A2209" s="23" t="s">
        <v>4385</v>
      </c>
      <c r="B2209" s="23" t="s">
        <v>4386</v>
      </c>
    </row>
    <row r="2210" ht="14.399999999999999" customHeight="1">
      <c r="A2210" s="23" t="s">
        <v>4387</v>
      </c>
      <c r="B2210" s="23" t="s">
        <v>4388</v>
      </c>
    </row>
    <row r="2211" ht="14.399999999999999" customHeight="1">
      <c r="A2211" s="23" t="s">
        <v>4389</v>
      </c>
      <c r="B2211" s="23" t="s">
        <v>4390</v>
      </c>
    </row>
    <row r="2212" ht="14.399999999999999" customHeight="1">
      <c r="A2212" s="23" t="s">
        <v>4391</v>
      </c>
      <c r="B2212" s="23" t="s">
        <v>4392</v>
      </c>
    </row>
    <row r="2213" ht="14.399999999999999" customHeight="1">
      <c r="A2213" s="23" t="s">
        <v>4393</v>
      </c>
      <c r="B2213" s="23" t="s">
        <v>4394</v>
      </c>
    </row>
    <row r="2214" ht="14.399999999999999" customHeight="1">
      <c r="A2214" s="23" t="s">
        <v>4395</v>
      </c>
      <c r="B2214" s="23" t="s">
        <v>4396</v>
      </c>
    </row>
    <row r="2215" ht="14.399999999999999" customHeight="1">
      <c r="A2215" s="23" t="s">
        <v>4397</v>
      </c>
      <c r="B2215" s="23" t="s">
        <v>4398</v>
      </c>
    </row>
    <row r="2216" ht="14.399999999999999" customHeight="1">
      <c r="A2216" s="23" t="s">
        <v>4399</v>
      </c>
      <c r="B2216" s="23" t="s">
        <v>4400</v>
      </c>
    </row>
    <row r="2217" ht="14.399999999999999" customHeight="1">
      <c r="A2217" s="23" t="s">
        <v>4401</v>
      </c>
      <c r="B2217" s="23" t="s">
        <v>4402</v>
      </c>
    </row>
    <row r="2218" ht="14.399999999999999" customHeight="1">
      <c r="A2218" s="23" t="s">
        <v>4403</v>
      </c>
      <c r="B2218" s="23" t="s">
        <v>4404</v>
      </c>
    </row>
    <row r="2219" ht="14.399999999999999" customHeight="1">
      <c r="A2219" s="23" t="s">
        <v>4405</v>
      </c>
      <c r="B2219" s="23" t="s">
        <v>4406</v>
      </c>
    </row>
    <row r="2220" ht="14.399999999999999" customHeight="1">
      <c r="A2220" s="23" t="s">
        <v>4407</v>
      </c>
      <c r="B2220" s="23" t="s">
        <v>4408</v>
      </c>
    </row>
    <row r="2221" ht="14.399999999999999" customHeight="1">
      <c r="A2221" s="23" t="s">
        <v>4409</v>
      </c>
      <c r="B2221" s="23" t="s">
        <v>4410</v>
      </c>
    </row>
    <row r="2222" ht="14.399999999999999" customHeight="1">
      <c r="A2222" s="23" t="s">
        <v>4411</v>
      </c>
      <c r="B2222" s="23" t="s">
        <v>4412</v>
      </c>
    </row>
    <row r="2223" ht="14.399999999999999" customHeight="1">
      <c r="A2223" s="23" t="s">
        <v>4413</v>
      </c>
      <c r="B2223" s="23" t="s">
        <v>4414</v>
      </c>
    </row>
    <row r="2224" ht="14.399999999999999" customHeight="1">
      <c r="A2224" s="23" t="s">
        <v>4415</v>
      </c>
      <c r="B2224" s="23" t="s">
        <v>4416</v>
      </c>
    </row>
    <row r="2225" ht="14.399999999999999" customHeight="1">
      <c r="A2225" s="23" t="s">
        <v>4417</v>
      </c>
      <c r="B2225" s="23" t="s">
        <v>4418</v>
      </c>
    </row>
    <row r="2226" ht="14.399999999999999" customHeight="1">
      <c r="A2226" s="23" t="s">
        <v>4419</v>
      </c>
      <c r="B2226" s="23" t="s">
        <v>4420</v>
      </c>
    </row>
    <row r="2227" ht="14.399999999999999" customHeight="1">
      <c r="A2227" s="23" t="s">
        <v>4421</v>
      </c>
      <c r="B2227" s="23" t="s">
        <v>4422</v>
      </c>
    </row>
    <row r="2228" ht="14.399999999999999" customHeight="1">
      <c r="A2228" s="23" t="s">
        <v>4423</v>
      </c>
      <c r="B2228" s="23" t="s">
        <v>4424</v>
      </c>
    </row>
    <row r="2229" ht="14.399999999999999" customHeight="1">
      <c r="A2229" s="23" t="s">
        <v>4425</v>
      </c>
      <c r="B2229" s="23" t="s">
        <v>4426</v>
      </c>
    </row>
    <row r="2230" ht="14.399999999999999" customHeight="1">
      <c r="A2230" s="23" t="s">
        <v>4427</v>
      </c>
      <c r="B2230" s="23" t="s">
        <v>4428</v>
      </c>
    </row>
    <row r="2231" ht="14.399999999999999" customHeight="1">
      <c r="A2231" s="23" t="s">
        <v>4429</v>
      </c>
      <c r="B2231" s="23" t="s">
        <v>4430</v>
      </c>
    </row>
    <row r="2232" ht="14.399999999999999" customHeight="1">
      <c r="A2232" s="23" t="s">
        <v>4431</v>
      </c>
      <c r="B2232" s="23" t="s">
        <v>4432</v>
      </c>
    </row>
    <row r="2233" ht="14.399999999999999" customHeight="1">
      <c r="A2233" s="23" t="s">
        <v>4433</v>
      </c>
      <c r="B2233" s="23" t="s">
        <v>4434</v>
      </c>
    </row>
    <row r="2234" ht="14.399999999999999" customHeight="1">
      <c r="A2234" s="23" t="s">
        <v>4435</v>
      </c>
      <c r="B2234" s="23" t="s">
        <v>4436</v>
      </c>
    </row>
    <row r="2235" ht="14.399999999999999" customHeight="1">
      <c r="A2235" s="23" t="s">
        <v>4437</v>
      </c>
      <c r="B2235" s="23" t="s">
        <v>4438</v>
      </c>
    </row>
    <row r="2236" ht="14.399999999999999" customHeight="1">
      <c r="A2236" s="23" t="s">
        <v>4439</v>
      </c>
      <c r="B2236" s="23" t="s">
        <v>4440</v>
      </c>
    </row>
    <row r="2237" ht="14.399999999999999" customHeight="1">
      <c r="A2237" s="23" t="s">
        <v>4441</v>
      </c>
      <c r="B2237" s="23" t="s">
        <v>4442</v>
      </c>
    </row>
    <row r="2238" ht="14.399999999999999" customHeight="1">
      <c r="A2238" s="23" t="s">
        <v>4443</v>
      </c>
      <c r="B2238" s="23" t="s">
        <v>4444</v>
      </c>
    </row>
    <row r="2239" ht="14.399999999999999" customHeight="1">
      <c r="A2239" s="23" t="s">
        <v>4445</v>
      </c>
      <c r="B2239" s="23" t="s">
        <v>4446</v>
      </c>
    </row>
    <row r="2240" ht="14.399999999999999" customHeight="1">
      <c r="A2240" s="23" t="s">
        <v>4447</v>
      </c>
      <c r="B2240" s="23" t="s">
        <v>4448</v>
      </c>
    </row>
    <row r="2241" ht="14.399999999999999" customHeight="1">
      <c r="A2241" s="23" t="s">
        <v>4449</v>
      </c>
      <c r="B2241" s="23" t="s">
        <v>4450</v>
      </c>
    </row>
    <row r="2242" ht="14.399999999999999" customHeight="1">
      <c r="A2242" s="23" t="s">
        <v>4451</v>
      </c>
      <c r="B2242" s="23" t="s">
        <v>4452</v>
      </c>
    </row>
    <row r="2243" ht="14.399999999999999" customHeight="1">
      <c r="A2243" s="23" t="s">
        <v>4453</v>
      </c>
      <c r="B2243" s="23" t="s">
        <v>4454</v>
      </c>
    </row>
    <row r="2244" ht="14.399999999999999" customHeight="1">
      <c r="A2244" s="23" t="s">
        <v>4455</v>
      </c>
      <c r="B2244" s="23" t="s">
        <v>4456</v>
      </c>
    </row>
    <row r="2245" ht="14.399999999999999" customHeight="1">
      <c r="A2245" s="23" t="s">
        <v>4457</v>
      </c>
      <c r="B2245" s="23" t="s">
        <v>4458</v>
      </c>
    </row>
    <row r="2246" ht="14.399999999999999" customHeight="1">
      <c r="A2246" s="23" t="s">
        <v>4459</v>
      </c>
      <c r="B2246" s="23" t="s">
        <v>4460</v>
      </c>
    </row>
    <row r="2247" ht="14.399999999999999" customHeight="1">
      <c r="A2247" s="23" t="s">
        <v>4461</v>
      </c>
      <c r="B2247" s="23" t="s">
        <v>4462</v>
      </c>
    </row>
    <row r="2248" ht="14.399999999999999" customHeight="1">
      <c r="A2248" s="23" t="s">
        <v>4463</v>
      </c>
      <c r="B2248" s="23" t="s">
        <v>4464</v>
      </c>
    </row>
    <row r="2249" ht="14.399999999999999" customHeight="1">
      <c r="A2249" s="23" t="s">
        <v>4465</v>
      </c>
      <c r="B2249" s="23" t="s">
        <v>4466</v>
      </c>
    </row>
    <row r="2250" ht="14.399999999999999" customHeight="1">
      <c r="A2250" s="23" t="s">
        <v>4467</v>
      </c>
      <c r="B2250" s="23" t="s">
        <v>4468</v>
      </c>
    </row>
    <row r="2251" ht="14.399999999999999" customHeight="1">
      <c r="A2251" s="23" t="s">
        <v>4469</v>
      </c>
      <c r="B2251" s="23" t="s">
        <v>4470</v>
      </c>
    </row>
    <row r="2252" ht="14.399999999999999" customHeight="1">
      <c r="A2252" s="23" t="s">
        <v>4471</v>
      </c>
      <c r="B2252" s="23" t="s">
        <v>4472</v>
      </c>
    </row>
    <row r="2253" ht="14.399999999999999" customHeight="1">
      <c r="A2253" s="23" t="s">
        <v>4473</v>
      </c>
      <c r="B2253" s="23" t="s">
        <v>4474</v>
      </c>
    </row>
    <row r="2254" ht="14.399999999999999" customHeight="1">
      <c r="A2254" s="23" t="s">
        <v>4475</v>
      </c>
      <c r="B2254" s="23" t="s">
        <v>4476</v>
      </c>
    </row>
    <row r="2255" ht="14.399999999999999" customHeight="1">
      <c r="A2255" s="23" t="s">
        <v>4477</v>
      </c>
      <c r="B2255" s="23" t="s">
        <v>4478</v>
      </c>
    </row>
    <row r="2256" ht="14.399999999999999" customHeight="1">
      <c r="A2256" s="23" t="s">
        <v>4479</v>
      </c>
      <c r="B2256" s="23" t="s">
        <v>4480</v>
      </c>
    </row>
    <row r="2257" ht="14.399999999999999" customHeight="1">
      <c r="A2257" s="23" t="s">
        <v>4481</v>
      </c>
      <c r="B2257" s="23" t="s">
        <v>4482</v>
      </c>
    </row>
    <row r="2258" ht="14.399999999999999" customHeight="1">
      <c r="A2258" s="23" t="s">
        <v>4483</v>
      </c>
      <c r="B2258" s="23" t="s">
        <v>4484</v>
      </c>
    </row>
    <row r="2259" ht="14.399999999999999" customHeight="1">
      <c r="A2259" s="23" t="s">
        <v>4485</v>
      </c>
      <c r="B2259" s="23" t="s">
        <v>4486</v>
      </c>
    </row>
    <row r="2260" ht="14.399999999999999" customHeight="1">
      <c r="A2260" s="23" t="s">
        <v>4487</v>
      </c>
      <c r="B2260" s="23" t="s">
        <v>4488</v>
      </c>
    </row>
    <row r="2261" ht="14.399999999999999" customHeight="1">
      <c r="A2261" s="23" t="s">
        <v>4489</v>
      </c>
      <c r="B2261" s="23" t="s">
        <v>4490</v>
      </c>
    </row>
    <row r="2262" ht="14.399999999999999" customHeight="1">
      <c r="A2262" s="23" t="s">
        <v>4491</v>
      </c>
      <c r="B2262" s="23" t="s">
        <v>4492</v>
      </c>
    </row>
    <row r="2263" ht="14.399999999999999" customHeight="1">
      <c r="A2263" s="23" t="s">
        <v>4493</v>
      </c>
      <c r="B2263" s="23" t="s">
        <v>4494</v>
      </c>
    </row>
    <row r="2264" ht="14.399999999999999" customHeight="1">
      <c r="A2264" s="23" t="s">
        <v>4495</v>
      </c>
      <c r="B2264" s="23" t="s">
        <v>4496</v>
      </c>
    </row>
    <row r="2265" ht="14.399999999999999" customHeight="1">
      <c r="A2265" s="23" t="s">
        <v>4497</v>
      </c>
      <c r="B2265" s="23" t="s">
        <v>4498</v>
      </c>
    </row>
    <row r="2266" ht="14.399999999999999" customHeight="1">
      <c r="A2266" s="23" t="s">
        <v>4499</v>
      </c>
      <c r="B2266" s="23" t="s">
        <v>4500</v>
      </c>
    </row>
    <row r="2267" ht="14.399999999999999" customHeight="1">
      <c r="A2267" s="23" t="s">
        <v>4501</v>
      </c>
      <c r="B2267" s="23" t="s">
        <v>4502</v>
      </c>
    </row>
    <row r="2268" ht="14.399999999999999" customHeight="1">
      <c r="A2268" s="23" t="s">
        <v>4503</v>
      </c>
      <c r="B2268" s="23" t="s">
        <v>4504</v>
      </c>
    </row>
    <row r="2269" ht="14.399999999999999" customHeight="1">
      <c r="A2269" s="23" t="s">
        <v>4505</v>
      </c>
      <c r="B2269" s="23" t="s">
        <v>4506</v>
      </c>
    </row>
    <row r="2270" ht="14.399999999999999" customHeight="1">
      <c r="A2270" s="23" t="s">
        <v>4507</v>
      </c>
      <c r="B2270" s="23" t="s">
        <v>4508</v>
      </c>
    </row>
    <row r="2271" ht="14.399999999999999" customHeight="1">
      <c r="A2271" s="23" t="s">
        <v>4509</v>
      </c>
      <c r="B2271" s="23" t="s">
        <v>4510</v>
      </c>
    </row>
    <row r="2272" ht="14.399999999999999" customHeight="1">
      <c r="A2272" s="23" t="s">
        <v>4511</v>
      </c>
      <c r="B2272" s="23" t="s">
        <v>4512</v>
      </c>
    </row>
    <row r="2273" ht="14.399999999999999" customHeight="1">
      <c r="A2273" s="23" t="s">
        <v>4513</v>
      </c>
      <c r="B2273" s="23" t="s">
        <v>4514</v>
      </c>
    </row>
    <row r="2274" ht="14.399999999999999" customHeight="1">
      <c r="A2274" s="23" t="s">
        <v>4515</v>
      </c>
      <c r="B2274" s="23" t="s">
        <v>4516</v>
      </c>
    </row>
    <row r="2275" ht="14.399999999999999" customHeight="1">
      <c r="A2275" s="23" t="s">
        <v>4517</v>
      </c>
      <c r="B2275" s="23" t="s">
        <v>4518</v>
      </c>
    </row>
    <row r="2276" ht="14.399999999999999" customHeight="1">
      <c r="A2276" s="23" t="s">
        <v>4519</v>
      </c>
      <c r="B2276" s="23" t="s">
        <v>4520</v>
      </c>
    </row>
    <row r="2277" ht="14.399999999999999" customHeight="1">
      <c r="A2277" s="23" t="s">
        <v>4521</v>
      </c>
      <c r="B2277" s="23" t="s">
        <v>4522</v>
      </c>
    </row>
    <row r="2278" ht="14.399999999999999" customHeight="1">
      <c r="A2278" s="23" t="s">
        <v>4523</v>
      </c>
      <c r="B2278" s="23" t="s">
        <v>4524</v>
      </c>
    </row>
    <row r="2279" ht="14.399999999999999" customHeight="1">
      <c r="A2279" s="23" t="s">
        <v>4525</v>
      </c>
      <c r="B2279" s="23" t="s">
        <v>4526</v>
      </c>
    </row>
    <row r="2280" ht="14.399999999999999" customHeight="1">
      <c r="A2280" s="23" t="s">
        <v>4527</v>
      </c>
      <c r="B2280" s="23" t="s">
        <v>4528</v>
      </c>
    </row>
    <row r="2281" s="20" customFormat="1" ht="14.399999999999999" customHeight="1">
      <c r="A2281" s="23" t="s">
        <v>4529</v>
      </c>
      <c r="B2281" s="23" t="s">
        <v>4530</v>
      </c>
    </row>
    <row r="2282" s="20" customFormat="1" ht="14.399999999999999" customHeight="1">
      <c r="A2282" s="23" t="s">
        <v>4531</v>
      </c>
      <c r="B2282" s="23" t="s">
        <v>4532</v>
      </c>
    </row>
    <row r="2283" ht="14.399999999999999" customHeight="1">
      <c r="A2283" s="23" t="s">
        <v>4533</v>
      </c>
      <c r="B2283" s="23" t="s">
        <v>4534</v>
      </c>
    </row>
    <row r="2284" ht="14.399999999999999" customHeight="1">
      <c r="A2284" s="23" t="s">
        <v>4535</v>
      </c>
      <c r="B2284" s="23" t="s">
        <v>4536</v>
      </c>
    </row>
    <row r="2285" ht="14.399999999999999" customHeight="1">
      <c r="A2285" s="23" t="s">
        <v>4537</v>
      </c>
      <c r="B2285" s="23" t="s">
        <v>4538</v>
      </c>
    </row>
    <row r="2286" ht="14.399999999999999" customHeight="1">
      <c r="A2286" s="23" t="s">
        <v>4539</v>
      </c>
      <c r="B2286" s="23" t="s">
        <v>4540</v>
      </c>
    </row>
    <row r="2287" ht="14.399999999999999" customHeight="1">
      <c r="A2287" s="23" t="s">
        <v>4541</v>
      </c>
      <c r="B2287" s="23" t="s">
        <v>4542</v>
      </c>
    </row>
    <row r="2288" ht="14.399999999999999" customHeight="1">
      <c r="A2288" s="23" t="s">
        <v>4543</v>
      </c>
      <c r="B2288" s="23" t="s">
        <v>4544</v>
      </c>
    </row>
    <row r="2289" ht="14.399999999999999" customHeight="1">
      <c r="A2289" s="23" t="s">
        <v>4545</v>
      </c>
      <c r="B2289" s="23" t="s">
        <v>4546</v>
      </c>
    </row>
    <row r="2290" ht="14.399999999999999" customHeight="1">
      <c r="A2290" s="23" t="s">
        <v>4547</v>
      </c>
      <c r="B2290" s="23" t="s">
        <v>4548</v>
      </c>
    </row>
    <row r="2291" ht="14.399999999999999" customHeight="1">
      <c r="A2291" s="23" t="s">
        <v>4549</v>
      </c>
      <c r="B2291" s="23" t="s">
        <v>4550</v>
      </c>
    </row>
    <row r="2292" ht="14.399999999999999" customHeight="1">
      <c r="A2292" s="23" t="s">
        <v>4551</v>
      </c>
      <c r="B2292" s="23" t="s">
        <v>4552</v>
      </c>
    </row>
    <row r="2293" ht="14.399999999999999" customHeight="1">
      <c r="A2293" s="23" t="s">
        <v>4553</v>
      </c>
      <c r="B2293" s="23" t="s">
        <v>4554</v>
      </c>
    </row>
    <row r="2294" s="20" customFormat="1" ht="14.399999999999999" customHeight="1">
      <c r="A2294" s="23" t="s">
        <v>4555</v>
      </c>
      <c r="B2294" s="23" t="s">
        <v>4556</v>
      </c>
    </row>
    <row r="2295" s="20" customFormat="1" ht="14.399999999999999" customHeight="1">
      <c r="A2295" s="23" t="s">
        <v>4557</v>
      </c>
      <c r="B2295" s="23" t="s">
        <v>4558</v>
      </c>
    </row>
    <row r="2296" ht="14.399999999999999" customHeight="1">
      <c r="A2296" s="23" t="s">
        <v>4559</v>
      </c>
      <c r="B2296" s="23" t="s">
        <v>4560</v>
      </c>
    </row>
    <row r="2297" ht="14.399999999999999" customHeight="1">
      <c r="A2297" s="23" t="s">
        <v>4561</v>
      </c>
      <c r="B2297" s="23" t="s">
        <v>4562</v>
      </c>
    </row>
    <row r="2298" ht="14.399999999999999" customHeight="1">
      <c r="A2298" s="23" t="s">
        <v>4563</v>
      </c>
      <c r="B2298" s="23" t="s">
        <v>4564</v>
      </c>
    </row>
    <row r="2299" ht="14.399999999999999" customHeight="1">
      <c r="A2299" s="23" t="s">
        <v>4565</v>
      </c>
      <c r="B2299" s="23" t="s">
        <v>4566</v>
      </c>
    </row>
    <row r="2300" ht="14.399999999999999" customHeight="1">
      <c r="A2300" s="23" t="s">
        <v>4567</v>
      </c>
      <c r="B2300" s="23" t="s">
        <v>4568</v>
      </c>
    </row>
    <row r="2301" ht="14.399999999999999" customHeight="1">
      <c r="A2301" s="23" t="s">
        <v>4569</v>
      </c>
      <c r="B2301" s="23" t="s">
        <v>4570</v>
      </c>
    </row>
    <row r="2302" ht="14.399999999999999" customHeight="1">
      <c r="A2302" s="23" t="s">
        <v>4571</v>
      </c>
      <c r="B2302" s="23" t="s">
        <v>4572</v>
      </c>
    </row>
    <row r="2303" ht="14.399999999999999" customHeight="1">
      <c r="A2303" s="23" t="s">
        <v>4573</v>
      </c>
      <c r="B2303" s="23" t="s">
        <v>4574</v>
      </c>
    </row>
    <row r="2304" ht="14.399999999999999" customHeight="1">
      <c r="A2304" s="23" t="s">
        <v>4575</v>
      </c>
      <c r="B2304" s="23" t="s">
        <v>4576</v>
      </c>
    </row>
    <row r="2305" ht="14.399999999999999" customHeight="1">
      <c r="A2305" s="23" t="s">
        <v>4577</v>
      </c>
      <c r="B2305" s="23" t="s">
        <v>4578</v>
      </c>
    </row>
    <row r="2306" ht="14.399999999999999" customHeight="1">
      <c r="A2306" s="23" t="s">
        <v>4579</v>
      </c>
      <c r="B2306" s="23" t="s">
        <v>4580</v>
      </c>
    </row>
    <row r="2307" ht="14.399999999999999" customHeight="1">
      <c r="A2307" s="23" t="s">
        <v>4581</v>
      </c>
      <c r="B2307" s="23" t="s">
        <v>4582</v>
      </c>
    </row>
    <row r="2308" ht="14.399999999999999" customHeight="1">
      <c r="A2308" s="23" t="s">
        <v>4583</v>
      </c>
      <c r="B2308" s="23" t="s">
        <v>4584</v>
      </c>
    </row>
    <row r="2309" ht="14.399999999999999" customHeight="1">
      <c r="A2309" s="23" t="s">
        <v>4585</v>
      </c>
      <c r="B2309" s="23" t="s">
        <v>4586</v>
      </c>
    </row>
    <row r="2310" ht="14.399999999999999" customHeight="1">
      <c r="A2310" s="23" t="s">
        <v>4587</v>
      </c>
      <c r="B2310" s="23" t="s">
        <v>4588</v>
      </c>
    </row>
    <row r="2311" s="20" customFormat="1" ht="14.399999999999999" customHeight="1">
      <c r="A2311" s="23" t="s">
        <v>4589</v>
      </c>
      <c r="B2311" s="23" t="s">
        <v>4590</v>
      </c>
    </row>
    <row r="2312" ht="14.399999999999999" customHeight="1">
      <c r="A2312" s="23" t="s">
        <v>4591</v>
      </c>
      <c r="B2312" s="23" t="s">
        <v>4592</v>
      </c>
    </row>
    <row r="2313" ht="14.399999999999999" customHeight="1">
      <c r="A2313" s="23" t="s">
        <v>4593</v>
      </c>
      <c r="B2313" s="23" t="s">
        <v>4594</v>
      </c>
    </row>
    <row r="2314" ht="14.399999999999999" customHeight="1">
      <c r="A2314" s="23" t="s">
        <v>4595</v>
      </c>
      <c r="B2314" s="23" t="s">
        <v>4596</v>
      </c>
    </row>
    <row r="2315" ht="14.399999999999999" customHeight="1">
      <c r="A2315" s="23" t="s">
        <v>4597</v>
      </c>
      <c r="B2315" s="23" t="s">
        <v>4598</v>
      </c>
    </row>
    <row r="2316" ht="14.399999999999999" customHeight="1">
      <c r="A2316" s="23" t="s">
        <v>4599</v>
      </c>
      <c r="B2316" s="23" t="s">
        <v>4600</v>
      </c>
    </row>
    <row r="2317" ht="14.399999999999999" customHeight="1">
      <c r="A2317" s="23" t="s">
        <v>4601</v>
      </c>
      <c r="B2317" s="23" t="s">
        <v>4602</v>
      </c>
    </row>
    <row r="2318" ht="14.399999999999999" customHeight="1">
      <c r="A2318" s="23" t="s">
        <v>4603</v>
      </c>
      <c r="B2318" s="23" t="s">
        <v>4604</v>
      </c>
    </row>
    <row r="2319" ht="14.399999999999999" customHeight="1">
      <c r="A2319" s="23" t="s">
        <v>4605</v>
      </c>
      <c r="B2319" s="23" t="s">
        <v>4606</v>
      </c>
    </row>
    <row r="2320" ht="14.399999999999999" customHeight="1">
      <c r="A2320" s="23" t="s">
        <v>4607</v>
      </c>
      <c r="B2320" s="23" t="s">
        <v>4608</v>
      </c>
    </row>
    <row r="2321" ht="14.399999999999999" customHeight="1">
      <c r="A2321" s="23" t="s">
        <v>4609</v>
      </c>
      <c r="B2321" s="23" t="s">
        <v>4610</v>
      </c>
    </row>
    <row r="2322" ht="14.399999999999999" customHeight="1">
      <c r="A2322" s="23" t="s">
        <v>4611</v>
      </c>
      <c r="B2322" s="23" t="s">
        <v>4612</v>
      </c>
    </row>
    <row r="2323" ht="14.399999999999999" customHeight="1">
      <c r="A2323" s="23" t="s">
        <v>4613</v>
      </c>
      <c r="B2323" s="23" t="s">
        <v>4614</v>
      </c>
    </row>
    <row r="2324" ht="14.399999999999999" customHeight="1">
      <c r="A2324" s="23" t="s">
        <v>4615</v>
      </c>
      <c r="B2324" s="23" t="s">
        <v>4616</v>
      </c>
    </row>
    <row r="2325" ht="14.399999999999999" customHeight="1">
      <c r="A2325" s="23" t="s">
        <v>4617</v>
      </c>
      <c r="B2325" s="23" t="s">
        <v>4618</v>
      </c>
    </row>
    <row r="2326" ht="14.399999999999999" customHeight="1">
      <c r="A2326" s="23" t="s">
        <v>4619</v>
      </c>
      <c r="B2326" s="23" t="s">
        <v>4620</v>
      </c>
    </row>
    <row r="2327" ht="14.399999999999999" customHeight="1">
      <c r="A2327" s="23" t="s">
        <v>4621</v>
      </c>
      <c r="B2327" s="23" t="s">
        <v>4622</v>
      </c>
    </row>
    <row r="2328" ht="14.399999999999999" customHeight="1">
      <c r="A2328" s="23" t="s">
        <v>4623</v>
      </c>
      <c r="B2328" s="23" t="s">
        <v>4624</v>
      </c>
    </row>
    <row r="2329" ht="14.399999999999999" customHeight="1">
      <c r="A2329" s="23" t="s">
        <v>4625</v>
      </c>
      <c r="B2329" s="23" t="s">
        <v>4626</v>
      </c>
    </row>
    <row r="2330" ht="14.399999999999999" customHeight="1">
      <c r="A2330" s="23" t="s">
        <v>4627</v>
      </c>
      <c r="B2330" s="23" t="s">
        <v>4628</v>
      </c>
    </row>
    <row r="2331" ht="14.399999999999999" customHeight="1">
      <c r="A2331" s="23" t="s">
        <v>4629</v>
      </c>
      <c r="B2331" s="23" t="s">
        <v>4630</v>
      </c>
    </row>
    <row r="2332" ht="14.399999999999999" customHeight="1">
      <c r="A2332" s="23" t="s">
        <v>4631</v>
      </c>
      <c r="B2332" s="23" t="s">
        <v>4632</v>
      </c>
    </row>
    <row r="2333" ht="14.399999999999999" customHeight="1">
      <c r="A2333" s="23" t="s">
        <v>4633</v>
      </c>
      <c r="B2333" s="23" t="s">
        <v>4634</v>
      </c>
    </row>
    <row r="2334" ht="14.399999999999999" customHeight="1">
      <c r="A2334" s="23" t="s">
        <v>4635</v>
      </c>
      <c r="B2334" s="23" t="s">
        <v>4636</v>
      </c>
    </row>
    <row r="2335" ht="14.399999999999999" customHeight="1">
      <c r="A2335" s="23" t="s">
        <v>4637</v>
      </c>
      <c r="B2335" s="23" t="s">
        <v>4638</v>
      </c>
    </row>
    <row r="2336" ht="14.399999999999999" customHeight="1">
      <c r="A2336" s="23" t="s">
        <v>4639</v>
      </c>
      <c r="B2336" s="23" t="s">
        <v>4640</v>
      </c>
    </row>
    <row r="2337" ht="14.399999999999999" customHeight="1">
      <c r="A2337" s="23" t="s">
        <v>4641</v>
      </c>
      <c r="B2337" s="23" t="s">
        <v>4642</v>
      </c>
    </row>
    <row r="2338" ht="14.399999999999999" customHeight="1">
      <c r="A2338" s="23" t="s">
        <v>4643</v>
      </c>
      <c r="B2338" s="23" t="s">
        <v>4644</v>
      </c>
    </row>
    <row r="2339" ht="14.399999999999999" customHeight="1">
      <c r="A2339" s="23" t="s">
        <v>4645</v>
      </c>
      <c r="B2339" s="23" t="s">
        <v>4646</v>
      </c>
    </row>
    <row r="2340" ht="14.399999999999999" customHeight="1">
      <c r="A2340" s="23" t="s">
        <v>4647</v>
      </c>
      <c r="B2340" s="23" t="s">
        <v>4648</v>
      </c>
    </row>
    <row r="2341" ht="14.399999999999999" customHeight="1">
      <c r="A2341" s="23" t="s">
        <v>4649</v>
      </c>
      <c r="B2341" s="23" t="s">
        <v>4650</v>
      </c>
    </row>
    <row r="2342" ht="14.399999999999999" customHeight="1">
      <c r="A2342" s="23" t="s">
        <v>4651</v>
      </c>
      <c r="B2342" s="23" t="s">
        <v>4652</v>
      </c>
    </row>
    <row r="2343" ht="14.399999999999999" customHeight="1">
      <c r="A2343" s="23" t="s">
        <v>4653</v>
      </c>
      <c r="B2343" s="23" t="s">
        <v>4654</v>
      </c>
    </row>
    <row r="2344" ht="14.399999999999999" customHeight="1">
      <c r="A2344" s="23" t="s">
        <v>4655</v>
      </c>
      <c r="B2344" s="23" t="s">
        <v>4656</v>
      </c>
    </row>
    <row r="2345" ht="14.399999999999999" customHeight="1">
      <c r="A2345" s="23" t="s">
        <v>4657</v>
      </c>
      <c r="B2345" s="23" t="s">
        <v>4658</v>
      </c>
    </row>
    <row r="2346" ht="14.399999999999999" customHeight="1">
      <c r="A2346" s="23" t="s">
        <v>4659</v>
      </c>
      <c r="B2346" s="23" t="s">
        <v>4660</v>
      </c>
    </row>
    <row r="2347" ht="14.399999999999999" customHeight="1">
      <c r="A2347" s="23" t="s">
        <v>4661</v>
      </c>
      <c r="B2347" s="23" t="s">
        <v>4662</v>
      </c>
    </row>
    <row r="2348" ht="14.399999999999999" customHeight="1">
      <c r="A2348" s="23" t="s">
        <v>4663</v>
      </c>
      <c r="B2348" s="23" t="s">
        <v>4664</v>
      </c>
    </row>
    <row r="2349" ht="14.399999999999999" customHeight="1">
      <c r="A2349" s="23" t="s">
        <v>4665</v>
      </c>
      <c r="B2349" s="23" t="s">
        <v>4666</v>
      </c>
    </row>
    <row r="2350" ht="14.399999999999999" customHeight="1">
      <c r="A2350" s="23" t="s">
        <v>4667</v>
      </c>
      <c r="B2350" s="23" t="s">
        <v>4668</v>
      </c>
    </row>
    <row r="2351" ht="14.399999999999999" customHeight="1">
      <c r="A2351" s="23" t="s">
        <v>4669</v>
      </c>
      <c r="B2351" s="23" t="s">
        <v>4670</v>
      </c>
    </row>
    <row r="2352" ht="14.399999999999999" customHeight="1">
      <c r="A2352" s="23" t="s">
        <v>4671</v>
      </c>
      <c r="B2352" s="23" t="s">
        <v>4672</v>
      </c>
    </row>
    <row r="2353" ht="14.399999999999999" customHeight="1">
      <c r="A2353" s="23" t="s">
        <v>4673</v>
      </c>
      <c r="B2353" s="23" t="s">
        <v>4674</v>
      </c>
    </row>
    <row r="2354" ht="14.399999999999999" customHeight="1">
      <c r="A2354" s="23" t="s">
        <v>4675</v>
      </c>
      <c r="B2354" s="23" t="s">
        <v>4676</v>
      </c>
    </row>
    <row r="2355" ht="14.399999999999999" customHeight="1">
      <c r="A2355" s="23" t="s">
        <v>4677</v>
      </c>
      <c r="B2355" s="23" t="s">
        <v>4678</v>
      </c>
    </row>
    <row r="2356" ht="14.399999999999999" customHeight="1">
      <c r="A2356" s="23" t="s">
        <v>4679</v>
      </c>
      <c r="B2356" s="23" t="s">
        <v>4680</v>
      </c>
    </row>
    <row r="2357" ht="14.399999999999999" customHeight="1">
      <c r="A2357" s="23" t="s">
        <v>4681</v>
      </c>
      <c r="B2357" s="23" t="s">
        <v>4682</v>
      </c>
    </row>
    <row r="2358" ht="14.399999999999999" customHeight="1">
      <c r="A2358" s="23" t="s">
        <v>4683</v>
      </c>
      <c r="B2358" s="23" t="s">
        <v>4684</v>
      </c>
    </row>
    <row r="2359" ht="14.399999999999999" customHeight="1">
      <c r="A2359" s="23" t="s">
        <v>4685</v>
      </c>
      <c r="B2359" s="23" t="s">
        <v>4686</v>
      </c>
    </row>
    <row r="2360" ht="14.399999999999999" customHeight="1">
      <c r="A2360" s="23" t="s">
        <v>4687</v>
      </c>
      <c r="B2360" s="23" t="s">
        <v>4688</v>
      </c>
    </row>
    <row r="2361" ht="14.399999999999999" customHeight="1">
      <c r="A2361" s="23" t="s">
        <v>4689</v>
      </c>
      <c r="B2361" s="23" t="s">
        <v>4690</v>
      </c>
    </row>
    <row r="2362" ht="14.399999999999999" customHeight="1">
      <c r="A2362" s="23" t="s">
        <v>4691</v>
      </c>
      <c r="B2362" s="23" t="s">
        <v>4692</v>
      </c>
    </row>
    <row r="2363" ht="14.399999999999999" customHeight="1">
      <c r="A2363" s="23" t="s">
        <v>4693</v>
      </c>
      <c r="B2363" s="23" t="s">
        <v>4694</v>
      </c>
    </row>
    <row r="2364" ht="14.399999999999999" customHeight="1">
      <c r="A2364" s="23" t="s">
        <v>4695</v>
      </c>
      <c r="B2364" s="23" t="s">
        <v>4696</v>
      </c>
    </row>
    <row r="2365" ht="14.399999999999999" customHeight="1">
      <c r="A2365" s="23" t="s">
        <v>4697</v>
      </c>
      <c r="B2365" s="23" t="s">
        <v>4698</v>
      </c>
    </row>
    <row r="2366" ht="14.399999999999999" customHeight="1">
      <c r="A2366" s="23" t="s">
        <v>4699</v>
      </c>
      <c r="B2366" s="23" t="s">
        <v>4700</v>
      </c>
    </row>
    <row r="2367" ht="14.399999999999999" customHeight="1">
      <c r="A2367" s="23" t="s">
        <v>4701</v>
      </c>
      <c r="B2367" s="23" t="s">
        <v>4702</v>
      </c>
    </row>
    <row r="2368" ht="14.399999999999999" customHeight="1">
      <c r="A2368" s="23" t="s">
        <v>4703</v>
      </c>
      <c r="B2368" s="23" t="s">
        <v>4704</v>
      </c>
    </row>
    <row r="2369" ht="14.399999999999999" customHeight="1">
      <c r="A2369" s="23" t="s">
        <v>4705</v>
      </c>
      <c r="B2369" s="23" t="s">
        <v>4706</v>
      </c>
    </row>
    <row r="2370" ht="14.399999999999999" customHeight="1">
      <c r="A2370" s="23" t="s">
        <v>4707</v>
      </c>
      <c r="B2370" s="23" t="s">
        <v>4708</v>
      </c>
    </row>
    <row r="2371" ht="14.399999999999999" customHeight="1">
      <c r="A2371" s="23" t="s">
        <v>4709</v>
      </c>
      <c r="B2371" s="23" t="s">
        <v>4710</v>
      </c>
    </row>
    <row r="2372" ht="14.399999999999999" customHeight="1">
      <c r="A2372" s="23" t="s">
        <v>4711</v>
      </c>
      <c r="B2372" s="23" t="s">
        <v>4712</v>
      </c>
    </row>
    <row r="2373" ht="14.399999999999999" customHeight="1">
      <c r="A2373" s="23" t="s">
        <v>4713</v>
      </c>
      <c r="B2373" s="23" t="s">
        <v>4714</v>
      </c>
    </row>
    <row r="2374" ht="14.399999999999999" customHeight="1">
      <c r="A2374" s="23" t="s">
        <v>4715</v>
      </c>
      <c r="B2374" s="23" t="s">
        <v>4716</v>
      </c>
    </row>
    <row r="2375" ht="14.399999999999999" customHeight="1">
      <c r="A2375" s="23" t="s">
        <v>4717</v>
      </c>
      <c r="B2375" s="23" t="s">
        <v>4718</v>
      </c>
    </row>
    <row r="2376" ht="14.399999999999999" customHeight="1">
      <c r="A2376" s="23" t="s">
        <v>4719</v>
      </c>
      <c r="B2376" s="23" t="s">
        <v>4720</v>
      </c>
    </row>
    <row r="2377" ht="14.399999999999999" customHeight="1">
      <c r="A2377" s="23" t="s">
        <v>4721</v>
      </c>
      <c r="B2377" s="23" t="s">
        <v>4722</v>
      </c>
    </row>
    <row r="2378" ht="14.399999999999999" customHeight="1">
      <c r="A2378" s="23" t="s">
        <v>4723</v>
      </c>
      <c r="B2378" s="23" t="s">
        <v>4724</v>
      </c>
    </row>
    <row r="2379" ht="14.399999999999999" customHeight="1">
      <c r="A2379" s="23" t="s">
        <v>4725</v>
      </c>
      <c r="B2379" s="23" t="s">
        <v>4726</v>
      </c>
    </row>
    <row r="2380" ht="14.399999999999999" customHeight="1">
      <c r="A2380" s="23" t="s">
        <v>4727</v>
      </c>
      <c r="B2380" s="23" t="s">
        <v>4728</v>
      </c>
    </row>
    <row r="2381" ht="14.399999999999999" customHeight="1">
      <c r="A2381" s="23" t="s">
        <v>4729</v>
      </c>
      <c r="B2381" s="23" t="s">
        <v>4730</v>
      </c>
    </row>
    <row r="2382" ht="14.399999999999999" customHeight="1">
      <c r="A2382" s="23" t="s">
        <v>4731</v>
      </c>
      <c r="B2382" s="23" t="s">
        <v>4732</v>
      </c>
    </row>
    <row r="2383" ht="14.399999999999999" customHeight="1">
      <c r="A2383" s="23" t="s">
        <v>4733</v>
      </c>
      <c r="B2383" s="23" t="s">
        <v>4734</v>
      </c>
    </row>
    <row r="2384" ht="14.399999999999999" customHeight="1">
      <c r="A2384" s="23" t="s">
        <v>4735</v>
      </c>
      <c r="B2384" s="23" t="s">
        <v>4736</v>
      </c>
    </row>
    <row r="2385" ht="14.399999999999999" customHeight="1">
      <c r="A2385" s="23" t="s">
        <v>4737</v>
      </c>
      <c r="B2385" s="23" t="s">
        <v>4738</v>
      </c>
    </row>
    <row r="2386" ht="14.399999999999999" customHeight="1">
      <c r="A2386" s="23" t="s">
        <v>4739</v>
      </c>
      <c r="B2386" s="23" t="s">
        <v>4740</v>
      </c>
    </row>
    <row r="2387" ht="14.399999999999999" customHeight="1">
      <c r="A2387" s="23" t="s">
        <v>4741</v>
      </c>
      <c r="B2387" s="23" t="s">
        <v>4742</v>
      </c>
    </row>
    <row r="2388" ht="14.399999999999999" customHeight="1">
      <c r="A2388" s="23" t="s">
        <v>4743</v>
      </c>
      <c r="B2388" s="23" t="s">
        <v>4744</v>
      </c>
    </row>
    <row r="2389" ht="14.399999999999999" customHeight="1">
      <c r="A2389" s="23" t="s">
        <v>4745</v>
      </c>
      <c r="B2389" s="23" t="s">
        <v>4746</v>
      </c>
    </row>
    <row r="2390" ht="14.399999999999999" customHeight="1">
      <c r="A2390" s="23" t="s">
        <v>4747</v>
      </c>
      <c r="B2390" s="23" t="s">
        <v>4748</v>
      </c>
    </row>
    <row r="2391" ht="14.399999999999999" customHeight="1">
      <c r="A2391" s="23" t="s">
        <v>4749</v>
      </c>
      <c r="B2391" s="23" t="s">
        <v>4750</v>
      </c>
    </row>
    <row r="2392" ht="14.399999999999999" customHeight="1">
      <c r="A2392" s="23" t="s">
        <v>4751</v>
      </c>
      <c r="B2392" s="23" t="s">
        <v>4752</v>
      </c>
    </row>
    <row r="2393" ht="14.399999999999999" customHeight="1">
      <c r="A2393" s="23" t="s">
        <v>4753</v>
      </c>
      <c r="B2393" s="23" t="s">
        <v>4754</v>
      </c>
    </row>
    <row r="2394" ht="14.399999999999999" customHeight="1">
      <c r="A2394" s="23" t="s">
        <v>4755</v>
      </c>
      <c r="B2394" s="23" t="s">
        <v>4756</v>
      </c>
    </row>
    <row r="2395" ht="14.399999999999999" customHeight="1">
      <c r="A2395" s="23" t="s">
        <v>4757</v>
      </c>
      <c r="B2395" s="23" t="s">
        <v>4758</v>
      </c>
    </row>
    <row r="2396" ht="14.399999999999999" customHeight="1">
      <c r="A2396" s="23" t="s">
        <v>4759</v>
      </c>
      <c r="B2396" s="23" t="s">
        <v>4760</v>
      </c>
    </row>
    <row r="2397" ht="14.399999999999999" customHeight="1">
      <c r="A2397" s="23" t="s">
        <v>4761</v>
      </c>
      <c r="B2397" s="23" t="s">
        <v>4762</v>
      </c>
    </row>
    <row r="2398" ht="14.399999999999999" customHeight="1">
      <c r="A2398" s="23" t="s">
        <v>4763</v>
      </c>
      <c r="B2398" s="23" t="s">
        <v>4764</v>
      </c>
    </row>
    <row r="2399" ht="14.399999999999999" customHeight="1">
      <c r="A2399" s="23" t="s">
        <v>4765</v>
      </c>
      <c r="B2399" s="23" t="s">
        <v>4766</v>
      </c>
    </row>
    <row r="2400" ht="14.399999999999999" customHeight="1">
      <c r="A2400" s="23" t="s">
        <v>4767</v>
      </c>
      <c r="B2400" s="23" t="s">
        <v>4768</v>
      </c>
    </row>
    <row r="2401" ht="14.399999999999999" customHeight="1">
      <c r="A2401" s="23" t="s">
        <v>4769</v>
      </c>
      <c r="B2401" s="23" t="s">
        <v>4770</v>
      </c>
    </row>
    <row r="2402" ht="14.399999999999999" customHeight="1">
      <c r="A2402" s="23" t="s">
        <v>4771</v>
      </c>
      <c r="B2402" s="23" t="s">
        <v>4772</v>
      </c>
    </row>
    <row r="2403" ht="14.399999999999999" customHeight="1">
      <c r="A2403" s="23" t="s">
        <v>4773</v>
      </c>
      <c r="B2403" s="23" t="s">
        <v>4774</v>
      </c>
    </row>
    <row r="2404" ht="14.399999999999999" customHeight="1">
      <c r="A2404" s="23" t="s">
        <v>4775</v>
      </c>
      <c r="B2404" s="23" t="s">
        <v>4776</v>
      </c>
    </row>
    <row r="2405" ht="14.399999999999999" customHeight="1">
      <c r="A2405" s="23" t="s">
        <v>4777</v>
      </c>
      <c r="B2405" s="23" t="s">
        <v>4778</v>
      </c>
    </row>
    <row r="2406" ht="14.399999999999999" customHeight="1">
      <c r="A2406" s="23" t="s">
        <v>4779</v>
      </c>
      <c r="B2406" s="23" t="s">
        <v>4780</v>
      </c>
    </row>
    <row r="2407" ht="14.399999999999999" customHeight="1">
      <c r="A2407" s="23" t="s">
        <v>4781</v>
      </c>
      <c r="B2407" s="23" t="s">
        <v>4782</v>
      </c>
    </row>
    <row r="2408" ht="14.399999999999999" customHeight="1">
      <c r="A2408" s="23" t="s">
        <v>4783</v>
      </c>
      <c r="B2408" s="23" t="s">
        <v>4784</v>
      </c>
    </row>
    <row r="2409" ht="14.399999999999999" customHeight="1">
      <c r="A2409" s="23" t="s">
        <v>4785</v>
      </c>
      <c r="B2409" s="23" t="s">
        <v>4786</v>
      </c>
    </row>
    <row r="2410" ht="14.399999999999999" customHeight="1">
      <c r="A2410" s="23" t="s">
        <v>4787</v>
      </c>
      <c r="B2410" s="23" t="s">
        <v>4788</v>
      </c>
    </row>
    <row r="2411" ht="14.399999999999999" customHeight="1">
      <c r="A2411" s="23" t="s">
        <v>4789</v>
      </c>
      <c r="B2411" s="23" t="s">
        <v>4790</v>
      </c>
    </row>
    <row r="2412" ht="14.399999999999999" customHeight="1">
      <c r="A2412" s="23" t="s">
        <v>4791</v>
      </c>
      <c r="B2412" s="23" t="s">
        <v>4792</v>
      </c>
    </row>
    <row r="2413" ht="14.399999999999999" customHeight="1">
      <c r="A2413" s="23" t="s">
        <v>4793</v>
      </c>
      <c r="B2413" s="23" t="s">
        <v>4794</v>
      </c>
    </row>
    <row r="2414" ht="14.399999999999999" customHeight="1">
      <c r="A2414" s="23" t="s">
        <v>4795</v>
      </c>
      <c r="B2414" s="23" t="s">
        <v>4796</v>
      </c>
    </row>
    <row r="2415" ht="14.399999999999999" customHeight="1">
      <c r="A2415" s="23" t="s">
        <v>4797</v>
      </c>
      <c r="B2415" s="23" t="s">
        <v>4798</v>
      </c>
    </row>
    <row r="2416" ht="14.399999999999999" customHeight="1">
      <c r="A2416" s="23" t="s">
        <v>4799</v>
      </c>
      <c r="B2416" s="23" t="s">
        <v>4800</v>
      </c>
    </row>
    <row r="2417" ht="14.399999999999999" customHeight="1">
      <c r="A2417" s="23" t="s">
        <v>4801</v>
      </c>
      <c r="B2417" s="23" t="s">
        <v>4802</v>
      </c>
    </row>
    <row r="2418" ht="14.399999999999999" customHeight="1">
      <c r="A2418" s="23" t="s">
        <v>4803</v>
      </c>
      <c r="B2418" s="23" t="s">
        <v>4804</v>
      </c>
    </row>
    <row r="2419" ht="14.399999999999999" customHeight="1">
      <c r="A2419" s="23" t="s">
        <v>4805</v>
      </c>
      <c r="B2419" s="23" t="s">
        <v>4806</v>
      </c>
    </row>
    <row r="2420" ht="14.399999999999999" customHeight="1">
      <c r="A2420" s="23" t="s">
        <v>4807</v>
      </c>
      <c r="B2420" s="23" t="s">
        <v>4808</v>
      </c>
    </row>
    <row r="2421" ht="14.399999999999999" customHeight="1">
      <c r="A2421" s="23" t="s">
        <v>4809</v>
      </c>
      <c r="B2421" s="23" t="s">
        <v>4810</v>
      </c>
    </row>
    <row r="2422" ht="14.399999999999999" customHeight="1">
      <c r="A2422" s="23" t="s">
        <v>4811</v>
      </c>
      <c r="B2422" s="23" t="s">
        <v>4812</v>
      </c>
    </row>
    <row r="2423" ht="14.399999999999999" customHeight="1">
      <c r="A2423" s="23" t="s">
        <v>4813</v>
      </c>
      <c r="B2423" s="23" t="s">
        <v>4814</v>
      </c>
    </row>
    <row r="2424" ht="14.399999999999999" customHeight="1">
      <c r="A2424" s="23" t="s">
        <v>4815</v>
      </c>
      <c r="B2424" s="23" t="s">
        <v>4816</v>
      </c>
    </row>
    <row r="2425" ht="14.399999999999999" customHeight="1">
      <c r="A2425" s="23" t="s">
        <v>4817</v>
      </c>
      <c r="B2425" s="23" t="s">
        <v>4818</v>
      </c>
    </row>
    <row r="2426" ht="14.399999999999999" customHeight="1">
      <c r="A2426" s="23" t="s">
        <v>4819</v>
      </c>
      <c r="B2426" s="23" t="s">
        <v>4820</v>
      </c>
    </row>
    <row r="2427" ht="14.399999999999999" customHeight="1">
      <c r="A2427" s="23" t="s">
        <v>4821</v>
      </c>
      <c r="B2427" s="23" t="s">
        <v>4822</v>
      </c>
    </row>
    <row r="2428" ht="14.399999999999999" customHeight="1">
      <c r="A2428" s="23" t="s">
        <v>4823</v>
      </c>
      <c r="B2428" s="23" t="s">
        <v>4824</v>
      </c>
    </row>
    <row r="2429" ht="14.399999999999999" customHeight="1">
      <c r="A2429" s="23" t="s">
        <v>4825</v>
      </c>
      <c r="B2429" s="23" t="s">
        <v>4826</v>
      </c>
    </row>
    <row r="2430" ht="14.399999999999999" customHeight="1">
      <c r="A2430" s="23" t="s">
        <v>4827</v>
      </c>
      <c r="B2430" s="23" t="s">
        <v>4828</v>
      </c>
    </row>
    <row r="2431" ht="14.399999999999999" customHeight="1">
      <c r="A2431" s="23" t="s">
        <v>4829</v>
      </c>
      <c r="B2431" s="23" t="s">
        <v>4830</v>
      </c>
    </row>
    <row r="2432" ht="14.399999999999999" customHeight="1">
      <c r="A2432" s="23" t="s">
        <v>4831</v>
      </c>
      <c r="B2432" s="23" t="s">
        <v>4832</v>
      </c>
    </row>
    <row r="2433" ht="14.399999999999999" customHeight="1">
      <c r="A2433" s="23" t="s">
        <v>4833</v>
      </c>
      <c r="B2433" s="23" t="s">
        <v>4834</v>
      </c>
    </row>
    <row r="2434" ht="14.399999999999999" customHeight="1">
      <c r="A2434" s="23" t="s">
        <v>4835</v>
      </c>
      <c r="B2434" s="23" t="s">
        <v>4836</v>
      </c>
    </row>
    <row r="2435" ht="14.399999999999999" customHeight="1">
      <c r="A2435" s="23" t="s">
        <v>4837</v>
      </c>
      <c r="B2435" s="23" t="s">
        <v>4838</v>
      </c>
    </row>
    <row r="2436" ht="14.399999999999999" customHeight="1">
      <c r="A2436" s="23" t="s">
        <v>4839</v>
      </c>
      <c r="B2436" s="23" t="s">
        <v>4840</v>
      </c>
    </row>
    <row r="2437" ht="14.399999999999999" customHeight="1">
      <c r="A2437" s="23" t="s">
        <v>4841</v>
      </c>
      <c r="B2437" s="23" t="s">
        <v>4842</v>
      </c>
    </row>
    <row r="2438" ht="14.399999999999999" customHeight="1">
      <c r="A2438" s="23" t="s">
        <v>4843</v>
      </c>
      <c r="B2438" s="23" t="s">
        <v>4844</v>
      </c>
    </row>
    <row r="2439" ht="14.399999999999999" customHeight="1">
      <c r="A2439" s="23" t="s">
        <v>4845</v>
      </c>
      <c r="B2439" s="23" t="s">
        <v>4846</v>
      </c>
    </row>
    <row r="2440" ht="14.399999999999999" customHeight="1">
      <c r="A2440" s="23" t="s">
        <v>4847</v>
      </c>
      <c r="B2440" s="23" t="s">
        <v>4848</v>
      </c>
    </row>
    <row r="2441" ht="14.399999999999999" customHeight="1">
      <c r="A2441" s="23" t="s">
        <v>4849</v>
      </c>
      <c r="B2441" s="23" t="s">
        <v>4850</v>
      </c>
    </row>
    <row r="2442" ht="14.399999999999999" customHeight="1">
      <c r="A2442" s="23" t="s">
        <v>4851</v>
      </c>
      <c r="B2442" s="23" t="s">
        <v>4852</v>
      </c>
    </row>
    <row r="2443" ht="14.399999999999999" customHeight="1">
      <c r="A2443" s="23" t="s">
        <v>4853</v>
      </c>
      <c r="B2443" s="23" t="s">
        <v>4854</v>
      </c>
    </row>
    <row r="2444" ht="14.399999999999999" customHeight="1">
      <c r="A2444" s="23" t="s">
        <v>4855</v>
      </c>
      <c r="B2444" s="23" t="s">
        <v>4856</v>
      </c>
    </row>
    <row r="2445" ht="14.399999999999999" customHeight="1">
      <c r="A2445" s="23" t="s">
        <v>4857</v>
      </c>
      <c r="B2445" s="23" t="s">
        <v>4858</v>
      </c>
    </row>
    <row r="2446" ht="14.399999999999999" customHeight="1">
      <c r="A2446" s="23" t="s">
        <v>4859</v>
      </c>
      <c r="B2446" s="23" t="s">
        <v>4860</v>
      </c>
    </row>
    <row r="2447" ht="14.399999999999999" customHeight="1">
      <c r="A2447" s="23" t="s">
        <v>4861</v>
      </c>
      <c r="B2447" s="23" t="s">
        <v>4862</v>
      </c>
    </row>
    <row r="2448" ht="14.399999999999999" customHeight="1">
      <c r="A2448" s="23" t="s">
        <v>4863</v>
      </c>
      <c r="B2448" s="23" t="s">
        <v>4864</v>
      </c>
    </row>
    <row r="2449" ht="14.399999999999999" customHeight="1">
      <c r="A2449" s="23" t="s">
        <v>4865</v>
      </c>
      <c r="B2449" s="23" t="s">
        <v>4866</v>
      </c>
    </row>
    <row r="2450" ht="14.399999999999999" customHeight="1">
      <c r="A2450" s="23" t="s">
        <v>4867</v>
      </c>
      <c r="B2450" s="23" t="s">
        <v>4868</v>
      </c>
    </row>
    <row r="2451" ht="14.399999999999999" customHeight="1">
      <c r="A2451" s="23" t="s">
        <v>4869</v>
      </c>
      <c r="B2451" s="23" t="s">
        <v>4870</v>
      </c>
    </row>
    <row r="2452" ht="14.399999999999999" customHeight="1">
      <c r="A2452" s="23" t="s">
        <v>4871</v>
      </c>
      <c r="B2452" s="23" t="s">
        <v>4872</v>
      </c>
    </row>
    <row r="2453" ht="14.399999999999999" customHeight="1">
      <c r="A2453" s="23" t="s">
        <v>4873</v>
      </c>
      <c r="B2453" s="23" t="s">
        <v>4874</v>
      </c>
    </row>
    <row r="2454" ht="14.399999999999999" customHeight="1">
      <c r="A2454" s="23" t="s">
        <v>4875</v>
      </c>
      <c r="B2454" s="23" t="s">
        <v>4876</v>
      </c>
    </row>
    <row r="2455" ht="14.399999999999999" customHeight="1">
      <c r="A2455" s="23" t="s">
        <v>4877</v>
      </c>
      <c r="B2455" s="23" t="s">
        <v>4878</v>
      </c>
    </row>
    <row r="2456" ht="14.399999999999999" customHeight="1">
      <c r="A2456" s="23" t="s">
        <v>4879</v>
      </c>
      <c r="B2456" s="23" t="s">
        <v>4880</v>
      </c>
    </row>
    <row r="2457" ht="14.399999999999999" customHeight="1">
      <c r="A2457" s="23" t="s">
        <v>4881</v>
      </c>
      <c r="B2457" s="23" t="s">
        <v>4882</v>
      </c>
    </row>
    <row r="2458" ht="14.399999999999999" customHeight="1">
      <c r="A2458" s="23" t="s">
        <v>4883</v>
      </c>
      <c r="B2458" s="23" t="s">
        <v>4884</v>
      </c>
    </row>
    <row r="2459" ht="14.399999999999999" customHeight="1">
      <c r="A2459" s="23" t="s">
        <v>4885</v>
      </c>
      <c r="B2459" s="23" t="s">
        <v>4886</v>
      </c>
    </row>
    <row r="2460" ht="14.399999999999999" customHeight="1">
      <c r="A2460" s="23" t="s">
        <v>4887</v>
      </c>
      <c r="B2460" s="23" t="s">
        <v>4888</v>
      </c>
    </row>
    <row r="2461" ht="14.399999999999999" customHeight="1">
      <c r="A2461" s="23" t="s">
        <v>4889</v>
      </c>
      <c r="B2461" s="23" t="s">
        <v>4890</v>
      </c>
    </row>
    <row r="2462" ht="14.399999999999999" customHeight="1">
      <c r="A2462" s="23" t="s">
        <v>4891</v>
      </c>
      <c r="B2462" s="23" t="s">
        <v>4892</v>
      </c>
    </row>
    <row r="2463" ht="14.399999999999999" customHeight="1">
      <c r="A2463" s="23" t="s">
        <v>4893</v>
      </c>
      <c r="B2463" s="23" t="s">
        <v>4894</v>
      </c>
    </row>
    <row r="2464" ht="14.399999999999999" customHeight="1">
      <c r="A2464" s="23" t="s">
        <v>4895</v>
      </c>
      <c r="B2464" s="23" t="s">
        <v>4896</v>
      </c>
    </row>
    <row r="2465" ht="14.399999999999999" customHeight="1">
      <c r="A2465" s="23" t="s">
        <v>4897</v>
      </c>
      <c r="B2465" s="23" t="s">
        <v>4898</v>
      </c>
    </row>
    <row r="2466" ht="14.399999999999999" customHeight="1">
      <c r="A2466" s="23" t="s">
        <v>4899</v>
      </c>
      <c r="B2466" s="23" t="s">
        <v>4900</v>
      </c>
    </row>
    <row r="2467" ht="14.399999999999999" customHeight="1">
      <c r="A2467" s="23" t="s">
        <v>4901</v>
      </c>
      <c r="B2467" s="23" t="s">
        <v>4902</v>
      </c>
    </row>
    <row r="2468" ht="14.399999999999999" customHeight="1">
      <c r="A2468" s="23" t="s">
        <v>4903</v>
      </c>
      <c r="B2468" s="23" t="s">
        <v>4904</v>
      </c>
    </row>
    <row r="2469" s="20" customFormat="1" ht="14.399999999999999" customHeight="1">
      <c r="A2469" s="23" t="s">
        <v>4905</v>
      </c>
      <c r="B2469" s="23" t="s">
        <v>4906</v>
      </c>
    </row>
    <row r="2470" ht="14.399999999999999" customHeight="1">
      <c r="A2470" s="23" t="s">
        <v>4907</v>
      </c>
      <c r="B2470" s="23" t="s">
        <v>4908</v>
      </c>
    </row>
    <row r="2471" ht="14.399999999999999" customHeight="1">
      <c r="A2471" s="23" t="s">
        <v>4909</v>
      </c>
      <c r="B2471" s="23" t="s">
        <v>4910</v>
      </c>
    </row>
    <row r="2472" ht="14.399999999999999" customHeight="1">
      <c r="A2472" s="23" t="s">
        <v>4911</v>
      </c>
      <c r="B2472" s="23" t="s">
        <v>4912</v>
      </c>
    </row>
    <row r="2473" ht="14.399999999999999" customHeight="1">
      <c r="A2473" s="23" t="s">
        <v>4913</v>
      </c>
      <c r="B2473" s="23" t="s">
        <v>4914</v>
      </c>
    </row>
    <row r="2474" ht="14.399999999999999" customHeight="1">
      <c r="A2474" s="23" t="s">
        <v>4915</v>
      </c>
      <c r="B2474" s="23" t="s">
        <v>4916</v>
      </c>
    </row>
    <row r="2475" ht="14.399999999999999" customHeight="1">
      <c r="A2475" s="23" t="s">
        <v>4917</v>
      </c>
      <c r="B2475" s="23" t="s">
        <v>4918</v>
      </c>
    </row>
    <row r="2476" ht="14.399999999999999" customHeight="1">
      <c r="A2476" s="23" t="s">
        <v>4919</v>
      </c>
      <c r="B2476" s="23" t="s">
        <v>4920</v>
      </c>
    </row>
    <row r="2477" ht="14.399999999999999" customHeight="1">
      <c r="A2477" s="23" t="s">
        <v>4921</v>
      </c>
      <c r="B2477" s="23" t="s">
        <v>4922</v>
      </c>
    </row>
    <row r="2478" ht="14.399999999999999" customHeight="1">
      <c r="A2478" s="23" t="s">
        <v>4923</v>
      </c>
      <c r="B2478" s="23" t="s">
        <v>4924</v>
      </c>
    </row>
    <row r="2479" ht="14.399999999999999" customHeight="1">
      <c r="A2479" s="23" t="s">
        <v>4925</v>
      </c>
      <c r="B2479" s="23" t="s">
        <v>4926</v>
      </c>
    </row>
    <row r="2480" ht="14.399999999999999" customHeight="1">
      <c r="A2480" s="23" t="s">
        <v>4927</v>
      </c>
      <c r="B2480" s="23" t="s">
        <v>4928</v>
      </c>
    </row>
    <row r="2481" ht="14.399999999999999" customHeight="1">
      <c r="A2481" s="23" t="s">
        <v>4929</v>
      </c>
      <c r="B2481" s="23" t="s">
        <v>4930</v>
      </c>
    </row>
    <row r="2482" ht="14.399999999999999" customHeight="1">
      <c r="A2482" s="23" t="s">
        <v>4931</v>
      </c>
      <c r="B2482" s="23" t="s">
        <v>4932</v>
      </c>
    </row>
    <row r="2483" ht="14.399999999999999" customHeight="1">
      <c r="A2483" s="23" t="s">
        <v>4933</v>
      </c>
      <c r="B2483" s="23" t="s">
        <v>4934</v>
      </c>
    </row>
    <row r="2484" ht="14.399999999999999" customHeight="1">
      <c r="A2484" s="23" t="s">
        <v>4935</v>
      </c>
      <c r="B2484" s="23" t="s">
        <v>4936</v>
      </c>
    </row>
    <row r="2485" s="20" customFormat="1" ht="14.399999999999999" customHeight="1">
      <c r="A2485" s="23" t="s">
        <v>4937</v>
      </c>
      <c r="B2485" s="23" t="s">
        <v>4938</v>
      </c>
    </row>
    <row r="2486" s="20" customFormat="1" ht="14.399999999999999" customHeight="1">
      <c r="A2486" s="23" t="s">
        <v>4939</v>
      </c>
      <c r="B2486" s="23" t="s">
        <v>4940</v>
      </c>
    </row>
    <row r="2487" ht="14.399999999999999" customHeight="1">
      <c r="A2487" s="23" t="s">
        <v>4941</v>
      </c>
      <c r="B2487" s="23" t="s">
        <v>4942</v>
      </c>
    </row>
    <row r="2488" ht="14.399999999999999" customHeight="1">
      <c r="A2488" s="23" t="s">
        <v>4943</v>
      </c>
      <c r="B2488" s="23" t="s">
        <v>4944</v>
      </c>
    </row>
    <row r="2489" ht="14.399999999999999" customHeight="1">
      <c r="A2489" s="23" t="s">
        <v>4945</v>
      </c>
      <c r="B2489" s="23" t="s">
        <v>4946</v>
      </c>
    </row>
    <row r="2490" ht="14.399999999999999" customHeight="1">
      <c r="A2490" s="23" t="s">
        <v>4947</v>
      </c>
      <c r="B2490" s="23" t="s">
        <v>4948</v>
      </c>
    </row>
    <row r="2491" ht="14.399999999999999" customHeight="1">
      <c r="A2491" s="23" t="s">
        <v>4949</v>
      </c>
      <c r="B2491" s="23" t="s">
        <v>4950</v>
      </c>
    </row>
    <row r="2492" ht="14.399999999999999" customHeight="1">
      <c r="A2492" s="23" t="s">
        <v>4951</v>
      </c>
      <c r="B2492" s="23" t="s">
        <v>4952</v>
      </c>
    </row>
    <row r="2493" ht="14.399999999999999" customHeight="1">
      <c r="A2493" s="23" t="s">
        <v>4953</v>
      </c>
      <c r="B2493" s="23" t="s">
        <v>4954</v>
      </c>
    </row>
    <row r="2494" ht="14.399999999999999" customHeight="1">
      <c r="A2494" s="23" t="s">
        <v>4955</v>
      </c>
      <c r="B2494" s="23" t="s">
        <v>4956</v>
      </c>
    </row>
    <row r="2495" ht="14.399999999999999" customHeight="1">
      <c r="A2495" s="23" t="s">
        <v>4957</v>
      </c>
      <c r="B2495" s="23" t="s">
        <v>4958</v>
      </c>
    </row>
    <row r="2496" ht="14.399999999999999" customHeight="1">
      <c r="A2496" s="23" t="s">
        <v>4959</v>
      </c>
      <c r="B2496" s="23" t="s">
        <v>4960</v>
      </c>
    </row>
    <row r="2497" ht="14.399999999999999" customHeight="1">
      <c r="A2497" s="23" t="s">
        <v>4961</v>
      </c>
      <c r="B2497" s="23" t="s">
        <v>4962</v>
      </c>
    </row>
    <row r="2498" ht="14.399999999999999" customHeight="1">
      <c r="A2498" s="23" t="s">
        <v>4963</v>
      </c>
      <c r="B2498" s="23" t="s">
        <v>4964</v>
      </c>
    </row>
    <row r="2499" ht="14.399999999999999" customHeight="1">
      <c r="A2499" s="23" t="s">
        <v>4965</v>
      </c>
      <c r="B2499" s="23" t="s">
        <v>4966</v>
      </c>
    </row>
    <row r="2500" ht="14.399999999999999" customHeight="1">
      <c r="A2500" s="23" t="s">
        <v>4967</v>
      </c>
      <c r="B2500" s="23" t="s">
        <v>4968</v>
      </c>
    </row>
    <row r="2501" ht="14.399999999999999" customHeight="1">
      <c r="A2501" s="23" t="s">
        <v>4969</v>
      </c>
      <c r="B2501" s="23" t="s">
        <v>4970</v>
      </c>
    </row>
    <row r="2502" ht="14.399999999999999" customHeight="1">
      <c r="A2502" s="23" t="s">
        <v>4971</v>
      </c>
      <c r="B2502" s="23" t="s">
        <v>4972</v>
      </c>
    </row>
    <row r="2503" ht="14.399999999999999" customHeight="1">
      <c r="A2503" s="23" t="s">
        <v>4973</v>
      </c>
      <c r="B2503" s="23" t="s">
        <v>4974</v>
      </c>
    </row>
    <row r="2504" ht="14.399999999999999" customHeight="1">
      <c r="A2504" s="23" t="s">
        <v>4975</v>
      </c>
      <c r="B2504" s="23" t="s">
        <v>4976</v>
      </c>
    </row>
    <row r="2505" ht="14.399999999999999" customHeight="1">
      <c r="A2505" s="23" t="s">
        <v>4977</v>
      </c>
      <c r="B2505" s="23" t="s">
        <v>4978</v>
      </c>
    </row>
    <row r="2506" ht="14.399999999999999" customHeight="1">
      <c r="A2506" s="23" t="s">
        <v>4979</v>
      </c>
      <c r="B2506" s="23" t="s">
        <v>4980</v>
      </c>
    </row>
    <row r="2507" ht="14.399999999999999" customHeight="1">
      <c r="A2507" s="23" t="s">
        <v>4981</v>
      </c>
      <c r="B2507" s="23" t="s">
        <v>4982</v>
      </c>
    </row>
    <row r="2508" ht="14.399999999999999" customHeight="1">
      <c r="A2508" s="23" t="s">
        <v>4983</v>
      </c>
      <c r="B2508" s="23" t="s">
        <v>4984</v>
      </c>
    </row>
    <row r="2509" ht="14.399999999999999" customHeight="1">
      <c r="A2509" s="23" t="s">
        <v>4985</v>
      </c>
      <c r="B2509" s="23" t="s">
        <v>4986</v>
      </c>
    </row>
    <row r="2510" ht="14.399999999999999" customHeight="1">
      <c r="A2510" s="23" t="s">
        <v>4987</v>
      </c>
      <c r="B2510" s="23" t="s">
        <v>4988</v>
      </c>
    </row>
    <row r="2511" ht="14.399999999999999" customHeight="1">
      <c r="A2511" s="23" t="s">
        <v>4989</v>
      </c>
      <c r="B2511" s="23" t="s">
        <v>4990</v>
      </c>
    </row>
    <row r="2512" ht="14.399999999999999" customHeight="1">
      <c r="A2512" s="23" t="s">
        <v>4991</v>
      </c>
      <c r="B2512" s="23" t="s">
        <v>4992</v>
      </c>
    </row>
    <row r="2513" ht="14.399999999999999" customHeight="1">
      <c r="A2513" s="23" t="s">
        <v>4993</v>
      </c>
      <c r="B2513" s="23" t="s">
        <v>4994</v>
      </c>
    </row>
    <row r="2514" ht="14.399999999999999" customHeight="1">
      <c r="A2514" s="23" t="s">
        <v>4995</v>
      </c>
      <c r="B2514" s="23" t="s">
        <v>4996</v>
      </c>
    </row>
    <row r="2515" ht="14.399999999999999" customHeight="1">
      <c r="A2515" s="23" t="s">
        <v>4997</v>
      </c>
      <c r="B2515" s="23" t="s">
        <v>4998</v>
      </c>
    </row>
    <row r="2516" ht="14.399999999999999" customHeight="1">
      <c r="A2516" s="23" t="s">
        <v>4999</v>
      </c>
      <c r="B2516" s="23" t="s">
        <v>5000</v>
      </c>
    </row>
    <row r="2517" ht="14.399999999999999" customHeight="1">
      <c r="A2517" s="23" t="s">
        <v>5001</v>
      </c>
      <c r="B2517" s="23" t="s">
        <v>5002</v>
      </c>
    </row>
    <row r="2518" ht="14.399999999999999" customHeight="1">
      <c r="A2518" s="23" t="s">
        <v>5003</v>
      </c>
      <c r="B2518" s="23" t="s">
        <v>5004</v>
      </c>
    </row>
    <row r="2519" ht="14.399999999999999" customHeight="1">
      <c r="A2519" s="23" t="s">
        <v>5005</v>
      </c>
      <c r="B2519" s="23" t="s">
        <v>5006</v>
      </c>
    </row>
    <row r="2520" ht="14.399999999999999" customHeight="1">
      <c r="A2520" s="23" t="s">
        <v>5007</v>
      </c>
      <c r="B2520" s="23" t="s">
        <v>5008</v>
      </c>
    </row>
    <row r="2521" ht="14.399999999999999" customHeight="1">
      <c r="A2521" s="23" t="s">
        <v>5009</v>
      </c>
      <c r="B2521" s="23" t="s">
        <v>5010</v>
      </c>
    </row>
    <row r="2522" ht="14.399999999999999" customHeight="1">
      <c r="A2522" s="23" t="s">
        <v>5011</v>
      </c>
      <c r="B2522" s="23" t="s">
        <v>5012</v>
      </c>
    </row>
    <row r="2523" ht="14.399999999999999" customHeight="1">
      <c r="A2523" s="23" t="s">
        <v>5013</v>
      </c>
      <c r="B2523" s="23" t="s">
        <v>5014</v>
      </c>
    </row>
    <row r="2524" ht="14.399999999999999" customHeight="1">
      <c r="A2524" s="23" t="s">
        <v>5015</v>
      </c>
      <c r="B2524" s="23" t="s">
        <v>5016</v>
      </c>
    </row>
    <row r="2525" ht="14.399999999999999" customHeight="1">
      <c r="A2525" s="23" t="s">
        <v>5017</v>
      </c>
      <c r="B2525" s="23" t="s">
        <v>5018</v>
      </c>
    </row>
    <row r="2526" ht="14.399999999999999" customHeight="1">
      <c r="A2526" s="23" t="s">
        <v>5019</v>
      </c>
      <c r="B2526" s="23" t="s">
        <v>5020</v>
      </c>
    </row>
    <row r="2527" ht="14.399999999999999" customHeight="1">
      <c r="A2527" s="23" t="s">
        <v>5021</v>
      </c>
      <c r="B2527" s="23" t="s">
        <v>5022</v>
      </c>
    </row>
    <row r="2528" ht="14.399999999999999" customHeight="1">
      <c r="A2528" s="23" t="s">
        <v>5023</v>
      </c>
      <c r="B2528" s="23" t="s">
        <v>5024</v>
      </c>
    </row>
    <row r="2529" ht="14.399999999999999" customHeight="1">
      <c r="A2529" s="23" t="s">
        <v>5025</v>
      </c>
      <c r="B2529" s="23" t="s">
        <v>5026</v>
      </c>
    </row>
    <row r="2530" ht="14.399999999999999" customHeight="1">
      <c r="A2530" s="23" t="s">
        <v>5027</v>
      </c>
      <c r="B2530" s="23" t="s">
        <v>5028</v>
      </c>
    </row>
    <row r="2531" ht="14.399999999999999" customHeight="1">
      <c r="A2531" s="23" t="s">
        <v>5029</v>
      </c>
      <c r="B2531" s="23" t="s">
        <v>5030</v>
      </c>
    </row>
    <row r="2532" ht="14.399999999999999" customHeight="1">
      <c r="A2532" s="23" t="s">
        <v>5031</v>
      </c>
      <c r="B2532" s="23" t="s">
        <v>5032</v>
      </c>
    </row>
    <row r="2533" ht="14.399999999999999" customHeight="1">
      <c r="A2533" s="23" t="s">
        <v>5033</v>
      </c>
      <c r="B2533" s="23" t="s">
        <v>5034</v>
      </c>
    </row>
    <row r="2534" ht="14.399999999999999" customHeight="1">
      <c r="A2534" s="23" t="s">
        <v>5035</v>
      </c>
      <c r="B2534" s="23" t="s">
        <v>5036</v>
      </c>
    </row>
    <row r="2535" ht="14.399999999999999" customHeight="1">
      <c r="A2535" s="23" t="s">
        <v>5037</v>
      </c>
      <c r="B2535" s="23" t="s">
        <v>5038</v>
      </c>
    </row>
    <row r="2536" ht="14.399999999999999" customHeight="1">
      <c r="A2536" s="23" t="s">
        <v>5039</v>
      </c>
      <c r="B2536" s="23" t="s">
        <v>5040</v>
      </c>
    </row>
    <row r="2537" ht="14.399999999999999" customHeight="1">
      <c r="A2537" s="23" t="s">
        <v>5041</v>
      </c>
      <c r="B2537" s="23" t="s">
        <v>5042</v>
      </c>
    </row>
    <row r="2538" ht="14.399999999999999" customHeight="1">
      <c r="A2538" s="23" t="s">
        <v>5043</v>
      </c>
      <c r="B2538" s="23" t="s">
        <v>5044</v>
      </c>
    </row>
    <row r="2539" ht="14.399999999999999" customHeight="1">
      <c r="A2539" s="23" t="s">
        <v>5045</v>
      </c>
      <c r="B2539" s="23" t="s">
        <v>5046</v>
      </c>
    </row>
    <row r="2540" ht="14.399999999999999" customHeight="1">
      <c r="A2540" s="23" t="s">
        <v>5047</v>
      </c>
      <c r="B2540" s="23" t="s">
        <v>5048</v>
      </c>
    </row>
    <row r="2541" ht="14.399999999999999" customHeight="1">
      <c r="A2541" s="23" t="s">
        <v>5049</v>
      </c>
      <c r="B2541" s="23" t="s">
        <v>5050</v>
      </c>
    </row>
    <row r="2542" ht="14.399999999999999" customHeight="1">
      <c r="A2542" s="23" t="s">
        <v>5051</v>
      </c>
      <c r="B2542" s="23" t="s">
        <v>5052</v>
      </c>
    </row>
    <row r="2543" ht="14.399999999999999" customHeight="1">
      <c r="A2543" s="23" t="s">
        <v>5053</v>
      </c>
      <c r="B2543" s="23" t="s">
        <v>5054</v>
      </c>
    </row>
    <row r="2544" ht="14.399999999999999" customHeight="1">
      <c r="A2544" s="23" t="s">
        <v>5055</v>
      </c>
      <c r="B2544" s="23" t="s">
        <v>5056</v>
      </c>
    </row>
    <row r="2545" ht="14.399999999999999" customHeight="1">
      <c r="A2545" s="23" t="s">
        <v>5057</v>
      </c>
      <c r="B2545" s="23" t="s">
        <v>5058</v>
      </c>
    </row>
    <row r="2546" ht="14.399999999999999" customHeight="1">
      <c r="A2546" s="23" t="s">
        <v>5059</v>
      </c>
      <c r="B2546" s="23" t="s">
        <v>5060</v>
      </c>
    </row>
    <row r="2547" ht="14.399999999999999" customHeight="1">
      <c r="A2547" s="23" t="s">
        <v>5061</v>
      </c>
      <c r="B2547" s="23" t="s">
        <v>5062</v>
      </c>
    </row>
    <row r="2548" ht="14.399999999999999" customHeight="1">
      <c r="A2548" s="23" t="s">
        <v>5063</v>
      </c>
      <c r="B2548" s="23" t="s">
        <v>5064</v>
      </c>
    </row>
    <row r="2549" ht="14.399999999999999" customHeight="1">
      <c r="A2549" s="23" t="s">
        <v>5065</v>
      </c>
      <c r="B2549" s="23" t="s">
        <v>5066</v>
      </c>
    </row>
    <row r="2550" ht="14.399999999999999" customHeight="1">
      <c r="A2550" s="23" t="s">
        <v>5067</v>
      </c>
      <c r="B2550" s="23" t="s">
        <v>5068</v>
      </c>
    </row>
    <row r="2551" ht="14.399999999999999" customHeight="1">
      <c r="A2551" s="23" t="s">
        <v>5069</v>
      </c>
      <c r="B2551" s="23" t="s">
        <v>5070</v>
      </c>
    </row>
    <row r="2552" ht="14.399999999999999" customHeight="1">
      <c r="A2552" s="23" t="s">
        <v>5071</v>
      </c>
      <c r="B2552" s="23" t="s">
        <v>5072</v>
      </c>
    </row>
    <row r="2553" ht="14.399999999999999" customHeight="1">
      <c r="A2553" s="23" t="s">
        <v>5073</v>
      </c>
      <c r="B2553" s="23" t="s">
        <v>5074</v>
      </c>
    </row>
    <row r="2554" ht="14.399999999999999" customHeight="1">
      <c r="A2554" s="23" t="s">
        <v>5075</v>
      </c>
      <c r="B2554" s="23" t="s">
        <v>5076</v>
      </c>
    </row>
    <row r="2555" ht="14.399999999999999" customHeight="1">
      <c r="A2555" s="23" t="s">
        <v>5077</v>
      </c>
      <c r="B2555" s="23" t="s">
        <v>5078</v>
      </c>
    </row>
    <row r="2556" ht="14.399999999999999" customHeight="1">
      <c r="A2556" s="23" t="s">
        <v>5079</v>
      </c>
      <c r="B2556" s="23" t="s">
        <v>5080</v>
      </c>
    </row>
    <row r="2557" ht="14.399999999999999" customHeight="1">
      <c r="A2557" s="23" t="s">
        <v>5081</v>
      </c>
      <c r="B2557" s="23" t="s">
        <v>5082</v>
      </c>
    </row>
    <row r="2558" ht="14.399999999999999" customHeight="1">
      <c r="A2558" s="23" t="s">
        <v>5083</v>
      </c>
      <c r="B2558" s="23" t="s">
        <v>5084</v>
      </c>
    </row>
    <row r="2559" ht="14.399999999999999" customHeight="1">
      <c r="A2559" s="23" t="s">
        <v>5085</v>
      </c>
      <c r="B2559" s="23" t="s">
        <v>5086</v>
      </c>
    </row>
    <row r="2560" ht="14.399999999999999" customHeight="1">
      <c r="A2560" s="23" t="s">
        <v>5087</v>
      </c>
      <c r="B2560" s="23" t="s">
        <v>5088</v>
      </c>
    </row>
    <row r="2561" ht="14.399999999999999" customHeight="1">
      <c r="A2561" s="23" t="s">
        <v>5089</v>
      </c>
      <c r="B2561" s="23" t="s">
        <v>5090</v>
      </c>
    </row>
    <row r="2562" ht="14.399999999999999" customHeight="1">
      <c r="A2562" s="23" t="s">
        <v>5091</v>
      </c>
      <c r="B2562" s="23" t="s">
        <v>5092</v>
      </c>
    </row>
    <row r="2563" ht="14.399999999999999" customHeight="1">
      <c r="A2563" s="23" t="s">
        <v>5093</v>
      </c>
      <c r="B2563" s="23" t="s">
        <v>5094</v>
      </c>
    </row>
    <row r="2564" ht="14.399999999999999" customHeight="1">
      <c r="A2564" s="23" t="s">
        <v>5095</v>
      </c>
      <c r="B2564" s="23" t="s">
        <v>5096</v>
      </c>
    </row>
    <row r="2565" ht="14.399999999999999" customHeight="1">
      <c r="A2565" s="23" t="s">
        <v>5097</v>
      </c>
      <c r="B2565" s="23" t="s">
        <v>5098</v>
      </c>
    </row>
    <row r="2566" ht="14.399999999999999" customHeight="1">
      <c r="A2566" s="23" t="s">
        <v>5099</v>
      </c>
      <c r="B2566" s="23" t="s">
        <v>5100</v>
      </c>
    </row>
    <row r="2567" ht="14.399999999999999" customHeight="1">
      <c r="A2567" s="23" t="s">
        <v>5101</v>
      </c>
      <c r="B2567" s="23" t="s">
        <v>5102</v>
      </c>
    </row>
    <row r="2568" ht="14.399999999999999" customHeight="1">
      <c r="A2568" s="23" t="s">
        <v>5103</v>
      </c>
      <c r="B2568" s="23" t="s">
        <v>5104</v>
      </c>
    </row>
    <row r="2569" ht="14.399999999999999" customHeight="1">
      <c r="A2569" s="23" t="s">
        <v>5105</v>
      </c>
      <c r="B2569" s="23" t="s">
        <v>5106</v>
      </c>
    </row>
    <row r="2570" ht="14.399999999999999" customHeight="1">
      <c r="A2570" s="23" t="s">
        <v>5107</v>
      </c>
      <c r="B2570" s="23" t="s">
        <v>5108</v>
      </c>
    </row>
    <row r="2571" s="20" customFormat="1" ht="14.399999999999999" customHeight="1">
      <c r="A2571" s="23" t="s">
        <v>5109</v>
      </c>
      <c r="B2571" s="23" t="s">
        <v>5110</v>
      </c>
    </row>
    <row r="2572" ht="14.399999999999999" customHeight="1">
      <c r="A2572" s="23" t="s">
        <v>5111</v>
      </c>
      <c r="B2572" s="23" t="s">
        <v>5112</v>
      </c>
    </row>
    <row r="2573" ht="14.399999999999999" customHeight="1">
      <c r="A2573" s="23" t="s">
        <v>5113</v>
      </c>
      <c r="B2573" s="23" t="s">
        <v>5114</v>
      </c>
    </row>
    <row r="2574" ht="14.399999999999999" customHeight="1">
      <c r="A2574" s="23" t="s">
        <v>5115</v>
      </c>
      <c r="B2574" s="23" t="s">
        <v>5116</v>
      </c>
    </row>
    <row r="2575" ht="14.399999999999999" customHeight="1">
      <c r="A2575" s="23" t="s">
        <v>5117</v>
      </c>
      <c r="B2575" s="23" t="s">
        <v>5118</v>
      </c>
    </row>
    <row r="2576" ht="14.399999999999999" customHeight="1">
      <c r="A2576" s="23" t="s">
        <v>5119</v>
      </c>
      <c r="B2576" s="23" t="s">
        <v>5120</v>
      </c>
    </row>
    <row r="2577" ht="14.399999999999999" customHeight="1">
      <c r="A2577" s="23" t="s">
        <v>5121</v>
      </c>
      <c r="B2577" s="23" t="s">
        <v>5122</v>
      </c>
    </row>
    <row r="2578" ht="14.399999999999999" customHeight="1">
      <c r="A2578" s="23" t="s">
        <v>5123</v>
      </c>
      <c r="B2578" s="23" t="s">
        <v>5124</v>
      </c>
    </row>
    <row r="2579" ht="14.399999999999999" customHeight="1">
      <c r="A2579" s="23" t="s">
        <v>5125</v>
      </c>
      <c r="B2579" s="23" t="s">
        <v>5126</v>
      </c>
    </row>
    <row r="2580" ht="14.399999999999999" customHeight="1">
      <c r="A2580" s="23" t="s">
        <v>5127</v>
      </c>
      <c r="B2580" s="23" t="s">
        <v>5128</v>
      </c>
    </row>
    <row r="2581" ht="14.399999999999999" customHeight="1">
      <c r="A2581" s="23" t="s">
        <v>5129</v>
      </c>
      <c r="B2581" s="23" t="s">
        <v>5130</v>
      </c>
    </row>
    <row r="2582" ht="14.399999999999999" customHeight="1">
      <c r="A2582" s="23" t="s">
        <v>5131</v>
      </c>
      <c r="B2582" s="23" t="s">
        <v>5132</v>
      </c>
    </row>
    <row r="2583" ht="14.399999999999999" customHeight="1">
      <c r="A2583" s="23" t="s">
        <v>5133</v>
      </c>
      <c r="B2583" s="23" t="s">
        <v>5134</v>
      </c>
    </row>
    <row r="2584" ht="14.399999999999999" customHeight="1">
      <c r="A2584" s="23" t="s">
        <v>5135</v>
      </c>
      <c r="B2584" s="23" t="s">
        <v>5136</v>
      </c>
    </row>
    <row r="2585" ht="14.399999999999999" customHeight="1">
      <c r="A2585" s="23" t="s">
        <v>5137</v>
      </c>
      <c r="B2585" s="23" t="s">
        <v>5138</v>
      </c>
    </row>
    <row r="2586" ht="14.399999999999999" customHeight="1">
      <c r="A2586" s="23" t="s">
        <v>5139</v>
      </c>
      <c r="B2586" s="23" t="s">
        <v>5140</v>
      </c>
    </row>
    <row r="2587" ht="14.399999999999999" customHeight="1">
      <c r="A2587" s="23" t="s">
        <v>5141</v>
      </c>
      <c r="B2587" s="23" t="s">
        <v>5142</v>
      </c>
    </row>
    <row r="2588" ht="14.399999999999999" customHeight="1">
      <c r="A2588" s="23" t="s">
        <v>5143</v>
      </c>
      <c r="B2588" s="23" t="s">
        <v>5144</v>
      </c>
    </row>
    <row r="2589" ht="14.399999999999999" customHeight="1">
      <c r="A2589" s="23" t="s">
        <v>5145</v>
      </c>
      <c r="B2589" s="23" t="s">
        <v>5146</v>
      </c>
    </row>
    <row r="2590" ht="14.399999999999999" customHeight="1">
      <c r="A2590" s="23" t="s">
        <v>5147</v>
      </c>
      <c r="B2590" s="23" t="s">
        <v>5148</v>
      </c>
    </row>
    <row r="2591" ht="14.399999999999999" customHeight="1">
      <c r="A2591" s="23" t="s">
        <v>5149</v>
      </c>
      <c r="B2591" s="23" t="s">
        <v>5150</v>
      </c>
    </row>
    <row r="2592" ht="14.399999999999999" customHeight="1">
      <c r="A2592" s="23" t="s">
        <v>5151</v>
      </c>
      <c r="B2592" s="23" t="s">
        <v>5152</v>
      </c>
    </row>
    <row r="2593" ht="14.399999999999999" customHeight="1">
      <c r="A2593" s="23" t="s">
        <v>5153</v>
      </c>
      <c r="B2593" s="23" t="s">
        <v>5154</v>
      </c>
    </row>
    <row r="2594" ht="14.399999999999999" customHeight="1">
      <c r="A2594" s="23" t="s">
        <v>5155</v>
      </c>
      <c r="B2594" s="23" t="s">
        <v>5156</v>
      </c>
    </row>
    <row r="2595" ht="14.399999999999999" customHeight="1">
      <c r="A2595" s="23" t="s">
        <v>5157</v>
      </c>
      <c r="B2595" s="23" t="s">
        <v>5158</v>
      </c>
    </row>
    <row r="2596" ht="14.399999999999999" customHeight="1">
      <c r="A2596" s="23" t="s">
        <v>5159</v>
      </c>
      <c r="B2596" s="23" t="s">
        <v>5160</v>
      </c>
    </row>
    <row r="2597" ht="14.399999999999999" customHeight="1">
      <c r="A2597" s="23" t="s">
        <v>5161</v>
      </c>
      <c r="B2597" s="23" t="s">
        <v>5162</v>
      </c>
    </row>
    <row r="2598" ht="14.399999999999999" customHeight="1">
      <c r="A2598" s="23" t="s">
        <v>5163</v>
      </c>
      <c r="B2598" s="23" t="s">
        <v>5164</v>
      </c>
    </row>
    <row r="2599" ht="14.399999999999999" customHeight="1">
      <c r="A2599" s="23" t="s">
        <v>5165</v>
      </c>
      <c r="B2599" s="23" t="s">
        <v>5166</v>
      </c>
    </row>
    <row r="2600" ht="14.399999999999999" customHeight="1">
      <c r="A2600" s="23" t="s">
        <v>5167</v>
      </c>
      <c r="B2600" s="23" t="s">
        <v>5168</v>
      </c>
    </row>
    <row r="2601" ht="14.399999999999999" customHeight="1">
      <c r="A2601" s="23" t="s">
        <v>5169</v>
      </c>
      <c r="B2601" s="23" t="s">
        <v>5170</v>
      </c>
    </row>
    <row r="2602" ht="14.399999999999999" customHeight="1">
      <c r="A2602" s="23" t="s">
        <v>5171</v>
      </c>
      <c r="B2602" s="23" t="s">
        <v>5172</v>
      </c>
    </row>
    <row r="2603" ht="14.399999999999999" customHeight="1">
      <c r="A2603" s="23" t="s">
        <v>5173</v>
      </c>
      <c r="B2603" s="23" t="s">
        <v>5174</v>
      </c>
    </row>
    <row r="2604" ht="14.399999999999999" customHeight="1">
      <c r="A2604" s="23" t="s">
        <v>5175</v>
      </c>
      <c r="B2604" s="23" t="s">
        <v>5176</v>
      </c>
    </row>
    <row r="2605" ht="14.399999999999999" customHeight="1">
      <c r="A2605" s="23" t="s">
        <v>5177</v>
      </c>
      <c r="B2605" s="23" t="s">
        <v>5178</v>
      </c>
    </row>
    <row r="2606" ht="14.399999999999999" customHeight="1">
      <c r="A2606" s="23" t="s">
        <v>5179</v>
      </c>
      <c r="B2606" s="23" t="s">
        <v>5180</v>
      </c>
    </row>
    <row r="2607" ht="14.399999999999999" customHeight="1">
      <c r="A2607" s="23" t="s">
        <v>5181</v>
      </c>
      <c r="B2607" s="23" t="s">
        <v>5182</v>
      </c>
    </row>
    <row r="2608" ht="14.399999999999999" customHeight="1">
      <c r="A2608" s="23" t="s">
        <v>5183</v>
      </c>
      <c r="B2608" s="23" t="s">
        <v>5184</v>
      </c>
    </row>
    <row r="2609" ht="14.399999999999999" customHeight="1">
      <c r="A2609" s="23" t="s">
        <v>5185</v>
      </c>
      <c r="B2609" s="23" t="s">
        <v>5186</v>
      </c>
    </row>
    <row r="2610" ht="14.399999999999999" customHeight="1">
      <c r="A2610" s="23" t="s">
        <v>5187</v>
      </c>
      <c r="B2610" s="23" t="s">
        <v>5188</v>
      </c>
    </row>
    <row r="2611" ht="14.399999999999999" customHeight="1">
      <c r="A2611" s="23" t="s">
        <v>5189</v>
      </c>
      <c r="B2611" s="23" t="s">
        <v>5190</v>
      </c>
    </row>
    <row r="2612" ht="14.399999999999999" customHeight="1">
      <c r="A2612" s="23" t="s">
        <v>5191</v>
      </c>
      <c r="B2612" s="23" t="s">
        <v>5192</v>
      </c>
    </row>
    <row r="2613" ht="14.399999999999999" customHeight="1">
      <c r="A2613" s="23" t="s">
        <v>5193</v>
      </c>
      <c r="B2613" s="23" t="s">
        <v>5194</v>
      </c>
    </row>
    <row r="2614" ht="14.399999999999999" customHeight="1">
      <c r="A2614" s="23" t="s">
        <v>5195</v>
      </c>
      <c r="B2614" s="23" t="s">
        <v>5196</v>
      </c>
    </row>
    <row r="2615" ht="14.399999999999999" customHeight="1">
      <c r="A2615" s="23" t="s">
        <v>5197</v>
      </c>
      <c r="B2615" s="23" t="s">
        <v>5198</v>
      </c>
    </row>
    <row r="2616" ht="14.399999999999999" customHeight="1">
      <c r="A2616" s="23" t="s">
        <v>5199</v>
      </c>
      <c r="B2616" s="23" t="s">
        <v>5200</v>
      </c>
    </row>
    <row r="2617" ht="14.399999999999999" customHeight="1">
      <c r="A2617" s="23" t="s">
        <v>5201</v>
      </c>
      <c r="B2617" s="23" t="s">
        <v>5202</v>
      </c>
    </row>
    <row r="2618" ht="14.399999999999999" customHeight="1">
      <c r="A2618" s="23" t="s">
        <v>5203</v>
      </c>
      <c r="B2618" s="23" t="s">
        <v>5204</v>
      </c>
    </row>
    <row r="2619" ht="14.399999999999999" customHeight="1">
      <c r="A2619" s="23" t="s">
        <v>5205</v>
      </c>
      <c r="B2619" s="23" t="s">
        <v>5206</v>
      </c>
    </row>
    <row r="2620" ht="14.399999999999999" customHeight="1">
      <c r="A2620" s="23" t="s">
        <v>5207</v>
      </c>
      <c r="B2620" s="23" t="s">
        <v>5208</v>
      </c>
    </row>
    <row r="2621" ht="14.399999999999999" customHeight="1">
      <c r="A2621" s="23" t="s">
        <v>5209</v>
      </c>
      <c r="B2621" s="23" t="s">
        <v>5210</v>
      </c>
    </row>
    <row r="2622" ht="14.399999999999999" customHeight="1">
      <c r="A2622" s="23" t="s">
        <v>5211</v>
      </c>
      <c r="B2622" s="23" t="s">
        <v>5212</v>
      </c>
    </row>
    <row r="2623" ht="14.399999999999999" customHeight="1">
      <c r="A2623" s="23" t="s">
        <v>5213</v>
      </c>
      <c r="B2623" s="23" t="s">
        <v>5214</v>
      </c>
    </row>
    <row r="2624" ht="14.399999999999999" customHeight="1">
      <c r="A2624" s="23" t="s">
        <v>5215</v>
      </c>
      <c r="B2624" s="23" t="s">
        <v>5216</v>
      </c>
    </row>
    <row r="2625" ht="14.399999999999999" customHeight="1">
      <c r="A2625" s="23" t="s">
        <v>5217</v>
      </c>
      <c r="B2625" s="23" t="s">
        <v>5218</v>
      </c>
    </row>
    <row r="2626" ht="14.399999999999999" customHeight="1">
      <c r="A2626" s="23" t="s">
        <v>5219</v>
      </c>
      <c r="B2626" s="23" t="s">
        <v>5220</v>
      </c>
    </row>
    <row r="2627" ht="14.399999999999999" customHeight="1">
      <c r="A2627" s="23" t="s">
        <v>5221</v>
      </c>
      <c r="B2627" s="23" t="s">
        <v>5222</v>
      </c>
    </row>
    <row r="2628" ht="14.399999999999999" customHeight="1">
      <c r="A2628" s="23" t="s">
        <v>5223</v>
      </c>
      <c r="B2628" s="23" t="s">
        <v>5224</v>
      </c>
    </row>
    <row r="2629" ht="14.399999999999999" customHeight="1">
      <c r="A2629" s="23" t="s">
        <v>5225</v>
      </c>
      <c r="B2629" s="23" t="s">
        <v>5226</v>
      </c>
    </row>
    <row r="2630" ht="14.399999999999999" customHeight="1">
      <c r="A2630" s="23" t="s">
        <v>5227</v>
      </c>
      <c r="B2630" s="23" t="s">
        <v>5228</v>
      </c>
    </row>
    <row r="2631" ht="14.399999999999999" customHeight="1">
      <c r="A2631" s="23" t="s">
        <v>5229</v>
      </c>
      <c r="B2631" s="23" t="s">
        <v>5230</v>
      </c>
    </row>
    <row r="2632" ht="14.399999999999999" customHeight="1">
      <c r="A2632" s="23" t="s">
        <v>5231</v>
      </c>
      <c r="B2632" s="23" t="s">
        <v>5232</v>
      </c>
    </row>
    <row r="2633" ht="14.399999999999999" customHeight="1">
      <c r="A2633" s="23" t="s">
        <v>5233</v>
      </c>
      <c r="B2633" s="23" t="s">
        <v>5234</v>
      </c>
    </row>
    <row r="2634" ht="14.399999999999999" customHeight="1">
      <c r="A2634" s="23" t="s">
        <v>5235</v>
      </c>
      <c r="B2634" s="23" t="s">
        <v>5236</v>
      </c>
    </row>
    <row r="2635" ht="14.399999999999999" customHeight="1">
      <c r="A2635" s="23" t="s">
        <v>5237</v>
      </c>
      <c r="B2635" s="23" t="s">
        <v>5238</v>
      </c>
    </row>
    <row r="2636" ht="14.399999999999999" customHeight="1">
      <c r="A2636" s="23" t="s">
        <v>5239</v>
      </c>
      <c r="B2636" s="23" t="s">
        <v>5240</v>
      </c>
    </row>
    <row r="2637" ht="14.399999999999999" customHeight="1">
      <c r="A2637" s="23" t="s">
        <v>5241</v>
      </c>
      <c r="B2637" s="23" t="s">
        <v>5242</v>
      </c>
    </row>
    <row r="2638" ht="14.399999999999999" customHeight="1">
      <c r="A2638" s="23" t="s">
        <v>5243</v>
      </c>
      <c r="B2638" s="23" t="s">
        <v>5244</v>
      </c>
    </row>
    <row r="2639" ht="14.399999999999999" customHeight="1">
      <c r="A2639" s="23" t="s">
        <v>5245</v>
      </c>
      <c r="B2639" s="23" t="s">
        <v>5246</v>
      </c>
    </row>
    <row r="2640" ht="14.399999999999999" customHeight="1">
      <c r="A2640" s="23" t="s">
        <v>5247</v>
      </c>
      <c r="B2640" s="23" t="s">
        <v>5248</v>
      </c>
    </row>
    <row r="2641" ht="14.399999999999999" customHeight="1">
      <c r="A2641" s="23" t="s">
        <v>5249</v>
      </c>
      <c r="B2641" s="23" t="s">
        <v>5250</v>
      </c>
    </row>
    <row r="2642" ht="14.399999999999999" customHeight="1">
      <c r="A2642" s="23" t="s">
        <v>5251</v>
      </c>
      <c r="B2642" s="23" t="s">
        <v>5252</v>
      </c>
    </row>
    <row r="2643" ht="14.399999999999999" customHeight="1">
      <c r="A2643" s="23" t="s">
        <v>5253</v>
      </c>
      <c r="B2643" s="23" t="s">
        <v>5254</v>
      </c>
    </row>
    <row r="2644" ht="14.399999999999999" customHeight="1">
      <c r="A2644" s="23" t="s">
        <v>5255</v>
      </c>
      <c r="B2644" s="23" t="s">
        <v>5256</v>
      </c>
    </row>
    <row r="2645" ht="14.399999999999999" customHeight="1">
      <c r="A2645" s="23" t="s">
        <v>5257</v>
      </c>
      <c r="B2645" s="23" t="s">
        <v>5258</v>
      </c>
    </row>
    <row r="2646" ht="14.399999999999999" customHeight="1">
      <c r="A2646" s="23" t="s">
        <v>5259</v>
      </c>
      <c r="B2646" s="23" t="s">
        <v>5260</v>
      </c>
    </row>
    <row r="2647" ht="14.399999999999999" customHeight="1">
      <c r="A2647" s="23" t="s">
        <v>5261</v>
      </c>
      <c r="B2647" s="23" t="s">
        <v>5262</v>
      </c>
    </row>
    <row r="2648" ht="14.399999999999999" customHeight="1">
      <c r="A2648" s="21" t="s">
        <v>5263</v>
      </c>
      <c r="B2648" s="23" t="s">
        <v>5264</v>
      </c>
    </row>
    <row r="2649" ht="14.399999999999999" customHeight="1">
      <c r="A2649" s="23" t="s">
        <v>5265</v>
      </c>
      <c r="B2649" s="23" t="s">
        <v>5266</v>
      </c>
    </row>
    <row r="2650" ht="14.399999999999999" customHeight="1">
      <c r="A2650" s="21" t="s">
        <v>5267</v>
      </c>
      <c r="B2650" s="23" t="s">
        <v>5268</v>
      </c>
    </row>
    <row r="2651" ht="14.399999999999999" customHeight="1">
      <c r="A2651" s="23" t="s">
        <v>5269</v>
      </c>
      <c r="B2651" s="23" t="s">
        <v>5270</v>
      </c>
    </row>
    <row r="2652" ht="14.399999999999999" customHeight="1">
      <c r="A2652" s="23" t="s">
        <v>5271</v>
      </c>
      <c r="B2652" s="23" t="s">
        <v>5272</v>
      </c>
    </row>
    <row r="2653" ht="14.399999999999999" customHeight="1">
      <c r="A2653" s="23" t="s">
        <v>5273</v>
      </c>
      <c r="B2653" s="23" t="s">
        <v>75</v>
      </c>
    </row>
    <row r="2654" ht="14.399999999999999" customHeight="1">
      <c r="A2654" s="21" t="s">
        <v>5274</v>
      </c>
      <c r="B2654" s="23" t="s">
        <v>5275</v>
      </c>
    </row>
    <row r="2655" ht="14.399999999999999" customHeight="1">
      <c r="A2655" s="23" t="s">
        <v>5276</v>
      </c>
      <c r="B2655" s="23" t="s">
        <v>5277</v>
      </c>
    </row>
    <row r="2656" ht="14.399999999999999" customHeight="1">
      <c r="A2656" s="23" t="s">
        <v>5278</v>
      </c>
      <c r="B2656" s="23" t="s">
        <v>5279</v>
      </c>
    </row>
    <row r="2657" ht="14.399999999999999" customHeight="1">
      <c r="A2657" s="23" t="s">
        <v>5280</v>
      </c>
      <c r="B2657" s="23" t="s">
        <v>5281</v>
      </c>
    </row>
    <row r="2658" ht="14.399999999999999" customHeight="1">
      <c r="A2658" s="21" t="s">
        <v>5282</v>
      </c>
      <c r="B2658" s="23" t="s">
        <v>5283</v>
      </c>
    </row>
    <row r="2659" ht="14.399999999999999" customHeight="1">
      <c r="A2659" s="23" t="s">
        <v>5284</v>
      </c>
      <c r="B2659" s="23" t="s">
        <v>5285</v>
      </c>
    </row>
    <row r="2660" ht="14.399999999999999" customHeight="1">
      <c r="A2660" s="23" t="s">
        <v>5286</v>
      </c>
      <c r="B2660" s="23" t="s">
        <v>5287</v>
      </c>
    </row>
    <row r="2661" ht="14.399999999999999" customHeight="1">
      <c r="A2661" s="23" t="s">
        <v>5288</v>
      </c>
      <c r="B2661" s="23" t="s">
        <v>5289</v>
      </c>
    </row>
    <row r="2662" ht="14.399999999999999" customHeight="1">
      <c r="A2662" s="23" t="s">
        <v>5290</v>
      </c>
      <c r="B2662" s="23" t="s">
        <v>5291</v>
      </c>
    </row>
    <row r="2663" ht="14.399999999999999" customHeight="1">
      <c r="A2663" s="23" t="s">
        <v>5292</v>
      </c>
      <c r="B2663" s="23" t="s">
        <v>5293</v>
      </c>
    </row>
    <row r="2664" ht="14.399999999999999" customHeight="1">
      <c r="A2664" s="23" t="s">
        <v>5294</v>
      </c>
      <c r="B2664" s="23" t="s">
        <v>5295</v>
      </c>
    </row>
    <row r="2665" ht="14.399999999999999" customHeight="1">
      <c r="A2665" s="23" t="s">
        <v>5296</v>
      </c>
      <c r="B2665" s="23" t="s">
        <v>5297</v>
      </c>
    </row>
    <row r="2666" ht="14.399999999999999" customHeight="1">
      <c r="A2666" s="23" t="s">
        <v>5298</v>
      </c>
      <c r="B2666" s="23" t="s">
        <v>5299</v>
      </c>
    </row>
    <row r="2667" ht="14.399999999999999" customHeight="1">
      <c r="A2667" s="23" t="s">
        <v>5300</v>
      </c>
      <c r="B2667" s="23" t="s">
        <v>5301</v>
      </c>
    </row>
    <row r="2668" ht="14.399999999999999" customHeight="1">
      <c r="A2668" s="23" t="s">
        <v>5302</v>
      </c>
      <c r="B2668" s="23" t="s">
        <v>5303</v>
      </c>
    </row>
    <row r="2669" ht="14.399999999999999" customHeight="1">
      <c r="A2669" s="23" t="s">
        <v>5304</v>
      </c>
      <c r="B2669" s="23" t="s">
        <v>5305</v>
      </c>
    </row>
    <row r="2670" ht="14.399999999999999" customHeight="1">
      <c r="A2670" s="23" t="s">
        <v>5306</v>
      </c>
      <c r="B2670" s="23" t="s">
        <v>5307</v>
      </c>
    </row>
    <row r="2671" ht="14.399999999999999" customHeight="1">
      <c r="A2671" s="23" t="s">
        <v>5308</v>
      </c>
      <c r="B2671" s="23" t="s">
        <v>5309</v>
      </c>
    </row>
    <row r="2672" ht="14.399999999999999" customHeight="1">
      <c r="A2672" s="23" t="s">
        <v>5310</v>
      </c>
      <c r="B2672" s="23" t="s">
        <v>5311</v>
      </c>
    </row>
    <row r="2673" ht="14.399999999999999" customHeight="1">
      <c r="A2673" s="21" t="s">
        <v>5312</v>
      </c>
      <c r="B2673" s="23" t="s">
        <v>5313</v>
      </c>
    </row>
    <row r="2674" ht="14.399999999999999" customHeight="1">
      <c r="A2674" s="23" t="s">
        <v>5314</v>
      </c>
      <c r="B2674" s="23" t="s">
        <v>5315</v>
      </c>
    </row>
    <row r="2675" ht="14.399999999999999" customHeight="1">
      <c r="A2675" s="23" t="s">
        <v>5316</v>
      </c>
      <c r="B2675" s="23" t="s">
        <v>5317</v>
      </c>
    </row>
    <row r="2676" ht="14.399999999999999" customHeight="1">
      <c r="A2676" s="23" t="s">
        <v>5318</v>
      </c>
      <c r="B2676" s="23" t="s">
        <v>5319</v>
      </c>
    </row>
    <row r="2677" ht="14.399999999999999" customHeight="1">
      <c r="A2677" s="23" t="s">
        <v>5320</v>
      </c>
      <c r="B2677" s="23" t="s">
        <v>5321</v>
      </c>
    </row>
    <row r="2678" ht="14.399999999999999" customHeight="1">
      <c r="A2678" s="21" t="s">
        <v>5322</v>
      </c>
      <c r="B2678" s="23" t="s">
        <v>5323</v>
      </c>
    </row>
    <row r="2679" ht="14.399999999999999" customHeight="1">
      <c r="A2679" s="21" t="s">
        <v>5324</v>
      </c>
      <c r="B2679" s="23" t="s">
        <v>5325</v>
      </c>
    </row>
    <row r="2680" ht="14.399999999999999" customHeight="1">
      <c r="A2680" s="21" t="s">
        <v>5326</v>
      </c>
      <c r="B2680" s="23" t="s">
        <v>5327</v>
      </c>
    </row>
    <row r="2681" ht="14.399999999999999" customHeight="1">
      <c r="A2681" s="23" t="s">
        <v>5328</v>
      </c>
      <c r="B2681" s="23" t="s">
        <v>5329</v>
      </c>
    </row>
    <row r="2682" ht="14.399999999999999" customHeight="1">
      <c r="A2682" s="23" t="s">
        <v>5330</v>
      </c>
      <c r="B2682" s="23" t="s">
        <v>5331</v>
      </c>
    </row>
    <row r="2683" ht="14.399999999999999" customHeight="1">
      <c r="A2683" s="23" t="s">
        <v>5332</v>
      </c>
      <c r="B2683" s="23" t="s">
        <v>5333</v>
      </c>
    </row>
    <row r="2684" ht="14.399999999999999" customHeight="1">
      <c r="A2684" s="23" t="s">
        <v>5334</v>
      </c>
      <c r="B2684" s="23" t="s">
        <v>5335</v>
      </c>
    </row>
    <row r="2685" ht="14.399999999999999" customHeight="1">
      <c r="A2685" s="23" t="s">
        <v>5336</v>
      </c>
      <c r="B2685" s="23" t="s">
        <v>5337</v>
      </c>
    </row>
    <row r="2686" ht="14.399999999999999" customHeight="1">
      <c r="A2686" s="23" t="s">
        <v>5338</v>
      </c>
      <c r="B2686" s="23" t="s">
        <v>5339</v>
      </c>
    </row>
    <row r="2687" ht="14.399999999999999" customHeight="1">
      <c r="A2687" s="21" t="s">
        <v>5340</v>
      </c>
      <c r="B2687" s="23" t="s">
        <v>5341</v>
      </c>
    </row>
    <row r="2688" ht="14.399999999999999" customHeight="1">
      <c r="A2688" s="21" t="s">
        <v>5342</v>
      </c>
      <c r="B2688" s="23" t="s">
        <v>5343</v>
      </c>
    </row>
    <row r="2689" ht="14.399999999999999" customHeight="1">
      <c r="A2689" s="23" t="s">
        <v>5344</v>
      </c>
      <c r="B2689" s="23" t="s">
        <v>5345</v>
      </c>
    </row>
    <row r="2690" ht="14.399999999999999" customHeight="1">
      <c r="A2690" s="23" t="s">
        <v>5346</v>
      </c>
      <c r="B2690" s="23" t="s">
        <v>5347</v>
      </c>
    </row>
    <row r="2691" ht="14.399999999999999" customHeight="1">
      <c r="A2691" s="21" t="s">
        <v>5348</v>
      </c>
      <c r="B2691" s="23" t="s">
        <v>5349</v>
      </c>
    </row>
    <row r="2692" ht="14.399999999999999" customHeight="1">
      <c r="A2692" s="21" t="s">
        <v>5350</v>
      </c>
      <c r="B2692" s="23" t="s">
        <v>5351</v>
      </c>
    </row>
    <row r="2693" ht="14.399999999999999" customHeight="1">
      <c r="A2693" s="23" t="s">
        <v>5352</v>
      </c>
      <c r="B2693" s="23" t="s">
        <v>5353</v>
      </c>
    </row>
    <row r="2694" ht="14.399999999999999" customHeight="1">
      <c r="A2694" s="23" t="s">
        <v>5354</v>
      </c>
      <c r="B2694" s="23" t="s">
        <v>5355</v>
      </c>
    </row>
    <row r="2695" ht="14.399999999999999" customHeight="1">
      <c r="A2695" s="23" t="s">
        <v>5356</v>
      </c>
      <c r="B2695" s="23" t="s">
        <v>5357</v>
      </c>
    </row>
    <row r="2696" ht="14.399999999999999" customHeight="1">
      <c r="A2696" s="23" t="s">
        <v>5358</v>
      </c>
      <c r="B2696" s="23" t="s">
        <v>5359</v>
      </c>
    </row>
    <row r="2697" ht="14.399999999999999" customHeight="1">
      <c r="A2697" s="23" t="s">
        <v>5360</v>
      </c>
      <c r="B2697" s="23" t="s">
        <v>5361</v>
      </c>
    </row>
    <row r="2698" ht="14.399999999999999" customHeight="1">
      <c r="A2698" s="23" t="s">
        <v>5362</v>
      </c>
      <c r="B2698" s="23" t="s">
        <v>5363</v>
      </c>
    </row>
    <row r="2699" ht="14.399999999999999" customHeight="1">
      <c r="A2699" s="21" t="s">
        <v>5364</v>
      </c>
      <c r="B2699" s="23" t="s">
        <v>5365</v>
      </c>
    </row>
    <row r="2700" ht="14.399999999999999" customHeight="1">
      <c r="A2700" s="23" t="s">
        <v>5366</v>
      </c>
      <c r="B2700" s="23" t="s">
        <v>5367</v>
      </c>
    </row>
    <row r="2701" ht="14.399999999999999" customHeight="1">
      <c r="A2701" s="23" t="s">
        <v>5368</v>
      </c>
      <c r="B2701" s="23" t="s">
        <v>5369</v>
      </c>
    </row>
    <row r="2702" ht="14.399999999999999" customHeight="1">
      <c r="A2702" s="21" t="s">
        <v>5370</v>
      </c>
      <c r="B2702" s="23" t="s">
        <v>5371</v>
      </c>
    </row>
    <row r="2703" ht="14.399999999999999" customHeight="1">
      <c r="A2703" s="23" t="s">
        <v>5372</v>
      </c>
      <c r="B2703" s="23" t="s">
        <v>5373</v>
      </c>
    </row>
    <row r="2704" ht="14.399999999999999" customHeight="1">
      <c r="A2704" s="21" t="s">
        <v>5374</v>
      </c>
      <c r="B2704" s="23" t="s">
        <v>5375</v>
      </c>
    </row>
    <row r="2705" ht="14.399999999999999" customHeight="1">
      <c r="A2705" s="21" t="s">
        <v>5376</v>
      </c>
      <c r="B2705" s="23" t="s">
        <v>5377</v>
      </c>
    </row>
    <row r="2706" ht="14.399999999999999" customHeight="1">
      <c r="A2706" s="23" t="s">
        <v>5378</v>
      </c>
      <c r="B2706" s="23" t="s">
        <v>5379</v>
      </c>
    </row>
    <row r="2707" ht="14.399999999999999" customHeight="1">
      <c r="A2707" s="23" t="s">
        <v>5380</v>
      </c>
      <c r="B2707" s="23" t="s">
        <v>5381</v>
      </c>
    </row>
    <row r="2708" ht="14.399999999999999" customHeight="1">
      <c r="A2708" s="23" t="s">
        <v>5382</v>
      </c>
      <c r="B2708" s="23" t="s">
        <v>5383</v>
      </c>
    </row>
    <row r="2709" ht="14.399999999999999" customHeight="1">
      <c r="A2709" s="23" t="s">
        <v>5384</v>
      </c>
      <c r="B2709" s="23" t="s">
        <v>5385</v>
      </c>
    </row>
    <row r="2710" ht="14.399999999999999" customHeight="1">
      <c r="A2710" s="23" t="s">
        <v>5386</v>
      </c>
      <c r="B2710" s="23" t="s">
        <v>5387</v>
      </c>
    </row>
    <row r="2711" ht="14.399999999999999" customHeight="1">
      <c r="A2711" s="21" t="s">
        <v>5388</v>
      </c>
      <c r="B2711" s="23" t="s">
        <v>5389</v>
      </c>
    </row>
    <row r="2712" ht="14.399999999999999" customHeight="1">
      <c r="A2712" s="23" t="s">
        <v>5390</v>
      </c>
      <c r="B2712" s="23" t="s">
        <v>5391</v>
      </c>
    </row>
    <row r="2713" ht="14.399999999999999" customHeight="1">
      <c r="A2713" s="23" t="s">
        <v>5392</v>
      </c>
      <c r="B2713" s="23" t="s">
        <v>5393</v>
      </c>
    </row>
    <row r="2714" ht="14.399999999999999" customHeight="1">
      <c r="A2714" s="23" t="s">
        <v>5394</v>
      </c>
      <c r="B2714" s="23" t="s">
        <v>5395</v>
      </c>
    </row>
    <row r="2715" ht="14.399999999999999" customHeight="1">
      <c r="A2715" s="21" t="s">
        <v>5396</v>
      </c>
      <c r="B2715" s="23" t="s">
        <v>5397</v>
      </c>
    </row>
    <row r="2716" ht="14.399999999999999" customHeight="1">
      <c r="A2716" s="23" t="s">
        <v>5398</v>
      </c>
      <c r="B2716" s="23" t="s">
        <v>5399</v>
      </c>
    </row>
    <row r="2717" ht="14.399999999999999" customHeight="1">
      <c r="A2717" s="21" t="s">
        <v>5400</v>
      </c>
      <c r="B2717" s="23" t="s">
        <v>5401</v>
      </c>
    </row>
    <row r="2718" ht="14.399999999999999" customHeight="1">
      <c r="A2718" s="21" t="s">
        <v>5402</v>
      </c>
      <c r="B2718" s="23" t="s">
        <v>5403</v>
      </c>
    </row>
    <row r="2719" ht="14.399999999999999" customHeight="1">
      <c r="A2719" s="23" t="s">
        <v>5404</v>
      </c>
      <c r="B2719" s="23" t="s">
        <v>5405</v>
      </c>
    </row>
    <row r="2720" ht="14.399999999999999" customHeight="1">
      <c r="A2720" s="23" t="s">
        <v>5406</v>
      </c>
      <c r="B2720" s="23" t="s">
        <v>5407</v>
      </c>
    </row>
    <row r="2721" ht="14.399999999999999" customHeight="1">
      <c r="A2721" s="23" t="s">
        <v>5408</v>
      </c>
      <c r="B2721" s="23" t="s">
        <v>5409</v>
      </c>
    </row>
    <row r="2722" ht="14.399999999999999" customHeight="1">
      <c r="A2722" s="21" t="s">
        <v>5410</v>
      </c>
      <c r="B2722" s="23" t="s">
        <v>5411</v>
      </c>
    </row>
    <row r="2723" ht="14.399999999999999" customHeight="1">
      <c r="A2723" s="21" t="s">
        <v>5412</v>
      </c>
      <c r="B2723" s="23" t="s">
        <v>5413</v>
      </c>
    </row>
    <row r="2724" ht="14.399999999999999" customHeight="1">
      <c r="A2724" s="23" t="s">
        <v>5414</v>
      </c>
      <c r="B2724" s="23" t="s">
        <v>5415</v>
      </c>
    </row>
    <row r="2725" ht="14.399999999999999" customHeight="1">
      <c r="A2725" s="21" t="s">
        <v>5416</v>
      </c>
      <c r="B2725" s="23" t="s">
        <v>5417</v>
      </c>
    </row>
    <row r="2726" ht="14.399999999999999" customHeight="1">
      <c r="A2726" s="23" t="s">
        <v>5418</v>
      </c>
      <c r="B2726" s="23" t="s">
        <v>5419</v>
      </c>
    </row>
    <row r="2727" ht="14.399999999999999" customHeight="1">
      <c r="A2727" s="23" t="s">
        <v>5420</v>
      </c>
      <c r="B2727" s="23" t="s">
        <v>5421</v>
      </c>
    </row>
    <row r="2728" ht="14.399999999999999" customHeight="1">
      <c r="A2728" s="23" t="s">
        <v>5422</v>
      </c>
      <c r="B2728" s="23" t="s">
        <v>5423</v>
      </c>
    </row>
    <row r="2729" ht="14.399999999999999" customHeight="1">
      <c r="A2729" s="23" t="s">
        <v>5424</v>
      </c>
      <c r="B2729" s="23" t="s">
        <v>5425</v>
      </c>
    </row>
    <row r="2730" ht="14.399999999999999" customHeight="1">
      <c r="A2730" s="21" t="s">
        <v>5426</v>
      </c>
      <c r="B2730" s="23" t="s">
        <v>5427</v>
      </c>
    </row>
    <row r="2731" ht="14.399999999999999" customHeight="1">
      <c r="A2731" s="21" t="s">
        <v>5428</v>
      </c>
      <c r="B2731" s="23" t="s">
        <v>5429</v>
      </c>
    </row>
    <row r="2732" ht="14.399999999999999" customHeight="1">
      <c r="A2732" s="23" t="s">
        <v>5430</v>
      </c>
      <c r="B2732" s="23" t="s">
        <v>5431</v>
      </c>
    </row>
    <row r="2733" ht="14.399999999999999" customHeight="1">
      <c r="A2733" s="23" t="s">
        <v>5432</v>
      </c>
      <c r="B2733" s="23" t="s">
        <v>5433</v>
      </c>
    </row>
    <row r="2734" ht="14.399999999999999" customHeight="1">
      <c r="A2734" s="23" t="s">
        <v>5434</v>
      </c>
      <c r="B2734" s="23" t="s">
        <v>5435</v>
      </c>
    </row>
    <row r="2735" ht="14.399999999999999" customHeight="1">
      <c r="A2735" s="21" t="s">
        <v>5436</v>
      </c>
      <c r="B2735" s="23" t="s">
        <v>5437</v>
      </c>
    </row>
    <row r="2736" ht="14.399999999999999" customHeight="1">
      <c r="A2736" s="23" t="s">
        <v>5438</v>
      </c>
      <c r="B2736" s="23" t="s">
        <v>5439</v>
      </c>
    </row>
    <row r="2737" ht="14.399999999999999" customHeight="1">
      <c r="A2737" s="21" t="s">
        <v>5440</v>
      </c>
      <c r="B2737" s="23" t="s">
        <v>5441</v>
      </c>
    </row>
    <row r="2738" ht="14.399999999999999" customHeight="1">
      <c r="A2738" s="23" t="s">
        <v>5442</v>
      </c>
      <c r="B2738" s="23" t="s">
        <v>5443</v>
      </c>
    </row>
    <row r="2739" ht="14.399999999999999" customHeight="1">
      <c r="A2739" s="21" t="s">
        <v>5444</v>
      </c>
      <c r="B2739" s="23" t="s">
        <v>5445</v>
      </c>
    </row>
    <row r="2740" ht="14.399999999999999" customHeight="1">
      <c r="A2740" s="23" t="s">
        <v>5446</v>
      </c>
      <c r="B2740" s="23" t="s">
        <v>5447</v>
      </c>
    </row>
    <row r="2741" ht="14.399999999999999" customHeight="1">
      <c r="A2741" s="21" t="s">
        <v>5448</v>
      </c>
      <c r="B2741" s="23" t="s">
        <v>5449</v>
      </c>
    </row>
    <row r="2742" ht="14.399999999999999" customHeight="1">
      <c r="A2742" s="23" t="s">
        <v>5450</v>
      </c>
      <c r="B2742" s="23" t="s">
        <v>5451</v>
      </c>
    </row>
    <row r="2743" ht="14.399999999999999" customHeight="1">
      <c r="A2743" s="21" t="s">
        <v>5452</v>
      </c>
      <c r="B2743" s="23" t="s">
        <v>5453</v>
      </c>
    </row>
    <row r="2744" ht="14.399999999999999" customHeight="1">
      <c r="A2744" s="23" t="s">
        <v>5454</v>
      </c>
      <c r="B2744" s="23" t="s">
        <v>5455</v>
      </c>
    </row>
    <row r="2745" ht="14.399999999999999" customHeight="1">
      <c r="A2745" s="21" t="s">
        <v>5456</v>
      </c>
      <c r="B2745" s="23" t="s">
        <v>5457</v>
      </c>
    </row>
    <row r="2746" ht="14.399999999999999" customHeight="1">
      <c r="A2746" s="23" t="s">
        <v>5458</v>
      </c>
      <c r="B2746" s="23" t="s">
        <v>5459</v>
      </c>
    </row>
    <row r="2747" ht="14.399999999999999" customHeight="1">
      <c r="A2747" s="23" t="s">
        <v>5460</v>
      </c>
      <c r="B2747" s="23" t="s">
        <v>5461</v>
      </c>
    </row>
    <row r="2748" ht="14.399999999999999" customHeight="1">
      <c r="A2748" s="23" t="s">
        <v>5462</v>
      </c>
      <c r="B2748" s="23" t="s">
        <v>5463</v>
      </c>
    </row>
    <row r="2749" ht="14.399999999999999" customHeight="1">
      <c r="A2749" s="21" t="s">
        <v>5464</v>
      </c>
      <c r="B2749" s="23" t="s">
        <v>5465</v>
      </c>
    </row>
    <row r="2750" ht="14.399999999999999" customHeight="1">
      <c r="A2750" s="21" t="s">
        <v>5466</v>
      </c>
      <c r="B2750" s="23" t="s">
        <v>5467</v>
      </c>
    </row>
    <row r="2751" ht="14.399999999999999" customHeight="1">
      <c r="A2751" s="23" t="s">
        <v>5468</v>
      </c>
      <c r="B2751" s="23" t="s">
        <v>5469</v>
      </c>
    </row>
    <row r="2752" ht="14.399999999999999" customHeight="1">
      <c r="A2752" s="21" t="s">
        <v>5470</v>
      </c>
      <c r="B2752" s="23" t="s">
        <v>5471</v>
      </c>
    </row>
    <row r="2753" ht="14.399999999999999" customHeight="1">
      <c r="A2753" s="23" t="s">
        <v>5472</v>
      </c>
      <c r="B2753" s="23" t="s">
        <v>5473</v>
      </c>
    </row>
    <row r="2754" ht="14.399999999999999" customHeight="1">
      <c r="A2754" s="23" t="s">
        <v>5474</v>
      </c>
      <c r="B2754" s="23" t="s">
        <v>5475</v>
      </c>
    </row>
    <row r="2755" ht="14.399999999999999" customHeight="1">
      <c r="A2755" s="23" t="s">
        <v>5476</v>
      </c>
      <c r="B2755" s="23" t="s">
        <v>5477</v>
      </c>
    </row>
    <row r="2756" ht="14.399999999999999" customHeight="1">
      <c r="A2756" s="23" t="s">
        <v>5478</v>
      </c>
      <c r="B2756" s="23" t="s">
        <v>5479</v>
      </c>
    </row>
    <row r="2757" ht="14.399999999999999" customHeight="1">
      <c r="A2757" s="23" t="s">
        <v>5480</v>
      </c>
      <c r="B2757" s="23" t="s">
        <v>5481</v>
      </c>
    </row>
    <row r="2758" ht="14.399999999999999" customHeight="1">
      <c r="A2758" s="21" t="s">
        <v>5482</v>
      </c>
      <c r="B2758" s="23" t="s">
        <v>5483</v>
      </c>
    </row>
    <row r="2759" ht="14.399999999999999" customHeight="1">
      <c r="A2759" s="23" t="s">
        <v>5484</v>
      </c>
      <c r="B2759" s="23" t="s">
        <v>5485</v>
      </c>
    </row>
    <row r="2760" ht="14.399999999999999" customHeight="1">
      <c r="A2760" s="21" t="s">
        <v>5486</v>
      </c>
      <c r="B2760" s="23" t="s">
        <v>5487</v>
      </c>
    </row>
    <row r="2761" ht="14.399999999999999" customHeight="1">
      <c r="A2761" s="23" t="s">
        <v>5488</v>
      </c>
      <c r="B2761" s="23" t="s">
        <v>5489</v>
      </c>
    </row>
    <row r="2762" ht="14.399999999999999" customHeight="1">
      <c r="A2762" s="23" t="s">
        <v>5490</v>
      </c>
      <c r="B2762" s="23" t="s">
        <v>5491</v>
      </c>
    </row>
    <row r="2763" ht="14.399999999999999" customHeight="1">
      <c r="A2763" s="23" t="s">
        <v>5492</v>
      </c>
      <c r="B2763" s="23" t="s">
        <v>5493</v>
      </c>
    </row>
    <row r="2764" ht="14.399999999999999" customHeight="1">
      <c r="A2764" s="21" t="s">
        <v>5494</v>
      </c>
      <c r="B2764" s="23" t="s">
        <v>5495</v>
      </c>
    </row>
    <row r="2765" ht="14.399999999999999" customHeight="1">
      <c r="A2765" s="23" t="s">
        <v>5496</v>
      </c>
      <c r="B2765" s="23" t="s">
        <v>5497</v>
      </c>
    </row>
    <row r="2766" ht="14.399999999999999" customHeight="1">
      <c r="A2766" s="23" t="s">
        <v>5498</v>
      </c>
      <c r="B2766" s="23" t="s">
        <v>5499</v>
      </c>
    </row>
    <row r="2767" ht="14.399999999999999" customHeight="1">
      <c r="A2767" s="23" t="s">
        <v>5500</v>
      </c>
      <c r="B2767" s="23" t="s">
        <v>5501</v>
      </c>
    </row>
    <row r="2768" ht="14.399999999999999" customHeight="1">
      <c r="A2768" s="23" t="s">
        <v>5502</v>
      </c>
      <c r="B2768" s="23" t="s">
        <v>5503</v>
      </c>
    </row>
    <row r="2769" ht="14.399999999999999" customHeight="1">
      <c r="A2769" s="23" t="s">
        <v>5504</v>
      </c>
      <c r="B2769" s="23" t="s">
        <v>5505</v>
      </c>
    </row>
    <row r="2770" ht="14.399999999999999" customHeight="1">
      <c r="A2770" s="23" t="s">
        <v>5506</v>
      </c>
      <c r="B2770" s="23" t="s">
        <v>5507</v>
      </c>
    </row>
    <row r="2771" ht="14.399999999999999" customHeight="1">
      <c r="A2771" s="23" t="s">
        <v>5508</v>
      </c>
      <c r="B2771" s="23" t="s">
        <v>5509</v>
      </c>
    </row>
    <row r="2772" ht="14.399999999999999" customHeight="1">
      <c r="A2772" s="23" t="s">
        <v>5510</v>
      </c>
      <c r="B2772" s="23" t="s">
        <v>5511</v>
      </c>
    </row>
    <row r="2773" ht="14.399999999999999" customHeight="1">
      <c r="A2773" s="23" t="s">
        <v>5512</v>
      </c>
      <c r="B2773" s="23" t="s">
        <v>5513</v>
      </c>
    </row>
    <row r="2774" ht="14.399999999999999" customHeight="1">
      <c r="A2774" s="23" t="s">
        <v>5514</v>
      </c>
      <c r="B2774" s="23" t="s">
        <v>5515</v>
      </c>
    </row>
    <row r="2775" ht="14.399999999999999" customHeight="1">
      <c r="A2775" s="23" t="s">
        <v>5516</v>
      </c>
      <c r="B2775" s="23" t="s">
        <v>5517</v>
      </c>
    </row>
    <row r="2776" ht="14.399999999999999" customHeight="1">
      <c r="A2776" s="23" t="s">
        <v>5518</v>
      </c>
      <c r="B2776" s="23" t="s">
        <v>5519</v>
      </c>
    </row>
    <row r="2777" ht="14.399999999999999" customHeight="1">
      <c r="A2777" s="23" t="s">
        <v>5520</v>
      </c>
      <c r="B2777" s="23" t="s">
        <v>5521</v>
      </c>
    </row>
    <row r="2778" ht="14.399999999999999" customHeight="1">
      <c r="A2778" s="23" t="s">
        <v>5522</v>
      </c>
      <c r="B2778" s="23" t="s">
        <v>5523</v>
      </c>
    </row>
    <row r="2779" ht="14.399999999999999" customHeight="1"/>
    <row r="2780" ht="14.399999999999999" customHeight="1">
      <c r="A2780" s="5"/>
      <c r="B2780" s="19"/>
    </row>
    <row r="2781" ht="14.399999999999999" customHeight="1">
      <c r="A2781" s="5"/>
      <c r="B2781" s="19"/>
    </row>
    <row r="2782" ht="14.399999999999999" customHeight="1">
      <c r="A2782" s="5"/>
      <c r="B2782" s="19"/>
    </row>
    <row r="2783" ht="14.399999999999999" customHeight="1">
      <c r="A2783" s="5"/>
      <c r="B2783" s="19"/>
    </row>
    <row r="2784" ht="14.399999999999999" customHeight="1">
      <c r="A2784" s="5"/>
      <c r="B2784" s="19"/>
    </row>
    <row r="2785" ht="14.399999999999999" customHeight="1">
      <c r="A2785" s="5"/>
      <c r="B2785" s="19"/>
    </row>
    <row r="2786" ht="14.399999999999999" customHeight="1">
      <c r="A2786" s="5"/>
      <c r="B2786" s="19"/>
    </row>
    <row r="2787" ht="14.399999999999999" customHeight="1">
      <c r="A2787" s="5"/>
      <c r="B2787" s="19"/>
    </row>
    <row r="2788" ht="14.399999999999999" customHeight="1">
      <c r="A2788" s="5"/>
      <c r="B2788" s="19"/>
    </row>
    <row r="2789" ht="14.399999999999999" customHeight="1">
      <c r="A2789" s="5"/>
      <c r="B2789" s="19"/>
    </row>
    <row r="2790" ht="14.399999999999999" customHeight="1">
      <c r="A2790" s="5"/>
      <c r="B2790" s="19"/>
    </row>
    <row r="2791" ht="14.399999999999999" customHeight="1">
      <c r="A2791" s="5"/>
      <c r="B2791" s="19"/>
    </row>
    <row r="2792" ht="14.399999999999999" customHeight="1">
      <c r="A2792" s="5"/>
      <c r="B2792" s="19"/>
    </row>
    <row r="2793" ht="14.399999999999999" customHeight="1">
      <c r="A2793" s="5"/>
      <c r="B2793" s="19"/>
    </row>
    <row r="2794" ht="14.399999999999999" customHeight="1">
      <c r="A2794" s="5"/>
      <c r="B2794" s="19"/>
    </row>
    <row r="2795" ht="14.399999999999999" customHeight="1">
      <c r="A2795" s="5"/>
      <c r="B2795" s="19"/>
    </row>
    <row r="2796" ht="14.399999999999999" customHeight="1">
      <c r="A2796" s="5"/>
      <c r="B2796" s="19"/>
    </row>
    <row r="2797" ht="14.399999999999999" customHeight="1">
      <c r="A2797" s="5"/>
      <c r="B2797" s="19"/>
    </row>
    <row r="2798" ht="14.399999999999999" customHeight="1">
      <c r="A2798" s="5"/>
      <c r="B2798" s="19"/>
    </row>
    <row r="2799" ht="14.399999999999999" customHeight="1">
      <c r="A2799" s="5"/>
      <c r="B2799" s="19"/>
    </row>
    <row r="2800" ht="14.399999999999999" customHeight="1">
      <c r="A2800" s="5"/>
      <c r="B2800" s="19"/>
    </row>
    <row r="2801" ht="14.399999999999999" customHeight="1">
      <c r="A2801" s="5"/>
      <c r="B2801" s="19"/>
    </row>
    <row r="2802" ht="14.399999999999999" customHeight="1">
      <c r="A2802" s="5"/>
      <c r="B2802" s="19"/>
    </row>
    <row r="2803" ht="14.399999999999999" customHeight="1">
      <c r="A2803" s="5"/>
      <c r="B2803" s="19"/>
    </row>
    <row r="2804" ht="14.399999999999999" customHeight="1">
      <c r="A2804" s="5"/>
      <c r="B2804" s="19"/>
    </row>
    <row r="2805" ht="14.399999999999999" customHeight="1">
      <c r="A2805" s="5"/>
      <c r="B2805" s="19"/>
    </row>
    <row r="2806" ht="14.399999999999999" customHeight="1">
      <c r="A2806" s="5"/>
      <c r="B2806" s="19"/>
    </row>
    <row r="2807" ht="14.399999999999999" customHeight="1">
      <c r="A2807" s="5"/>
      <c r="B2807" s="19"/>
    </row>
    <row r="2808" ht="14.399999999999999" customHeight="1">
      <c r="A2808" s="5"/>
      <c r="B2808" s="19"/>
    </row>
    <row r="2809" ht="14.399999999999999" customHeight="1">
      <c r="A2809" s="5"/>
      <c r="B2809" s="19"/>
    </row>
    <row r="2810" ht="14.399999999999999" customHeight="1">
      <c r="A2810" s="5"/>
      <c r="B2810" s="19"/>
    </row>
    <row r="2811" ht="14.399999999999999" customHeight="1">
      <c r="A2811" s="5"/>
      <c r="B2811" s="19"/>
    </row>
    <row r="2812" ht="14.399999999999999" customHeight="1">
      <c r="A2812" s="5"/>
      <c r="B2812" s="19"/>
    </row>
    <row r="2813" ht="14.399999999999999" customHeight="1">
      <c r="A2813" s="5"/>
      <c r="B2813" s="19"/>
    </row>
    <row r="2814" ht="14.399999999999999" customHeight="1">
      <c r="A2814" s="5"/>
      <c r="B2814" s="19"/>
    </row>
    <row r="2815" ht="14.399999999999999" customHeight="1">
      <c r="A2815" s="5"/>
      <c r="B2815" s="19"/>
    </row>
    <row r="2816" ht="14.399999999999999" customHeight="1">
      <c r="A2816" s="5"/>
      <c r="B2816" s="19"/>
    </row>
    <row r="2817" ht="14.399999999999999" customHeight="1">
      <c r="A2817" s="5"/>
      <c r="B2817" s="19"/>
    </row>
    <row r="2818" ht="14.399999999999999" customHeight="1">
      <c r="A2818" s="5"/>
      <c r="B2818" s="19"/>
    </row>
    <row r="2819" ht="14.399999999999999" customHeight="1">
      <c r="A2819" s="5"/>
      <c r="B2819" s="19"/>
    </row>
    <row r="2820" ht="14.399999999999999" customHeight="1">
      <c r="A2820" s="5"/>
      <c r="B2820" s="19"/>
    </row>
    <row r="2821" ht="14.399999999999999" customHeight="1">
      <c r="A2821" s="5"/>
      <c r="B2821" s="19"/>
    </row>
    <row r="2822" ht="14.399999999999999" customHeight="1">
      <c r="A2822" s="5"/>
      <c r="B2822" s="19"/>
    </row>
    <row r="2823" ht="14.399999999999999" customHeight="1">
      <c r="A2823" s="5"/>
      <c r="B2823" s="19"/>
    </row>
    <row r="2824" ht="14.399999999999999" customHeight="1">
      <c r="A2824" s="5"/>
      <c r="B2824" s="19"/>
    </row>
    <row r="2825" ht="14.399999999999999" customHeight="1">
      <c r="A2825" s="5"/>
      <c r="B2825" s="19"/>
    </row>
    <row r="2826" ht="14.399999999999999" customHeight="1">
      <c r="A2826" s="5"/>
      <c r="B2826" s="19"/>
    </row>
    <row r="2827" ht="14.399999999999999" customHeight="1">
      <c r="A2827" s="5"/>
      <c r="B2827" s="19"/>
    </row>
    <row r="2828" ht="14.399999999999999" customHeight="1">
      <c r="A2828" s="5"/>
      <c r="B2828" s="19"/>
    </row>
    <row r="2829" ht="14.399999999999999" customHeight="1">
      <c r="A2829" s="5"/>
      <c r="B2829" s="19"/>
    </row>
    <row r="2830" ht="14.399999999999999" customHeight="1">
      <c r="A2830" s="5"/>
      <c r="B2830" s="19"/>
    </row>
    <row r="2831" ht="14.399999999999999" customHeight="1">
      <c r="A2831" s="5"/>
      <c r="B2831" s="19"/>
    </row>
    <row r="2832" ht="14.399999999999999" customHeight="1">
      <c r="A2832" s="5"/>
      <c r="B2832" s="19"/>
    </row>
    <row r="2833" ht="14.399999999999999" customHeight="1">
      <c r="A2833" s="5"/>
      <c r="B2833" s="19"/>
    </row>
    <row r="2834" ht="14.399999999999999" customHeight="1">
      <c r="A2834" s="5"/>
      <c r="B2834" s="19"/>
    </row>
    <row r="2835" ht="14.399999999999999" customHeight="1">
      <c r="A2835" s="5"/>
      <c r="B2835" s="19"/>
    </row>
    <row r="2836" ht="14.399999999999999" customHeight="1">
      <c r="A2836" s="5"/>
      <c r="B2836" s="19"/>
    </row>
    <row r="2837" ht="14.399999999999999" customHeight="1">
      <c r="A2837" s="5"/>
      <c r="B2837" s="19"/>
    </row>
    <row r="2838" ht="14.399999999999999" customHeight="1">
      <c r="A2838" s="5"/>
      <c r="B2838" s="19"/>
    </row>
    <row r="2839" ht="14.399999999999999" customHeight="1">
      <c r="A2839" s="5"/>
      <c r="B2839" s="19"/>
    </row>
    <row r="2840" ht="14.399999999999999" customHeight="1">
      <c r="A2840" s="5"/>
      <c r="B2840" s="19"/>
    </row>
    <row r="2841" ht="14.399999999999999" customHeight="1">
      <c r="A2841" s="5"/>
      <c r="B2841" s="19"/>
    </row>
    <row r="2842" ht="14.399999999999999" customHeight="1">
      <c r="A2842" s="5"/>
      <c r="B2842" s="19"/>
    </row>
    <row r="2843" ht="14.399999999999999" customHeight="1">
      <c r="A2843" s="5"/>
      <c r="B2843" s="19"/>
    </row>
    <row r="2844" ht="14.399999999999999" customHeight="1">
      <c r="A2844" s="5"/>
      <c r="B2844" s="19"/>
    </row>
    <row r="2845" ht="14.399999999999999" customHeight="1">
      <c r="A2845" s="5"/>
      <c r="B2845" s="19"/>
    </row>
    <row r="2846" ht="14.399999999999999" customHeight="1">
      <c r="A2846" s="5"/>
      <c r="B2846" s="19"/>
    </row>
    <row r="2847" ht="14.399999999999999" customHeight="1">
      <c r="A2847" s="5"/>
      <c r="B2847" s="19"/>
    </row>
    <row r="2848" ht="14.399999999999999" customHeight="1">
      <c r="A2848" s="5"/>
      <c r="B2848" s="19"/>
    </row>
    <row r="2849" ht="14.399999999999999" customHeight="1">
      <c r="A2849" s="5"/>
      <c r="B2849" s="19"/>
    </row>
    <row r="2850" ht="14.399999999999999" customHeight="1">
      <c r="A2850" s="5"/>
      <c r="B2850" s="19"/>
    </row>
    <row r="2851" ht="14.399999999999999" customHeight="1">
      <c r="A2851" s="5"/>
      <c r="B2851" s="19"/>
    </row>
    <row r="2852" ht="14.399999999999999" customHeight="1">
      <c r="A2852" s="5"/>
      <c r="B2852" s="19"/>
    </row>
    <row r="2853" ht="14.399999999999999" customHeight="1">
      <c r="A2853" s="5"/>
      <c r="B2853" s="19"/>
    </row>
    <row r="2854" ht="14.399999999999999" customHeight="1">
      <c r="A2854" s="5"/>
      <c r="B2854" s="19"/>
    </row>
    <row r="2855" ht="14.399999999999999" customHeight="1">
      <c r="A2855" s="5"/>
      <c r="B2855" s="19"/>
    </row>
    <row r="2856" ht="14.399999999999999" customHeight="1">
      <c r="A2856" s="5"/>
      <c r="B2856" s="19"/>
    </row>
    <row r="2857" s="20" customFormat="1" ht="14.399999999999999" customHeight="1">
      <c r="A2857" s="5"/>
      <c r="B2857" s="19"/>
    </row>
    <row r="2858" ht="14.399999999999999" customHeight="1">
      <c r="A2858" s="5"/>
      <c r="B2858" s="19"/>
    </row>
    <row r="2859" s="20" customFormat="1" ht="14.399999999999999" customHeight="1">
      <c r="A2859" s="5"/>
      <c r="B2859" s="19"/>
    </row>
    <row r="2860" ht="14.399999999999999" customHeight="1">
      <c r="A2860" s="5"/>
      <c r="B2860" s="19"/>
    </row>
    <row r="2861" ht="14.399999999999999" customHeight="1">
      <c r="A2861" s="5"/>
      <c r="B2861" s="19"/>
    </row>
    <row r="2862" ht="14.399999999999999" customHeight="1">
      <c r="A2862" s="5"/>
      <c r="B2862" s="19"/>
    </row>
    <row r="2863" ht="14.399999999999999" customHeight="1">
      <c r="A2863" s="5"/>
      <c r="B2863" s="19"/>
    </row>
    <row r="2864" ht="14.399999999999999" customHeight="1">
      <c r="A2864" s="5"/>
      <c r="B2864" s="19"/>
    </row>
    <row r="2865" ht="14.399999999999999" customHeight="1">
      <c r="A2865" s="5"/>
      <c r="B2865" s="19"/>
    </row>
    <row r="2866" ht="14.399999999999999" customHeight="1">
      <c r="A2866" s="5"/>
      <c r="B2866" s="19"/>
    </row>
    <row r="2867" ht="14.399999999999999" customHeight="1">
      <c r="A2867" s="5"/>
      <c r="B2867" s="19"/>
    </row>
    <row r="2868" ht="14.399999999999999" customHeight="1">
      <c r="A2868" s="5"/>
      <c r="B2868" s="19"/>
    </row>
    <row r="2869" ht="14.399999999999999" customHeight="1">
      <c r="A2869" s="5"/>
      <c r="B2869" s="19"/>
    </row>
    <row r="2870" ht="14.399999999999999" customHeight="1">
      <c r="A2870" s="5"/>
      <c r="B2870" s="19"/>
    </row>
    <row r="2871" s="20" customFormat="1" ht="14.399999999999999" customHeight="1">
      <c r="A2871" s="5"/>
      <c r="B2871" s="19"/>
    </row>
    <row r="2872" ht="14.399999999999999" customHeight="1">
      <c r="A2872" s="5"/>
      <c r="B2872" s="19"/>
    </row>
    <row r="2873" ht="14.399999999999999" customHeight="1">
      <c r="A2873" s="5"/>
      <c r="B2873" s="19"/>
    </row>
    <row r="2874" ht="14.399999999999999" customHeight="1">
      <c r="A2874" s="5"/>
      <c r="B2874" s="19"/>
    </row>
    <row r="2875" s="20" customFormat="1" ht="14.399999999999999" customHeight="1">
      <c r="A2875" s="5"/>
      <c r="B2875" s="19"/>
    </row>
    <row r="2876" ht="14.399999999999999" customHeight="1">
      <c r="A2876" s="5"/>
      <c r="B2876" s="19"/>
    </row>
    <row r="2877" ht="14.399999999999999" customHeight="1">
      <c r="A2877" s="5"/>
      <c r="B2877" s="19"/>
    </row>
    <row r="2878" ht="14.399999999999999" customHeight="1">
      <c r="A2878" s="5"/>
      <c r="B2878" s="19"/>
    </row>
    <row r="2879" ht="14.399999999999999" customHeight="1">
      <c r="A2879" s="5"/>
      <c r="B2879" s="19"/>
    </row>
    <row r="2880" s="20" customFormat="1" ht="14.399999999999999" customHeight="1">
      <c r="A2880" s="5"/>
      <c r="B2880" s="19"/>
    </row>
    <row r="2881" s="20" customFormat="1" ht="14.399999999999999" customHeight="1">
      <c r="A2881" s="5"/>
      <c r="B2881" s="19"/>
    </row>
    <row r="2882" ht="14.399999999999999" customHeight="1">
      <c r="A2882" s="5"/>
      <c r="B2882" s="19"/>
    </row>
    <row r="2883" ht="14.399999999999999" customHeight="1">
      <c r="A2883" s="5"/>
      <c r="B2883" s="19"/>
    </row>
    <row r="2884" s="20" customFormat="1" ht="14.399999999999999" customHeight="1">
      <c r="A2884" s="5"/>
      <c r="B2884" s="19"/>
    </row>
    <row r="2885" ht="14.399999999999999" customHeight="1">
      <c r="A2885" s="5"/>
      <c r="B2885" s="19"/>
    </row>
    <row r="2886" ht="14.399999999999999" customHeight="1">
      <c r="A2886" s="5"/>
      <c r="B2886" s="19"/>
    </row>
    <row r="2887" s="20" customFormat="1" ht="14.399999999999999" customHeight="1">
      <c r="A2887" s="5"/>
      <c r="B2887" s="19"/>
    </row>
    <row r="2888" ht="14.399999999999999" customHeight="1">
      <c r="A2888" s="5"/>
      <c r="B2888" s="19"/>
    </row>
    <row r="2889" ht="14.399999999999999" customHeight="1">
      <c r="A2889" s="5"/>
      <c r="B2889" s="19"/>
    </row>
    <row r="2890" ht="14.399999999999999" customHeight="1">
      <c r="A2890" s="5"/>
      <c r="B2890" s="19"/>
    </row>
    <row r="2891" s="20" customFormat="1" ht="14.399999999999999" customHeight="1">
      <c r="A2891" s="5"/>
      <c r="B2891" s="19"/>
    </row>
    <row r="2892" ht="14.399999999999999" customHeight="1">
      <c r="A2892" s="5"/>
      <c r="B2892" s="19"/>
    </row>
    <row r="2893" ht="14.399999999999999" customHeight="1">
      <c r="A2893" s="5"/>
      <c r="B2893" s="19"/>
    </row>
    <row r="2894" ht="14.399999999999999" customHeight="1">
      <c r="A2894" s="5"/>
      <c r="B2894" s="19"/>
    </row>
    <row r="2895" s="20" customFormat="1" ht="14.399999999999999" customHeight="1">
      <c r="A2895" s="5"/>
      <c r="B2895" s="19"/>
    </row>
    <row r="2896" s="20" customFormat="1" ht="14.399999999999999" customHeight="1">
      <c r="A2896" s="5"/>
      <c r="B2896" s="19"/>
    </row>
    <row r="2897" ht="14.399999999999999" customHeight="1">
      <c r="A2897" s="5"/>
      <c r="B2897" s="19"/>
    </row>
    <row r="2898" ht="14.399999999999999" customHeight="1">
      <c r="A2898" s="5"/>
      <c r="B2898" s="19"/>
    </row>
    <row r="2899" ht="14.399999999999999" customHeight="1">
      <c r="A2899" s="5"/>
      <c r="B2899" s="19"/>
    </row>
    <row r="2900" s="20" customFormat="1" ht="14.399999999999999" customHeight="1">
      <c r="A2900" s="5"/>
      <c r="B2900" s="19"/>
    </row>
    <row r="2901" ht="14.399999999999999" customHeight="1">
      <c r="A2901" s="5"/>
      <c r="B2901" s="19"/>
    </row>
    <row r="2902" s="20" customFormat="1" ht="14.399999999999999" customHeight="1">
      <c r="A2902" s="5"/>
      <c r="B2902" s="19"/>
    </row>
    <row r="2903" ht="14.399999999999999" customHeight="1">
      <c r="A2903" s="5"/>
      <c r="B2903" s="19"/>
    </row>
    <row r="2904" ht="14.399999999999999" customHeight="1">
      <c r="A2904" s="5"/>
      <c r="B2904" s="19"/>
    </row>
    <row r="2905" ht="14.399999999999999" customHeight="1">
      <c r="A2905" s="5"/>
      <c r="B2905" s="19"/>
    </row>
    <row r="2906" s="20" customFormat="1" ht="14.399999999999999" customHeight="1">
      <c r="A2906" s="5"/>
      <c r="B2906" s="19"/>
    </row>
    <row r="2907" ht="14.399999999999999" customHeight="1">
      <c r="A2907" s="5"/>
      <c r="B2907" s="19"/>
    </row>
    <row r="2908" ht="14.399999999999999" customHeight="1">
      <c r="A2908" s="5"/>
      <c r="B2908" s="19"/>
    </row>
    <row r="2909" ht="14.399999999999999" customHeight="1">
      <c r="A2909" s="5"/>
      <c r="B2909" s="19"/>
    </row>
    <row r="2910" s="20" customFormat="1" ht="14.399999999999999" customHeight="1">
      <c r="A2910" s="5"/>
      <c r="B2910" s="19"/>
    </row>
    <row r="2911" ht="14.399999999999999" customHeight="1">
      <c r="A2911" s="5"/>
      <c r="B2911" s="19"/>
    </row>
    <row r="2912" ht="14.399999999999999" customHeight="1">
      <c r="A2912" s="5"/>
      <c r="B2912" s="19"/>
    </row>
    <row r="2913" ht="14.399999999999999" customHeight="1">
      <c r="A2913" s="5"/>
      <c r="B2913" s="19"/>
    </row>
    <row r="2914" ht="14.399999999999999" customHeight="1">
      <c r="A2914" s="5"/>
      <c r="B2914" s="19"/>
    </row>
    <row r="2915" ht="14.399999999999999" customHeight="1">
      <c r="A2915" s="5"/>
      <c r="B2915" s="19"/>
    </row>
    <row r="2916" ht="14.399999999999999" customHeight="1">
      <c r="A2916" s="5"/>
      <c r="B2916" s="19"/>
    </row>
    <row r="2917" ht="14.399999999999999" customHeight="1">
      <c r="A2917" s="5"/>
      <c r="B2917" s="19"/>
    </row>
    <row r="2918" ht="14.399999999999999" customHeight="1">
      <c r="A2918" s="5"/>
      <c r="B2918" s="19"/>
    </row>
    <row r="2919" ht="14.399999999999999" customHeight="1">
      <c r="A2919" s="5"/>
      <c r="B2919" s="19"/>
    </row>
    <row r="2920" ht="14.399999999999999" customHeight="1">
      <c r="A2920" s="5"/>
      <c r="B2920" s="19"/>
    </row>
    <row r="2921" ht="14.399999999999999" customHeight="1">
      <c r="A2921" s="5"/>
      <c r="B2921" s="19"/>
    </row>
    <row r="2922" ht="14.399999999999999" customHeight="1">
      <c r="A2922" s="5"/>
      <c r="B2922" s="19"/>
    </row>
    <row r="2923" ht="14.399999999999999" customHeight="1">
      <c r="A2923" s="5"/>
      <c r="B2923" s="19"/>
    </row>
    <row r="2924" ht="14.399999999999999" customHeight="1">
      <c r="A2924" s="5"/>
      <c r="B2924" s="19"/>
    </row>
    <row r="2925" s="20" customFormat="1" ht="14.399999999999999" customHeight="1">
      <c r="A2925" s="5"/>
      <c r="B2925" s="19"/>
    </row>
    <row r="2926" ht="14.399999999999999" customHeight="1">
      <c r="A2926" s="5"/>
      <c r="B2926" s="19"/>
    </row>
    <row r="2927" ht="14.399999999999999" customHeight="1">
      <c r="A2927" s="5"/>
      <c r="B2927" s="19"/>
    </row>
    <row r="2928" ht="14.399999999999999" customHeight="1">
      <c r="A2928" s="5"/>
      <c r="B2928" s="19"/>
    </row>
    <row r="2929" ht="14.399999999999999" customHeight="1">
      <c r="A2929" s="5"/>
      <c r="B2929" s="19"/>
    </row>
    <row r="2930" s="20" customFormat="1" ht="14.399999999999999" customHeight="1">
      <c r="A2930" s="5"/>
      <c r="B2930" s="19"/>
    </row>
    <row r="2931" s="20" customFormat="1" ht="14.399999999999999" customHeight="1">
      <c r="A2931" s="5"/>
      <c r="B2931" s="19"/>
    </row>
    <row r="2932" s="20" customFormat="1" ht="14.399999999999999" customHeight="1">
      <c r="A2932" s="5"/>
      <c r="B2932" s="19"/>
    </row>
    <row r="2933" ht="14.399999999999999" customHeight="1">
      <c r="A2933" s="5"/>
      <c r="B2933" s="19"/>
    </row>
    <row r="2934" ht="14.399999999999999" customHeight="1">
      <c r="A2934" s="5"/>
      <c r="B2934" s="19"/>
    </row>
    <row r="2935" ht="14.399999999999999" customHeight="1">
      <c r="A2935" s="5"/>
      <c r="B2935" s="19"/>
    </row>
    <row r="2936" ht="14.399999999999999" customHeight="1">
      <c r="A2936" s="5"/>
      <c r="B2936" s="19"/>
    </row>
    <row r="2937" ht="14.399999999999999" customHeight="1">
      <c r="A2937" s="5"/>
      <c r="B2937" s="19"/>
    </row>
    <row r="2938" ht="14.399999999999999" customHeight="1">
      <c r="A2938" s="5"/>
      <c r="B2938" s="19"/>
    </row>
    <row r="2939" s="20" customFormat="1" ht="14.399999999999999" customHeight="1">
      <c r="A2939" s="5"/>
      <c r="B2939" s="19"/>
    </row>
    <row r="2940" s="20" customFormat="1" ht="14.399999999999999" customHeight="1">
      <c r="A2940" s="5"/>
      <c r="B2940" s="19"/>
    </row>
    <row r="2941" ht="14.399999999999999" customHeight="1">
      <c r="A2941" s="5"/>
      <c r="B2941" s="19"/>
    </row>
    <row r="2942" ht="14.399999999999999" customHeight="1">
      <c r="A2942" s="5"/>
      <c r="B2942" s="19"/>
    </row>
    <row r="2943" ht="14.399999999999999" customHeight="1">
      <c r="A2943" s="5"/>
      <c r="B2943" s="19"/>
    </row>
    <row r="2944" s="20" customFormat="1" ht="14.399999999999999" customHeight="1">
      <c r="A2944" s="5"/>
      <c r="B2944" s="19"/>
    </row>
    <row r="2945" s="20" customFormat="1" ht="14.399999999999999" customHeight="1">
      <c r="A2945" s="5"/>
      <c r="B2945" s="19"/>
    </row>
    <row r="2946" ht="14.399999999999999" customHeight="1">
      <c r="A2946" s="5"/>
      <c r="B2946" s="19"/>
    </row>
    <row r="2947" ht="14.399999999999999" customHeight="1">
      <c r="A2947" s="5"/>
      <c r="B2947" s="19"/>
    </row>
    <row r="2948" ht="14.399999999999999" customHeight="1">
      <c r="A2948" s="5"/>
      <c r="B2948" s="19"/>
    </row>
    <row r="2949" ht="14.399999999999999" customHeight="1">
      <c r="A2949" s="5"/>
      <c r="B2949" s="19"/>
    </row>
    <row r="2950" ht="14.399999999999999" customHeight="1">
      <c r="A2950" s="5"/>
      <c r="B2950" s="19"/>
    </row>
    <row r="2951" ht="14.399999999999999" customHeight="1">
      <c r="A2951" s="5"/>
      <c r="B2951" s="19"/>
    </row>
    <row r="2952" s="20" customFormat="1" ht="14.399999999999999" customHeight="1">
      <c r="A2952" s="5"/>
      <c r="B2952" s="19"/>
    </row>
    <row r="2953" ht="14.399999999999999" customHeight="1">
      <c r="A2953" s="5"/>
      <c r="B2953" s="19"/>
    </row>
    <row r="2954" ht="14.399999999999999" customHeight="1">
      <c r="A2954" s="5"/>
      <c r="B2954" s="19"/>
    </row>
    <row r="2955" s="20" customFormat="1" ht="14.399999999999999" customHeight="1">
      <c r="A2955" s="5"/>
      <c r="B2955" s="19"/>
    </row>
    <row r="2956" ht="14.399999999999999" customHeight="1">
      <c r="A2956" s="5"/>
      <c r="B2956" s="19"/>
    </row>
    <row r="2957" s="20" customFormat="1" ht="14.399999999999999" customHeight="1">
      <c r="A2957" s="5"/>
      <c r="B2957" s="19"/>
    </row>
    <row r="2958" s="20" customFormat="1" ht="14.399999999999999" customHeight="1">
      <c r="A2958" s="5"/>
      <c r="B2958" s="19"/>
    </row>
    <row r="2959" ht="14.399999999999999" customHeight="1">
      <c r="A2959" s="5"/>
      <c r="B2959" s="19"/>
    </row>
    <row r="2960" ht="14.399999999999999" customHeight="1">
      <c r="A2960" s="5"/>
      <c r="B2960" s="19"/>
    </row>
    <row r="2961" ht="14.399999999999999" customHeight="1">
      <c r="A2961" s="5"/>
      <c r="B2961" s="19"/>
    </row>
    <row r="2962" ht="14.399999999999999" customHeight="1">
      <c r="A2962" s="5"/>
      <c r="B2962" s="19"/>
    </row>
    <row r="2963" ht="14.399999999999999" customHeight="1">
      <c r="A2963" s="5"/>
      <c r="B2963" s="19"/>
    </row>
    <row r="2964" s="20" customFormat="1" ht="14.399999999999999" customHeight="1">
      <c r="A2964" s="5"/>
      <c r="B2964" s="19"/>
    </row>
    <row r="2965" ht="14.399999999999999" customHeight="1">
      <c r="A2965" s="5"/>
      <c r="B2965" s="19"/>
    </row>
    <row r="2966" ht="14.399999999999999" customHeight="1">
      <c r="A2966" s="5"/>
      <c r="B2966" s="19"/>
    </row>
    <row r="2967" ht="14.399999999999999" customHeight="1">
      <c r="A2967" s="5"/>
      <c r="B2967" s="19"/>
    </row>
    <row r="2968" s="20" customFormat="1" ht="14.399999999999999" customHeight="1">
      <c r="A2968" s="5"/>
      <c r="B2968" s="19"/>
    </row>
    <row r="2969" ht="14.399999999999999" customHeight="1">
      <c r="A2969" s="5"/>
      <c r="B2969" s="19"/>
    </row>
    <row r="2970" ht="14.399999999999999" customHeight="1">
      <c r="A2970" s="5"/>
      <c r="B2970" s="19"/>
    </row>
    <row r="2971" s="20" customFormat="1" ht="14.399999999999999" customHeight="1">
      <c r="A2971" s="5"/>
      <c r="B2971" s="19"/>
    </row>
    <row r="2972" s="20" customFormat="1" ht="14.399999999999999" customHeight="1">
      <c r="A2972" s="5"/>
      <c r="B2972" s="19"/>
    </row>
    <row r="2973" ht="14.399999999999999" customHeight="1">
      <c r="A2973" s="5"/>
      <c r="B2973" s="19"/>
    </row>
    <row r="2974" ht="14.399999999999999" customHeight="1">
      <c r="A2974" s="5"/>
      <c r="B2974" s="19"/>
    </row>
    <row r="2975" ht="14.399999999999999" customHeight="1">
      <c r="A2975" s="5"/>
      <c r="B2975" s="19"/>
    </row>
    <row r="2976" s="20" customFormat="1" ht="14.399999999999999" customHeight="1">
      <c r="A2976" s="5"/>
      <c r="B2976" s="19"/>
    </row>
    <row r="2977" s="20" customFormat="1" ht="14.399999999999999" customHeight="1">
      <c r="A2977" s="5"/>
      <c r="B2977" s="19"/>
    </row>
    <row r="2978" ht="14.399999999999999" customHeight="1">
      <c r="A2978" s="5"/>
      <c r="B2978" s="19"/>
    </row>
    <row r="2979" s="20" customFormat="1" ht="14.399999999999999" customHeight="1">
      <c r="A2979" s="5"/>
      <c r="B2979" s="19"/>
    </row>
    <row r="2980" ht="14.399999999999999" customHeight="1">
      <c r="A2980" s="5"/>
      <c r="B2980" s="19"/>
    </row>
    <row r="2981" ht="14.399999999999999" customHeight="1">
      <c r="A2981" s="5"/>
      <c r="B2981" s="19"/>
    </row>
    <row r="2982" ht="14.399999999999999" customHeight="1">
      <c r="A2982" s="5"/>
      <c r="B2982" s="19"/>
    </row>
    <row r="2983" ht="14.399999999999999" customHeight="1">
      <c r="A2983" s="5"/>
      <c r="B2983" s="19"/>
    </row>
    <row r="2984" s="20" customFormat="1" ht="14.399999999999999" customHeight="1">
      <c r="A2984" s="5"/>
      <c r="B2984" s="19"/>
    </row>
    <row r="2985" s="20" customFormat="1" ht="14.399999999999999" customHeight="1">
      <c r="A2985" s="5"/>
      <c r="B2985" s="19"/>
    </row>
    <row r="2986" s="20" customFormat="1" ht="14.399999999999999" customHeight="1">
      <c r="A2986" s="5"/>
      <c r="B2986" s="19"/>
    </row>
    <row r="2987" ht="14.399999999999999" customHeight="1">
      <c r="A2987" s="5"/>
      <c r="B2987" s="19"/>
    </row>
    <row r="2988" ht="14.399999999999999" customHeight="1">
      <c r="A2988" s="5"/>
      <c r="B2988" s="19"/>
    </row>
    <row r="2989" ht="14.399999999999999" customHeight="1">
      <c r="A2989" s="5"/>
      <c r="B2989" s="19"/>
    </row>
    <row r="2990" s="20" customFormat="1" ht="14.399999999999999" customHeight="1">
      <c r="A2990" s="5"/>
      <c r="B2990" s="19"/>
    </row>
    <row r="2991" ht="14.399999999999999" customHeight="1">
      <c r="A2991" s="5"/>
      <c r="B2991" s="19"/>
    </row>
    <row r="2992" s="20" customFormat="1" ht="14.399999999999999" customHeight="1">
      <c r="A2992" s="5"/>
      <c r="B2992" s="19"/>
    </row>
    <row r="2993" ht="14.399999999999999" customHeight="1">
      <c r="A2993" s="5"/>
      <c r="B2993" s="19"/>
    </row>
    <row r="2994" s="20" customFormat="1" ht="14.399999999999999" customHeight="1">
      <c r="A2994" s="5"/>
      <c r="B2994" s="19"/>
    </row>
    <row r="2995" ht="14.399999999999999" customHeight="1">
      <c r="A2995" s="5"/>
      <c r="B2995" s="19"/>
    </row>
    <row r="2996" s="20" customFormat="1" ht="14.399999999999999" customHeight="1">
      <c r="A2996" s="5"/>
      <c r="B2996" s="19"/>
    </row>
    <row r="2997" ht="14.399999999999999" customHeight="1">
      <c r="A2997" s="5"/>
      <c r="B2997" s="19"/>
    </row>
    <row r="2998" s="20" customFormat="1" ht="14.399999999999999" customHeight="1">
      <c r="A2998" s="5"/>
      <c r="B2998" s="19"/>
    </row>
    <row r="2999" ht="14.399999999999999" customHeight="1">
      <c r="A2999" s="5"/>
      <c r="B2999" s="19"/>
    </row>
    <row r="3000" s="20" customFormat="1" ht="14.399999999999999" customHeight="1">
      <c r="A3000" s="5"/>
      <c r="B3000" s="19"/>
    </row>
    <row r="3001" ht="14.399999999999999" customHeight="1">
      <c r="A3001" s="5"/>
      <c r="B3001" s="19"/>
    </row>
    <row r="3002" ht="14.399999999999999" customHeight="1">
      <c r="A3002" s="5"/>
      <c r="B3002" s="19"/>
    </row>
    <row r="3003" ht="14.399999999999999" customHeight="1">
      <c r="A3003" s="5"/>
      <c r="B3003" s="19"/>
    </row>
    <row r="3004" s="20" customFormat="1" ht="14.399999999999999" customHeight="1">
      <c r="A3004" s="5"/>
      <c r="B3004" s="19"/>
    </row>
    <row r="3005" s="20" customFormat="1" ht="14.399999999999999" customHeight="1">
      <c r="A3005" s="5"/>
      <c r="B3005" s="19"/>
    </row>
    <row r="3006" ht="14.399999999999999" customHeight="1">
      <c r="A3006" s="5"/>
      <c r="B3006" s="19"/>
    </row>
    <row r="3007" s="20" customFormat="1" ht="14.399999999999999" customHeight="1">
      <c r="A3007" s="5"/>
      <c r="B3007" s="19"/>
    </row>
    <row r="3008" ht="14.399999999999999" customHeight="1">
      <c r="A3008" s="5"/>
      <c r="B3008" s="19"/>
    </row>
    <row r="3009" ht="14.399999999999999" customHeight="1">
      <c r="A3009" s="5"/>
      <c r="B3009" s="19"/>
    </row>
    <row r="3010" ht="14.399999999999999" customHeight="1">
      <c r="A3010" s="5"/>
      <c r="B3010" s="19"/>
    </row>
    <row r="3011" ht="14.399999999999999" customHeight="1">
      <c r="A3011" s="5"/>
      <c r="B3011" s="19"/>
    </row>
    <row r="3012" ht="14.399999999999999" customHeight="1">
      <c r="A3012" s="5"/>
      <c r="B3012" s="19"/>
    </row>
    <row r="3013" s="20" customFormat="1" ht="14.399999999999999" customHeight="1">
      <c r="A3013" s="5"/>
      <c r="B3013" s="19"/>
    </row>
    <row r="3014" ht="14.399999999999999" customHeight="1">
      <c r="A3014" s="5"/>
      <c r="B3014" s="19"/>
    </row>
    <row r="3015" s="20" customFormat="1" ht="14.399999999999999" customHeight="1">
      <c r="A3015" s="5"/>
      <c r="B3015" s="19"/>
    </row>
    <row r="3016" ht="14.399999999999999" customHeight="1">
      <c r="A3016" s="5"/>
      <c r="B3016" s="19"/>
    </row>
    <row r="3017" ht="14.399999999999999" customHeight="1">
      <c r="A3017" s="5"/>
      <c r="B3017" s="19"/>
    </row>
    <row r="3018" ht="14.399999999999999" customHeight="1">
      <c r="A3018" s="5"/>
      <c r="B3018" s="19"/>
    </row>
    <row r="3019" s="20" customFormat="1" ht="14.399999999999999" customHeight="1">
      <c r="A3019" s="5"/>
      <c r="B3019" s="19"/>
    </row>
    <row r="3020" ht="14.399999999999999" customHeight="1">
      <c r="A3020" s="5"/>
      <c r="B3020" s="19"/>
    </row>
    <row r="3021" ht="14.399999999999999" customHeight="1">
      <c r="A3021" s="5"/>
      <c r="B3021" s="19"/>
    </row>
    <row r="3022" ht="14.399999999999999" customHeight="1">
      <c r="A3022" s="5"/>
      <c r="B3022" s="19"/>
    </row>
    <row r="3023" ht="14.399999999999999" customHeight="1">
      <c r="A3023" s="5"/>
      <c r="B3023" s="19"/>
    </row>
    <row r="3024" ht="14.399999999999999" customHeight="1">
      <c r="A3024" s="5"/>
      <c r="B3024" s="19"/>
    </row>
    <row r="3025" ht="14.399999999999999" customHeight="1">
      <c r="A3025" s="5"/>
      <c r="B3025" s="19"/>
    </row>
    <row r="3026" ht="14.399999999999999" customHeight="1">
      <c r="A3026" s="5"/>
      <c r="B3026" s="19"/>
    </row>
    <row r="3027" ht="14.399999999999999" customHeight="1">
      <c r="A3027" s="5"/>
      <c r="B3027" s="19"/>
    </row>
    <row r="3028" ht="14.399999999999999" customHeight="1">
      <c r="A3028" s="5"/>
      <c r="B3028" s="19"/>
    </row>
    <row r="3029" ht="14.399999999999999" customHeight="1">
      <c r="A3029" s="5"/>
      <c r="B3029" s="19"/>
    </row>
    <row r="3030" ht="14.399999999999999" customHeight="1">
      <c r="A3030" s="5"/>
      <c r="B3030" s="19"/>
    </row>
    <row r="3031" ht="14.399999999999999" customHeight="1">
      <c r="A3031" s="5"/>
      <c r="B3031" s="19"/>
    </row>
    <row r="3032" ht="14.399999999999999" customHeight="1">
      <c r="A3032" s="5"/>
      <c r="B3032" s="19"/>
    </row>
    <row r="3033" ht="14.399999999999999" customHeight="1">
      <c r="A3033" s="5"/>
      <c r="B3033" s="19"/>
    </row>
    <row r="3034" ht="14.399999999999999" customHeight="1">
      <c r="A3034" s="5"/>
      <c r="B3034" s="19"/>
    </row>
    <row r="3035" ht="14.399999999999999" customHeight="1">
      <c r="A3035" s="5"/>
      <c r="B3035" s="19"/>
    </row>
    <row r="3036" ht="14.399999999999999" customHeight="1">
      <c r="A3036" s="5"/>
      <c r="B3036" s="19"/>
    </row>
    <row r="3037" ht="14.399999999999999" customHeight="1">
      <c r="A3037" s="5"/>
      <c r="B3037" s="19"/>
    </row>
    <row r="3038" ht="14.399999999999999" customHeight="1">
      <c r="A3038" s="5"/>
      <c r="B3038" s="19"/>
    </row>
  </sheetData>
  <phoneticPr fontId="1" type="noConversion"/>
  <conditionalFormatting sqref="A2">
    <cfRule priority="1" type="duplicateValues" dxfId="0"/>
  </conditionalFormatting>
  <conditionalFormatting sqref="B1">
    <cfRule priority="4" type="duplicateValues" dxfId="1"/>
  </conditionalFormatting>
  <conditionalFormatting sqref="A342:A346">
    <cfRule priority="5" type="duplicateValues" dxfId="1"/>
  </conditionalFormatting>
  <conditionalFormatting sqref="A1">
    <cfRule priority="6" type="duplicateValues" dxfId="1"/>
  </conditionalFormatting>
  <conditionalFormatting sqref="A3:A341 A347:A500">
    <cfRule priority="6" type="duplicateValues" dxfId="1"/>
  </conditionalFormatting>
  <conditionalFormatting sqref="B2:B341 B347:B500">
    <cfRule priority="7" type="duplicateValues" dxfId="1"/>
  </conditionalFormatting>
  <conditionalFormatting sqref="A501">
    <cfRule priority="6" type="duplicateValues" dxfId="1"/>
  </conditionalFormatting>
  <conditionalFormatting sqref="B501">
    <cfRule priority="7" type="duplicateValues" dxfId="1"/>
  </conditionalFormatting>
  <conditionalFormatting sqref="A502">
    <cfRule priority="6" type="duplicateValues" dxfId="1"/>
  </conditionalFormatting>
  <conditionalFormatting sqref="B502">
    <cfRule priority="7" type="duplicateValues" dxfId="1"/>
  </conditionalFormatting>
  <conditionalFormatting sqref="A503">
    <cfRule priority="6" type="duplicateValues" dxfId="1"/>
  </conditionalFormatting>
  <conditionalFormatting sqref="B503">
    <cfRule priority="7" type="duplicateValues" dxfId="1"/>
  </conditionalFormatting>
  <conditionalFormatting sqref="A504">
    <cfRule priority="6" type="duplicateValues" dxfId="1"/>
  </conditionalFormatting>
  <conditionalFormatting sqref="B504">
    <cfRule priority="7" type="duplicateValues" dxfId="1"/>
  </conditionalFormatting>
  <conditionalFormatting sqref="A505">
    <cfRule priority="6" type="duplicateValues" dxfId="1"/>
  </conditionalFormatting>
  <conditionalFormatting sqref="B505">
    <cfRule priority="7" type="duplicateValues" dxfId="1"/>
  </conditionalFormatting>
  <conditionalFormatting sqref="A506">
    <cfRule priority="6" type="duplicateValues" dxfId="1"/>
  </conditionalFormatting>
  <conditionalFormatting sqref="B506">
    <cfRule priority="7" type="duplicateValues" dxfId="1"/>
  </conditionalFormatting>
  <conditionalFormatting sqref="A507:A508">
    <cfRule priority="6" type="duplicateValues" dxfId="1"/>
  </conditionalFormatting>
  <conditionalFormatting sqref="B507:B508">
    <cfRule priority="7" type="duplicateValues" dxfId="1"/>
  </conditionalFormatting>
  <conditionalFormatting sqref="A509:A512">
    <cfRule priority="6" type="duplicateValues" dxfId="1"/>
  </conditionalFormatting>
  <conditionalFormatting sqref="B509:B512">
    <cfRule priority="7" type="duplicateValues" dxfId="1"/>
  </conditionalFormatting>
  <conditionalFormatting sqref="A513:A517">
    <cfRule priority="6" type="duplicateValues" dxfId="1"/>
  </conditionalFormatting>
  <conditionalFormatting sqref="B513:B517">
    <cfRule priority="7" type="duplicateValues" dxfId="1"/>
  </conditionalFormatting>
  <conditionalFormatting sqref="A518">
    <cfRule priority="6" type="duplicateValues" dxfId="1"/>
  </conditionalFormatting>
  <conditionalFormatting sqref="B518">
    <cfRule priority="7" type="duplicateValues" dxfId="1"/>
  </conditionalFormatting>
  <conditionalFormatting sqref="A519">
    <cfRule priority="6" type="duplicateValues" dxfId="1"/>
  </conditionalFormatting>
  <conditionalFormatting sqref="B519">
    <cfRule priority="7" type="duplicateValues" dxfId="1"/>
  </conditionalFormatting>
  <conditionalFormatting sqref="A520">
    <cfRule priority="6" type="duplicateValues" dxfId="1"/>
  </conditionalFormatting>
  <conditionalFormatting sqref="B520">
    <cfRule priority="7" type="duplicateValues" dxfId="1"/>
  </conditionalFormatting>
  <conditionalFormatting sqref="A521:A522">
    <cfRule priority="6" type="duplicateValues" dxfId="1"/>
  </conditionalFormatting>
  <conditionalFormatting sqref="B521:B522">
    <cfRule priority="7" type="duplicateValues" dxfId="1"/>
  </conditionalFormatting>
  <conditionalFormatting sqref="A523">
    <cfRule priority="6" type="duplicateValues" dxfId="1"/>
  </conditionalFormatting>
  <conditionalFormatting sqref="B523">
    <cfRule priority="7" type="duplicateValues" dxfId="1"/>
  </conditionalFormatting>
  <conditionalFormatting sqref="A524">
    <cfRule priority="6" type="duplicateValues" dxfId="1"/>
  </conditionalFormatting>
  <conditionalFormatting sqref="B524">
    <cfRule priority="7" type="duplicateValues" dxfId="1"/>
  </conditionalFormatting>
  <conditionalFormatting sqref="A525:A526">
    <cfRule priority="6" type="duplicateValues" dxfId="1"/>
  </conditionalFormatting>
  <conditionalFormatting sqref="B525:B526">
    <cfRule priority="7" type="duplicateValues" dxfId="1"/>
  </conditionalFormatting>
  <conditionalFormatting sqref="A527">
    <cfRule priority="6" type="duplicateValues" dxfId="1"/>
  </conditionalFormatting>
  <conditionalFormatting sqref="B527">
    <cfRule priority="7" type="duplicateValues" dxfId="1"/>
  </conditionalFormatting>
  <conditionalFormatting sqref="A528:A533">
    <cfRule priority="6" type="duplicateValues" dxfId="1"/>
  </conditionalFormatting>
  <conditionalFormatting sqref="B528:B533">
    <cfRule priority="7" type="duplicateValues" dxfId="1"/>
  </conditionalFormatting>
  <conditionalFormatting sqref="A534:A553">
    <cfRule priority="6" type="duplicateValues" dxfId="1"/>
  </conditionalFormatting>
  <conditionalFormatting sqref="B534:B553">
    <cfRule priority="7" type="duplicateValues" dxfId="1"/>
  </conditionalFormatting>
  <conditionalFormatting sqref="A554:A556">
    <cfRule priority="6" type="duplicateValues" dxfId="1"/>
  </conditionalFormatting>
  <conditionalFormatting sqref="B554:B556">
    <cfRule priority="7" type="duplicateValues" dxfId="1"/>
  </conditionalFormatting>
  <conditionalFormatting sqref="A557:A564">
    <cfRule priority="6" type="duplicateValues" dxfId="1"/>
  </conditionalFormatting>
  <conditionalFormatting sqref="B557:B564">
    <cfRule priority="7" type="duplicateValues" dxfId="1"/>
  </conditionalFormatting>
  <conditionalFormatting sqref="A565:A575">
    <cfRule priority="6" type="duplicateValues" dxfId="1"/>
  </conditionalFormatting>
  <conditionalFormatting sqref="B565:B575">
    <cfRule priority="7" type="duplicateValues" dxfId="1"/>
  </conditionalFormatting>
  <conditionalFormatting sqref="A576:A578">
    <cfRule priority="6" type="duplicateValues" dxfId="1"/>
  </conditionalFormatting>
  <conditionalFormatting sqref="B576:B578">
    <cfRule priority="7" type="duplicateValues" dxfId="1"/>
  </conditionalFormatting>
  <conditionalFormatting sqref="A579">
    <cfRule priority="6" type="duplicateValues" dxfId="1"/>
  </conditionalFormatting>
  <conditionalFormatting sqref="B579">
    <cfRule priority="7" type="duplicateValues" dxfId="1"/>
  </conditionalFormatting>
  <conditionalFormatting sqref="A580:A582">
    <cfRule priority="6" type="duplicateValues" dxfId="1"/>
  </conditionalFormatting>
  <conditionalFormatting sqref="B580:B582">
    <cfRule priority="7" type="duplicateValues" dxfId="1"/>
  </conditionalFormatting>
  <conditionalFormatting sqref="A583:A586">
    <cfRule priority="6" type="duplicateValues" dxfId="1"/>
  </conditionalFormatting>
  <conditionalFormatting sqref="B583:B586">
    <cfRule priority="7" type="duplicateValues" dxfId="1"/>
  </conditionalFormatting>
  <conditionalFormatting sqref="A587:A591">
    <cfRule priority="6" type="duplicateValues" dxfId="1"/>
  </conditionalFormatting>
  <conditionalFormatting sqref="B587:B591">
    <cfRule priority="7" type="duplicateValues" dxfId="1"/>
  </conditionalFormatting>
  <conditionalFormatting sqref="A592:A623">
    <cfRule priority="6" type="duplicateValues" dxfId="1"/>
  </conditionalFormatting>
  <conditionalFormatting sqref="B592:B623">
    <cfRule priority="7" type="duplicateValues" dxfId="1"/>
  </conditionalFormatting>
  <conditionalFormatting sqref="A624">
    <cfRule priority="6" type="duplicateValues" dxfId="1"/>
  </conditionalFormatting>
  <conditionalFormatting sqref="B624">
    <cfRule priority="7" type="duplicateValues" dxfId="1"/>
  </conditionalFormatting>
  <conditionalFormatting sqref="A625:A650">
    <cfRule priority="6" type="duplicateValues" dxfId="1"/>
  </conditionalFormatting>
  <conditionalFormatting sqref="B625:B638 B640:B650">
    <cfRule priority="7" type="duplicateValues" dxfId="1"/>
  </conditionalFormatting>
  <conditionalFormatting sqref="A651:A652">
    <cfRule priority="6" type="duplicateValues" dxfId="1"/>
  </conditionalFormatting>
  <conditionalFormatting sqref="B651:B652">
    <cfRule priority="7" type="duplicateValues" dxfId="1"/>
  </conditionalFormatting>
  <conditionalFormatting sqref="A653:A658">
    <cfRule priority="6" type="duplicateValues" dxfId="1"/>
  </conditionalFormatting>
  <conditionalFormatting sqref="B653:B658">
    <cfRule priority="7" type="duplicateValues" dxfId="1"/>
  </conditionalFormatting>
  <conditionalFormatting sqref="A659:A665">
    <cfRule priority="6" type="duplicateValues" dxfId="1"/>
  </conditionalFormatting>
  <conditionalFormatting sqref="B659:B665">
    <cfRule priority="7" type="duplicateValues" dxfId="1"/>
  </conditionalFormatting>
  <conditionalFormatting sqref="A666:A667">
    <cfRule priority="6" type="duplicateValues" dxfId="1"/>
  </conditionalFormatting>
  <conditionalFormatting sqref="B666:B667">
    <cfRule priority="7" type="duplicateValues" dxfId="1"/>
  </conditionalFormatting>
  <conditionalFormatting sqref="A668:A684">
    <cfRule priority="6" type="duplicateValues" dxfId="1"/>
  </conditionalFormatting>
  <conditionalFormatting sqref="B668:B684">
    <cfRule priority="7" type="duplicateValues" dxfId="1"/>
  </conditionalFormatting>
  <conditionalFormatting sqref="A685:A693">
    <cfRule priority="6" type="duplicateValues" dxfId="1"/>
  </conditionalFormatting>
  <conditionalFormatting sqref="B685:B693">
    <cfRule priority="7" type="duplicateValues" dxfId="1"/>
  </conditionalFormatting>
  <conditionalFormatting sqref="A694:A695">
    <cfRule priority="6" type="duplicateValues" dxfId="1"/>
  </conditionalFormatting>
  <conditionalFormatting sqref="B694:B695">
    <cfRule priority="7" type="duplicateValues" dxfId="1"/>
  </conditionalFormatting>
  <conditionalFormatting sqref="A696">
    <cfRule priority="6" type="duplicateValues" dxfId="1"/>
  </conditionalFormatting>
  <conditionalFormatting sqref="B696">
    <cfRule priority="7" type="duplicateValues" dxfId="1"/>
  </conditionalFormatting>
  <conditionalFormatting sqref="A697:A733">
    <cfRule priority="6" type="duplicateValues" dxfId="1"/>
  </conditionalFormatting>
  <conditionalFormatting sqref="B697:B733">
    <cfRule priority="7" type="duplicateValues" dxfId="1"/>
  </conditionalFormatting>
  <conditionalFormatting sqref="A734:A745">
    <cfRule priority="6" type="duplicateValues" dxfId="1"/>
  </conditionalFormatting>
  <conditionalFormatting sqref="B734:B745">
    <cfRule priority="7" type="duplicateValues" dxfId="1"/>
  </conditionalFormatting>
  <conditionalFormatting sqref="A746:A752">
    <cfRule priority="6" type="duplicateValues" dxfId="1"/>
  </conditionalFormatting>
  <conditionalFormatting sqref="B746:B752">
    <cfRule priority="7" type="duplicateValues" dxfId="1"/>
  </conditionalFormatting>
  <conditionalFormatting sqref="A753:A772">
    <cfRule priority="6" type="duplicateValues" dxfId="1"/>
  </conditionalFormatting>
  <conditionalFormatting sqref="B753:B772">
    <cfRule priority="7" type="duplicateValues" dxfId="1"/>
  </conditionalFormatting>
  <conditionalFormatting sqref="A773:A778">
    <cfRule priority="6" type="duplicateValues" dxfId="1"/>
  </conditionalFormatting>
  <conditionalFormatting sqref="B773:B778">
    <cfRule priority="7" type="duplicateValues" dxfId="1"/>
  </conditionalFormatting>
  <conditionalFormatting sqref="A779:A783">
    <cfRule priority="6" type="duplicateValues" dxfId="1"/>
  </conditionalFormatting>
  <conditionalFormatting sqref="B779:B783">
    <cfRule priority="7" type="duplicateValues" dxfId="1"/>
  </conditionalFormatting>
  <conditionalFormatting sqref="A784:A794">
    <cfRule priority="6" type="duplicateValues" dxfId="1"/>
  </conditionalFormatting>
  <conditionalFormatting sqref="B784:B794">
    <cfRule priority="7" type="duplicateValues" dxfId="1"/>
  </conditionalFormatting>
  <conditionalFormatting sqref="A795:A812">
    <cfRule priority="6" type="duplicateValues" dxfId="1"/>
  </conditionalFormatting>
  <conditionalFormatting sqref="B795:B812">
    <cfRule priority="7" type="duplicateValues" dxfId="1"/>
  </conditionalFormatting>
  <conditionalFormatting sqref="A813:A816">
    <cfRule priority="6" type="duplicateValues" dxfId="1"/>
  </conditionalFormatting>
  <conditionalFormatting sqref="B813:B816">
    <cfRule priority="7" type="duplicateValues" dxfId="1"/>
  </conditionalFormatting>
  <conditionalFormatting sqref="A817">
    <cfRule priority="6" type="duplicateValues" dxfId="1"/>
  </conditionalFormatting>
  <conditionalFormatting sqref="B817">
    <cfRule priority="7" type="duplicateValues" dxfId="1"/>
  </conditionalFormatting>
  <conditionalFormatting sqref="A818:A823">
    <cfRule priority="6" type="duplicateValues" dxfId="1"/>
  </conditionalFormatting>
  <conditionalFormatting sqref="B818:B823">
    <cfRule priority="7" type="duplicateValues" dxfId="1"/>
  </conditionalFormatting>
  <conditionalFormatting sqref="A824:A874">
    <cfRule priority="6" type="duplicateValues" dxfId="1"/>
  </conditionalFormatting>
  <conditionalFormatting sqref="B824:B874">
    <cfRule priority="7" type="duplicateValues" dxfId="1"/>
  </conditionalFormatting>
  <conditionalFormatting sqref="A875:A983">
    <cfRule priority="6" type="duplicateValues" dxfId="1"/>
  </conditionalFormatting>
  <conditionalFormatting sqref="B875:B983">
    <cfRule priority="7" type="duplicateValues" dxfId="1"/>
  </conditionalFormatting>
  <conditionalFormatting sqref="A984:A986">
    <cfRule priority="6" type="duplicateValues" dxfId="1"/>
  </conditionalFormatting>
  <conditionalFormatting sqref="B984:B986">
    <cfRule priority="7" type="duplicateValues" dxfId="1"/>
  </conditionalFormatting>
  <conditionalFormatting sqref="A987:A989">
    <cfRule priority="6" type="duplicateValues" dxfId="1"/>
  </conditionalFormatting>
  <conditionalFormatting sqref="B987:B989">
    <cfRule priority="7" type="duplicateValues" dxfId="1"/>
  </conditionalFormatting>
  <conditionalFormatting sqref="A990:A1001">
    <cfRule priority="6" type="duplicateValues" dxfId="1"/>
  </conditionalFormatting>
  <conditionalFormatting sqref="B990:B1001">
    <cfRule priority="7" type="duplicateValues" dxfId="1"/>
  </conditionalFormatting>
  <conditionalFormatting sqref="A1002:A1007">
    <cfRule priority="6" type="duplicateValues" dxfId="1"/>
  </conditionalFormatting>
  <conditionalFormatting sqref="B1002:B1007">
    <cfRule priority="7" type="duplicateValues" dxfId="1"/>
  </conditionalFormatting>
  <conditionalFormatting sqref="A1008:A1017">
    <cfRule priority="6" type="duplicateValues" dxfId="1"/>
  </conditionalFormatting>
  <conditionalFormatting sqref="B1008:B1017">
    <cfRule priority="7" type="duplicateValues" dxfId="1"/>
  </conditionalFormatting>
  <conditionalFormatting sqref="A1018:A1030">
    <cfRule priority="6" type="duplicateValues" dxfId="1"/>
  </conditionalFormatting>
  <conditionalFormatting sqref="B1018:B1030">
    <cfRule priority="7" type="duplicateValues" dxfId="1"/>
  </conditionalFormatting>
  <conditionalFormatting sqref="A1031:A1044">
    <cfRule priority="6" type="duplicateValues" dxfId="1"/>
  </conditionalFormatting>
  <conditionalFormatting sqref="B1031:B1044">
    <cfRule priority="7" type="duplicateValues" dxfId="1"/>
  </conditionalFormatting>
  <conditionalFormatting sqref="A1045:A1088">
    <cfRule priority="6" type="duplicateValues" dxfId="1"/>
  </conditionalFormatting>
  <conditionalFormatting sqref="B1045:B1088">
    <cfRule priority="7" type="duplicateValues" dxfId="1"/>
  </conditionalFormatting>
  <conditionalFormatting sqref="A1089:A1098">
    <cfRule priority="6" type="duplicateValues" dxfId="1"/>
  </conditionalFormatting>
  <conditionalFormatting sqref="B1089:B1098">
    <cfRule priority="7" type="duplicateValues" dxfId="1"/>
  </conditionalFormatting>
  <conditionalFormatting sqref="A1099:A1541">
    <cfRule priority="6" type="duplicateValues" dxfId="1"/>
  </conditionalFormatting>
  <conditionalFormatting sqref="B1099:B1541">
    <cfRule priority="7" type="duplicateValues" dxfId="1"/>
  </conditionalFormatting>
  <conditionalFormatting sqref="A1542:A1560">
    <cfRule priority="6" type="duplicateValues" dxfId="1"/>
  </conditionalFormatting>
  <conditionalFormatting sqref="B1542:B1560">
    <cfRule priority="7" type="duplicateValues" dxfId="1"/>
  </conditionalFormatting>
  <conditionalFormatting sqref="A1561">
    <cfRule priority="6" type="duplicateValues" dxfId="1"/>
  </conditionalFormatting>
  <conditionalFormatting sqref="B1561">
    <cfRule priority="7" type="duplicateValues" dxfId="1"/>
  </conditionalFormatting>
  <conditionalFormatting sqref="A1562">
    <cfRule priority="6" type="duplicateValues" dxfId="1"/>
  </conditionalFormatting>
  <conditionalFormatting sqref="B1562">
    <cfRule priority="7" type="duplicateValues" dxfId="1"/>
  </conditionalFormatting>
  <conditionalFormatting sqref="A1563">
    <cfRule priority="6" type="duplicateValues" dxfId="1"/>
  </conditionalFormatting>
  <conditionalFormatting sqref="B1563">
    <cfRule priority="7" type="duplicateValues" dxfId="1"/>
  </conditionalFormatting>
  <conditionalFormatting sqref="A1564">
    <cfRule priority="6" type="duplicateValues" dxfId="1"/>
  </conditionalFormatting>
  <conditionalFormatting sqref="B1564">
    <cfRule priority="7" type="duplicateValues" dxfId="1"/>
  </conditionalFormatting>
  <conditionalFormatting sqref="A1565:A1576">
    <cfRule priority="6" type="duplicateValues" dxfId="1"/>
  </conditionalFormatting>
  <conditionalFormatting sqref="B1565:B1576">
    <cfRule priority="7" type="duplicateValues" dxfId="1"/>
  </conditionalFormatting>
  <conditionalFormatting sqref="A1577:A1578">
    <cfRule priority="6" type="duplicateValues" dxfId="1"/>
  </conditionalFormatting>
  <conditionalFormatting sqref="B1577:B1578">
    <cfRule priority="7" type="duplicateValues" dxfId="1"/>
  </conditionalFormatting>
  <conditionalFormatting sqref="A1579">
    <cfRule priority="6" type="duplicateValues" dxfId="1"/>
  </conditionalFormatting>
  <conditionalFormatting sqref="B1579">
    <cfRule priority="7" type="duplicateValues" dxfId="1"/>
  </conditionalFormatting>
  <conditionalFormatting sqref="A1580:A1678">
    <cfRule priority="6" type="duplicateValues" dxfId="1"/>
  </conditionalFormatting>
  <conditionalFormatting sqref="B1580:B1678">
    <cfRule priority="7" type="duplicateValues" dxfId="1"/>
  </conditionalFormatting>
  <conditionalFormatting sqref="A1679:A1705">
    <cfRule priority="6" type="duplicateValues" dxfId="1"/>
  </conditionalFormatting>
  <conditionalFormatting sqref="B1679:B1705">
    <cfRule priority="7" type="duplicateValues" dxfId="1"/>
  </conditionalFormatting>
  <conditionalFormatting sqref="A1706:A1826">
    <cfRule priority="6" type="duplicateValues" dxfId="1"/>
  </conditionalFormatting>
  <conditionalFormatting sqref="B1706:B1826">
    <cfRule priority="7" type="duplicateValues" dxfId="1"/>
  </conditionalFormatting>
  <conditionalFormatting sqref="A1827:A1917">
    <cfRule priority="6" type="duplicateValues" dxfId="1"/>
  </conditionalFormatting>
  <conditionalFormatting sqref="B1827:B1917">
    <cfRule priority="7" type="duplicateValues" dxfId="1"/>
  </conditionalFormatting>
  <conditionalFormatting sqref="A1918:A2056">
    <cfRule priority="6" type="duplicateValues" dxfId="1"/>
  </conditionalFormatting>
  <conditionalFormatting sqref="B1918:B2056">
    <cfRule priority="7" type="duplicateValues" dxfId="1"/>
  </conditionalFormatting>
  <conditionalFormatting sqref="A2057:A2066">
    <cfRule priority="6" type="duplicateValues" dxfId="1"/>
  </conditionalFormatting>
  <conditionalFormatting sqref="B2057:B2066">
    <cfRule priority="7" type="duplicateValues" dxfId="1"/>
  </conditionalFormatting>
  <conditionalFormatting sqref="A2067:A2081">
    <cfRule priority="6" type="duplicateValues" dxfId="1"/>
  </conditionalFormatting>
  <conditionalFormatting sqref="B2067:B2081">
    <cfRule priority="7" type="duplicateValues" dxfId="1"/>
  </conditionalFormatting>
  <conditionalFormatting sqref="A2082:A2238">
    <cfRule priority="6" type="duplicateValues" dxfId="1"/>
  </conditionalFormatting>
  <conditionalFormatting sqref="B2082:B2238">
    <cfRule priority="7" type="duplicateValues" dxfId="1"/>
  </conditionalFormatting>
  <conditionalFormatting sqref="A2239:A2253">
    <cfRule priority="6" type="duplicateValues" dxfId="1"/>
  </conditionalFormatting>
  <conditionalFormatting sqref="B2239:B2253">
    <cfRule priority="7" type="duplicateValues" dxfId="1"/>
  </conditionalFormatting>
  <conditionalFormatting sqref="A2254:A2337">
    <cfRule priority="6" type="duplicateValues" dxfId="1"/>
  </conditionalFormatting>
  <conditionalFormatting sqref="B2254:B2337">
    <cfRule priority="7" type="duplicateValues" dxfId="1"/>
  </conditionalFormatting>
  <conditionalFormatting sqref="A2338:A2622">
    <cfRule priority="6" type="duplicateValues" dxfId="1"/>
  </conditionalFormatting>
  <conditionalFormatting sqref="B2338:B2622">
    <cfRule priority="7" type="duplicateValues" dxfId="1"/>
  </conditionalFormatting>
  <conditionalFormatting sqref="A2623:A2633">
    <cfRule priority="6" type="duplicateValues" dxfId="1"/>
  </conditionalFormatting>
  <conditionalFormatting sqref="B2623:B2633">
    <cfRule priority="7" type="duplicateValues" dxfId="1"/>
  </conditionalFormatting>
  <conditionalFormatting sqref="A2634:A2635">
    <cfRule priority="6" type="duplicateValues" dxfId="1"/>
  </conditionalFormatting>
  <conditionalFormatting sqref="B2634:B2635">
    <cfRule priority="7" type="duplicateValues" dxfId="1"/>
  </conditionalFormatting>
  <conditionalFormatting sqref="A2636:A2638">
    <cfRule priority="6" type="duplicateValues" dxfId="1"/>
  </conditionalFormatting>
  <conditionalFormatting sqref="B2636:B2638">
    <cfRule priority="7" type="duplicateValues" dxfId="1"/>
  </conditionalFormatting>
  <conditionalFormatting sqref="A2639:A2640">
    <cfRule priority="6" type="duplicateValues" dxfId="1"/>
  </conditionalFormatting>
  <conditionalFormatting sqref="B2639:B2640">
    <cfRule priority="7" type="duplicateValues" dxfId="1"/>
  </conditionalFormatting>
  <conditionalFormatting sqref="A2641">
    <cfRule priority="6" type="duplicateValues" dxfId="1"/>
  </conditionalFormatting>
  <conditionalFormatting sqref="B2641">
    <cfRule priority="7" type="duplicateValues" dxfId="1"/>
  </conditionalFormatting>
  <conditionalFormatting sqref="A2642:A2644">
    <cfRule priority="6" type="duplicateValues" dxfId="1"/>
  </conditionalFormatting>
  <conditionalFormatting sqref="B2642:B2644">
    <cfRule priority="7" type="duplicateValues" dxfId="1"/>
  </conditionalFormatting>
  <conditionalFormatting sqref="A2645:A2690">
    <cfRule priority="6" type="duplicateValues" dxfId="1"/>
  </conditionalFormatting>
  <conditionalFormatting sqref="B2645:B2690">
    <cfRule priority="7" type="duplicateValues" dxfId="1"/>
  </conditionalFormatting>
  <conditionalFormatting sqref="A2691:A2716">
    <cfRule priority="6" type="duplicateValues" dxfId="1"/>
  </conditionalFormatting>
  <conditionalFormatting sqref="B2691:B2716">
    <cfRule priority="7" type="duplicateValues" dxfId="1"/>
  </conditionalFormatting>
  <conditionalFormatting sqref="A2717:A2729">
    <cfRule priority="6" type="duplicateValues" dxfId="1"/>
  </conditionalFormatting>
  <conditionalFormatting sqref="B2717:B2729">
    <cfRule priority="7" type="duplicateValues" dxfId="1"/>
  </conditionalFormatting>
  <conditionalFormatting sqref="A2730:A2778">
    <cfRule priority="6" type="duplicateValues" dxfId="1"/>
  </conditionalFormatting>
  <conditionalFormatting sqref="B2730:B2778">
    <cfRule priority="7" type="duplicateValues" dxfId="1"/>
  </conditionalFormatting>
  <hyperlinks>
    <hyperlink ref="B98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49.8310546875" customWidth="1" style="18"/>
    <col min="2" max="2" width="36.6650390625" customWidth="1" style="18"/>
    <col min="3" max="4" width="17.1650390625" customWidth="1" style="18"/>
    <col min="5" max="5" width="19.6640625" customWidth="1" style="6"/>
    <col min="6" max="6" width="12.6650390625" customWidth="1" style="18"/>
    <col min="7" max="7" width="12.9990234375" customWidth="1" style="18"/>
    <col min="8" max="8" width="21.9990234375" customWidth="1" style="6"/>
    <col min="9" max="9" width="18.6650390625" customWidth="1" style="18"/>
    <col min="10" max="40" width="8.8330078125" style="18"/>
  </cols>
  <sheetData>
    <row r="1" s="18" customFormat="1" ht="14.399999999999999" customHeight="1">
      <c r="A1" s="8" t="s">
        <v>0</v>
      </c>
      <c r="B1" s="8" t="s">
        <v>1</v>
      </c>
      <c r="C1" s="8" t="s">
        <v>5524</v>
      </c>
      <c r="D1" s="8" t="s">
        <v>5525</v>
      </c>
      <c r="E1" s="9" t="s">
        <v>5526</v>
      </c>
      <c r="F1" s="8" t="s">
        <v>5527</v>
      </c>
      <c r="G1" s="8" t="s">
        <v>5528</v>
      </c>
      <c r="H1" s="9" t="s">
        <v>5529</v>
      </c>
    </row>
    <row r="2" s="18" customFormat="1" ht="14.399999999999999" customHeight="1">
      <c r="A2" s="10" t="s">
        <v>4233</v>
      </c>
      <c r="B2" s="10" t="s">
        <v>4234</v>
      </c>
      <c r="C2" s="13" t="n">
        <v>25363</v>
      </c>
      <c r="D2" s="13" t="n">
        <v>40515</v>
      </c>
      <c r="E2" s="6" t="n">
        <f>SUM(C2,D2)/2</f>
        <v>32939</v>
      </c>
      <c r="F2" s="12" t="n">
        <v>10118</v>
      </c>
      <c r="G2" s="12" t="n">
        <v>15038</v>
      </c>
      <c r="H2" s="6" t="n">
        <f>SUM(F2,G2)/2</f>
        <v>12578</v>
      </c>
    </row>
    <row r="3" s="18" customFormat="1" ht="14.399999999999999" customHeight="1">
      <c r="A3" s="10" t="s">
        <v>4997</v>
      </c>
      <c r="B3" s="10" t="s">
        <v>4998</v>
      </c>
      <c r="C3" s="13" t="n">
        <v>11313</v>
      </c>
      <c r="D3" s="13" t="n">
        <v>18071</v>
      </c>
      <c r="E3" s="6" t="n">
        <f>SUM(C3,D3)/2</f>
        <v>14692</v>
      </c>
      <c r="F3" s="12" t="n">
        <v>5579</v>
      </c>
      <c r="G3" s="12" t="n">
        <v>7656</v>
      </c>
      <c r="H3" s="6" t="n">
        <f>SUM(F3,G3)/2</f>
        <v>6617.5</v>
      </c>
    </row>
    <row r="4" s="18" customFormat="1" ht="14.399999999999999" customHeight="1">
      <c r="A4" s="10" t="s">
        <v>2829</v>
      </c>
      <c r="B4" s="10" t="s">
        <v>2830</v>
      </c>
      <c r="C4" s="10" t="n">
        <v>0</v>
      </c>
      <c r="D4" s="10" t="n">
        <v>0</v>
      </c>
      <c r="E4" s="6" t="n">
        <f>SUM(C4,D4)/2</f>
        <v>0</v>
      </c>
      <c r="F4" s="18" t="n">
        <v>0</v>
      </c>
      <c r="G4" s="18" t="n">
        <v>0</v>
      </c>
      <c r="H4" s="6" t="n">
        <f>SUM(F4,G4)/2</f>
        <v>0</v>
      </c>
    </row>
    <row r="5" s="18" customFormat="1" ht="14.399999999999999" customHeight="1">
      <c r="A5" s="10" t="s">
        <v>2358</v>
      </c>
      <c r="B5" s="10" t="s">
        <v>2359</v>
      </c>
      <c r="C5" s="10" t="n">
        <v>30</v>
      </c>
      <c r="D5" s="10" t="n">
        <v>48</v>
      </c>
      <c r="E5" s="6" t="n">
        <f>SUM(C5,D5)/2</f>
        <v>39</v>
      </c>
      <c r="F5" s="18" t="n">
        <v>46</v>
      </c>
      <c r="G5" s="18" t="n">
        <v>56</v>
      </c>
      <c r="H5" s="6" t="n">
        <f>SUM(F5,G5)/2</f>
        <v>51</v>
      </c>
    </row>
    <row r="6" s="18" customFormat="1" ht="14.399999999999999" customHeight="1">
      <c r="A6" s="10" t="s">
        <v>2073</v>
      </c>
      <c r="B6" s="10" t="s">
        <v>2074</v>
      </c>
      <c r="C6" s="10" t="n">
        <v>6</v>
      </c>
      <c r="D6" s="10" t="n">
        <v>10</v>
      </c>
      <c r="E6" s="6" t="n">
        <f>SUM(C6,D6)/2</f>
        <v>8</v>
      </c>
      <c r="F6" s="18" t="n">
        <v>7</v>
      </c>
      <c r="G6" s="18" t="n">
        <v>10</v>
      </c>
      <c r="H6" s="6" t="n">
        <f>SUM(F6,G6)/2</f>
        <v>8.5</v>
      </c>
    </row>
    <row r="7" s="18" customFormat="1" ht="14.399999999999999" customHeight="1">
      <c r="A7" s="10" t="s">
        <v>4561</v>
      </c>
      <c r="B7" s="10" t="s">
        <v>4562</v>
      </c>
      <c r="C7" s="13" t="n">
        <v>23846</v>
      </c>
      <c r="D7" s="13" t="n">
        <v>38092</v>
      </c>
      <c r="E7" s="6" t="n">
        <f>SUM(C7,D7)/2</f>
        <v>30969</v>
      </c>
      <c r="F7" s="12" t="n">
        <v>6277</v>
      </c>
      <c r="G7" s="12" t="n">
        <v>9730</v>
      </c>
      <c r="H7" s="6" t="n">
        <f>SUM(F7,G7)/2</f>
        <v>8003.5</v>
      </c>
    </row>
    <row r="8" s="18" customFormat="1" ht="14.399999999999999" customHeight="1">
      <c r="A8" s="10" t="s">
        <v>5530</v>
      </c>
      <c r="B8" s="10" t="s">
        <v>5531</v>
      </c>
      <c r="C8" s="13" t="n">
        <v>3635</v>
      </c>
      <c r="D8" s="13" t="n">
        <v>5809</v>
      </c>
      <c r="E8" s="6" t="n">
        <f>SUM(C8,D8)/2</f>
        <v>4722</v>
      </c>
      <c r="F8" s="12" t="n">
        <v>4182</v>
      </c>
      <c r="G8" s="12" t="n">
        <v>6084</v>
      </c>
      <c r="H8" s="6" t="n">
        <f>SUM(F8,G8)/2</f>
        <v>5133</v>
      </c>
    </row>
    <row r="9" s="18" customFormat="1" ht="14.399999999999999" customHeight="1">
      <c r="A9" s="10" t="s">
        <v>5532</v>
      </c>
      <c r="B9" s="10" t="s">
        <v>5533</v>
      </c>
      <c r="C9" s="10" t="n">
        <v>75</v>
      </c>
      <c r="D9" s="10" t="n">
        <v>121</v>
      </c>
      <c r="E9" s="6" t="n">
        <f>SUM(C9,D9)/2</f>
        <v>98</v>
      </c>
      <c r="F9" s="18" t="n">
        <v>38</v>
      </c>
      <c r="G9" s="18" t="n">
        <v>55</v>
      </c>
      <c r="H9" s="6" t="n">
        <f>SUM(F9,G9)/2</f>
        <v>46.5</v>
      </c>
    </row>
    <row r="10" s="18" customFormat="1" ht="14.399999999999999" customHeight="1">
      <c r="A10" s="10" t="s">
        <v>3333</v>
      </c>
      <c r="B10" s="10" t="s">
        <v>3334</v>
      </c>
      <c r="C10" s="13" t="n">
        <v>83211</v>
      </c>
      <c r="D10" s="13" t="n">
        <v>132923</v>
      </c>
      <c r="E10" s="6" t="n">
        <f>SUM(C10,D10)/2</f>
        <v>108067</v>
      </c>
      <c r="F10" s="12" t="n">
        <v>22470</v>
      </c>
      <c r="G10" s="12" t="n">
        <v>31833</v>
      </c>
      <c r="H10" s="6" t="n">
        <f>SUM(F10,G10)/2</f>
        <v>27151.5</v>
      </c>
    </row>
    <row r="11" s="18" customFormat="1" ht="14.399999999999999" customHeight="1">
      <c r="A11" s="10" t="s">
        <v>1046</v>
      </c>
      <c r="B11" s="10" t="s">
        <v>1047</v>
      </c>
      <c r="C11" s="13" t="n">
        <v>437548</v>
      </c>
      <c r="D11" s="13" t="n">
        <v>698940</v>
      </c>
      <c r="E11" s="6" t="n">
        <f>SUM(C11,D11)/2</f>
        <v>568244</v>
      </c>
      <c r="F11" s="12" t="n">
        <v>98968</v>
      </c>
      <c r="G11" s="12" t="n">
        <v>139226</v>
      </c>
      <c r="H11" s="6" t="n">
        <f>SUM(F11,G11)/2</f>
        <v>119097</v>
      </c>
    </row>
    <row r="12" s="18" customFormat="1" ht="14.399999999999999" customHeight="1">
      <c r="A12" s="10" t="s">
        <v>4739</v>
      </c>
      <c r="B12" s="10" t="s">
        <v>4740</v>
      </c>
      <c r="C12" s="13" t="n">
        <v>15928</v>
      </c>
      <c r="D12" s="13" t="n">
        <v>25444</v>
      </c>
      <c r="E12" s="6" t="n">
        <f>SUM(C12,D12)/2</f>
        <v>20686</v>
      </c>
      <c r="F12" s="12" t="n">
        <v>7025</v>
      </c>
      <c r="G12" s="12" t="n">
        <v>9186</v>
      </c>
      <c r="H12" s="6" t="n">
        <f>SUM(F12,G12)/2</f>
        <v>8105.5</v>
      </c>
    </row>
    <row r="13" s="18" customFormat="1" ht="14.399999999999999" customHeight="1">
      <c r="A13" s="10" t="s">
        <v>4405</v>
      </c>
      <c r="B13" s="10" t="s">
        <v>4406</v>
      </c>
      <c r="C13" s="13" t="n">
        <v>41666</v>
      </c>
      <c r="D13" s="13" t="n">
        <v>66558</v>
      </c>
      <c r="E13" s="6" t="n">
        <f>SUM(C13,D13)/2</f>
        <v>54112</v>
      </c>
      <c r="F13" s="12" t="n">
        <v>4117</v>
      </c>
      <c r="G13" s="12" t="n">
        <v>6391</v>
      </c>
      <c r="H13" s="6" t="n">
        <f>SUM(F13,G13)/2</f>
        <v>5254</v>
      </c>
    </row>
    <row r="14" s="18" customFormat="1" ht="14.399999999999999" customHeight="1">
      <c r="A14" s="10" t="s">
        <v>2324</v>
      </c>
      <c r="B14" s="10" t="s">
        <v>2325</v>
      </c>
      <c r="C14" s="13" t="n">
        <v>114463</v>
      </c>
      <c r="D14" s="13" t="n">
        <v>182843</v>
      </c>
      <c r="E14" s="6" t="n">
        <f>SUM(C14,D14)/2</f>
        <v>148653</v>
      </c>
      <c r="F14" s="12" t="n">
        <v>35621</v>
      </c>
      <c r="G14" s="12" t="n">
        <v>51300</v>
      </c>
      <c r="H14" s="6" t="n">
        <f>SUM(F14,G14)/2</f>
        <v>43460.5</v>
      </c>
    </row>
    <row r="15" s="18" customFormat="1" ht="14.399999999999999" customHeight="1">
      <c r="A15" s="10" t="s">
        <v>5023</v>
      </c>
      <c r="B15" s="10" t="s">
        <v>5024</v>
      </c>
      <c r="C15" s="13" t="n">
        <v>7839</v>
      </c>
      <c r="D15" s="13" t="n">
        <v>12523</v>
      </c>
      <c r="E15" s="6" t="n">
        <f>SUM(C15,D15)/2</f>
        <v>10181</v>
      </c>
      <c r="F15" s="12" t="n">
        <v>5706</v>
      </c>
      <c r="G15" s="12" t="n">
        <v>8933</v>
      </c>
      <c r="H15" s="6" t="n">
        <f>SUM(F15,G15)/2</f>
        <v>7319.5</v>
      </c>
    </row>
    <row r="16" s="18" customFormat="1" ht="14.399999999999999" customHeight="1">
      <c r="A16" s="10" t="s">
        <v>800</v>
      </c>
      <c r="B16" s="10" t="s">
        <v>801</v>
      </c>
      <c r="C16" s="13" t="n">
        <v>1354656</v>
      </c>
      <c r="D16" s="13" t="n">
        <v>2163930</v>
      </c>
      <c r="E16" s="6" t="n">
        <f>SUM(C16,D16)/2</f>
        <v>1759293</v>
      </c>
      <c r="F16" s="12" t="n">
        <v>229617</v>
      </c>
      <c r="G16" s="12" t="n">
        <v>327281</v>
      </c>
      <c r="H16" s="6" t="n">
        <f>SUM(F16,G16)/2</f>
        <v>278449</v>
      </c>
    </row>
    <row r="17" s="18" customFormat="1" ht="14.399999999999999" customHeight="1">
      <c r="A17" s="10" t="s">
        <v>4257</v>
      </c>
      <c r="B17" s="10" t="s">
        <v>4258</v>
      </c>
      <c r="C17" s="13" t="n">
        <v>34234</v>
      </c>
      <c r="D17" s="13" t="n">
        <v>54684</v>
      </c>
      <c r="E17" s="6" t="n">
        <f>SUM(C17,D17)/2</f>
        <v>44459</v>
      </c>
      <c r="F17" s="12" t="n">
        <v>7528</v>
      </c>
      <c r="G17" s="12" t="n">
        <v>11890</v>
      </c>
      <c r="H17" s="6" t="n">
        <f>SUM(F17,G17)/2</f>
        <v>9709</v>
      </c>
    </row>
    <row r="18" s="18" customFormat="1" ht="14.399999999999999" customHeight="1">
      <c r="A18" s="10" t="s">
        <v>3365</v>
      </c>
      <c r="B18" s="10" t="s">
        <v>3366</v>
      </c>
      <c r="C18" s="13" t="n">
        <v>121458</v>
      </c>
      <c r="D18" s="13" t="n">
        <v>194020</v>
      </c>
      <c r="E18" s="6" t="n">
        <f>SUM(C18,D18)/2</f>
        <v>157739</v>
      </c>
      <c r="F18" s="12" t="n">
        <v>12163</v>
      </c>
      <c r="G18" s="12" t="n">
        <v>17597</v>
      </c>
      <c r="H18" s="6" t="n">
        <f>SUM(F18,G18)/2</f>
        <v>14880</v>
      </c>
    </row>
    <row r="19" s="18" customFormat="1" ht="14.399999999999999" customHeight="1">
      <c r="A19" s="10" t="s">
        <v>1286</v>
      </c>
      <c r="B19" s="10" t="s">
        <v>1287</v>
      </c>
      <c r="C19" s="10" t="n">
        <v>102</v>
      </c>
      <c r="D19" s="10" t="n">
        <v>164</v>
      </c>
      <c r="E19" s="6" t="n">
        <f>SUM(C19,D19)/2</f>
        <v>133</v>
      </c>
      <c r="F19" s="18" t="n">
        <v>69</v>
      </c>
      <c r="G19" s="18" t="n">
        <v>91</v>
      </c>
      <c r="H19" s="6" t="n">
        <f>SUM(F19,G19)/2</f>
        <v>80</v>
      </c>
    </row>
    <row r="20" s="18" customFormat="1" ht="14.399999999999999" customHeight="1">
      <c r="A20" s="10" t="s">
        <v>4027</v>
      </c>
      <c r="B20" s="10" t="s">
        <v>4028</v>
      </c>
      <c r="C20" s="13" t="n">
        <v>18775</v>
      </c>
      <c r="D20" s="13" t="n">
        <v>29989</v>
      </c>
      <c r="E20" s="6" t="n">
        <f>SUM(C20,D20)/2</f>
        <v>24382</v>
      </c>
      <c r="F20" s="12" t="n">
        <v>15204</v>
      </c>
      <c r="G20" s="12" t="n">
        <v>23308</v>
      </c>
      <c r="H20" s="6" t="n">
        <f>SUM(F20,G20)/2</f>
        <v>19256</v>
      </c>
    </row>
    <row r="21" s="18" customFormat="1" ht="14.399999999999999" customHeight="1">
      <c r="A21" s="10" t="s">
        <v>831</v>
      </c>
      <c r="B21" s="10" t="s">
        <v>832</v>
      </c>
      <c r="C21" s="13" t="n">
        <v>456588</v>
      </c>
      <c r="D21" s="13" t="n">
        <v>729352</v>
      </c>
      <c r="E21" s="6" t="n">
        <f>SUM(C21,D21)/2</f>
        <v>592970</v>
      </c>
      <c r="F21" s="12" t="n">
        <v>328187</v>
      </c>
      <c r="G21" s="12" t="n">
        <v>478102</v>
      </c>
      <c r="H21" s="6" t="n">
        <f>SUM(F21,G21)/2</f>
        <v>403144.5</v>
      </c>
    </row>
    <row r="22" s="18" customFormat="1" ht="14.399999999999999" customHeight="1">
      <c r="A22" s="10" t="s">
        <v>3747</v>
      </c>
      <c r="B22" s="10" t="s">
        <v>3748</v>
      </c>
      <c r="C22" s="13" t="n">
        <v>18437</v>
      </c>
      <c r="D22" s="13" t="n">
        <v>29451</v>
      </c>
      <c r="E22" s="6" t="n">
        <f>SUM(C22,D22)/2</f>
        <v>23944</v>
      </c>
      <c r="F22" s="12" t="n">
        <v>21950</v>
      </c>
      <c r="G22" s="12" t="n">
        <v>32269</v>
      </c>
      <c r="H22" s="6" t="n">
        <f>SUM(F22,G22)/2</f>
        <v>27109.5</v>
      </c>
    </row>
    <row r="23" s="18" customFormat="1" ht="14.399999999999999" customHeight="1">
      <c r="A23" s="10" t="s">
        <v>3437</v>
      </c>
      <c r="B23" s="10" t="s">
        <v>3438</v>
      </c>
      <c r="C23" s="13" t="n">
        <v>40287</v>
      </c>
      <c r="D23" s="13" t="n">
        <v>64355</v>
      </c>
      <c r="E23" s="6" t="n">
        <f>SUM(C23,D23)/2</f>
        <v>52321</v>
      </c>
      <c r="F23" s="12" t="n">
        <v>29645</v>
      </c>
      <c r="G23" s="12" t="n">
        <v>38172</v>
      </c>
      <c r="H23" s="6" t="n">
        <f>SUM(F23,G23)/2</f>
        <v>33908.5</v>
      </c>
    </row>
    <row r="24" s="18" customFormat="1" ht="14.399999999999999" customHeight="1">
      <c r="A24" s="10" t="s">
        <v>5055</v>
      </c>
      <c r="B24" s="10" t="s">
        <v>5056</v>
      </c>
      <c r="C24" s="13" t="n">
        <v>12671</v>
      </c>
      <c r="D24" s="13" t="n">
        <v>20241</v>
      </c>
      <c r="E24" s="6" t="n">
        <f>SUM(C24,D24)/2</f>
        <v>16456</v>
      </c>
      <c r="F24" s="12" t="n">
        <v>4740</v>
      </c>
      <c r="G24" s="12" t="n">
        <v>6089</v>
      </c>
      <c r="H24" s="6" t="n">
        <f>SUM(F24,G24)/2</f>
        <v>5414.5</v>
      </c>
    </row>
    <row r="25" s="18" customFormat="1" ht="14.399999999999999" customHeight="1">
      <c r="A25" s="10" t="s">
        <v>4331</v>
      </c>
      <c r="B25" s="10" t="s">
        <v>4332</v>
      </c>
      <c r="C25" s="13" t="n">
        <v>30022</v>
      </c>
      <c r="D25" s="13" t="n">
        <v>47954</v>
      </c>
      <c r="E25" s="6" t="n">
        <f>SUM(C25,D25)/2</f>
        <v>38988</v>
      </c>
      <c r="F25" s="12" t="n">
        <v>8067</v>
      </c>
      <c r="G25" s="12" t="n">
        <v>11286</v>
      </c>
      <c r="H25" s="6" t="n">
        <f>SUM(F25,G25)/2</f>
        <v>9676.5</v>
      </c>
    </row>
    <row r="26" s="18" customFormat="1" ht="14.399999999999999" customHeight="1">
      <c r="A26" s="10" t="s">
        <v>814</v>
      </c>
      <c r="B26" s="10" t="s">
        <v>815</v>
      </c>
      <c r="C26" s="13" t="n">
        <v>864833</v>
      </c>
      <c r="D26" s="13" t="n">
        <v>1381485</v>
      </c>
      <c r="E26" s="6" t="n">
        <f>SUM(C26,D26)/2</f>
        <v>1123159</v>
      </c>
      <c r="F26" s="12" t="n">
        <v>281391</v>
      </c>
      <c r="G26" s="12" t="n">
        <v>380424</v>
      </c>
      <c r="H26" s="6" t="n">
        <f>SUM(F26,G26)/2</f>
        <v>330907.5</v>
      </c>
    </row>
    <row r="27" s="18" customFormat="1" ht="14.399999999999999" customHeight="1">
      <c r="A27" s="10" t="s">
        <v>4149</v>
      </c>
      <c r="B27" s="10" t="s">
        <v>4150</v>
      </c>
      <c r="C27" s="13" t="n">
        <v>40833</v>
      </c>
      <c r="D27" s="13" t="n">
        <v>65227</v>
      </c>
      <c r="E27" s="6" t="n">
        <f>SUM(C27,D27)/2</f>
        <v>53030</v>
      </c>
      <c r="F27" s="12" t="n">
        <v>8249</v>
      </c>
      <c r="G27" s="12" t="n">
        <v>11438</v>
      </c>
      <c r="H27" s="6" t="n">
        <f>SUM(F27,G27)/2</f>
        <v>9843.5</v>
      </c>
    </row>
    <row r="28" s="18" customFormat="1" ht="14.399999999999999" customHeight="1">
      <c r="A28" s="10" t="s">
        <v>5534</v>
      </c>
      <c r="B28" s="10" t="s">
        <v>5535</v>
      </c>
      <c r="C28" s="13" t="n">
        <v>90327</v>
      </c>
      <c r="D28" s="13" t="n">
        <v>144289</v>
      </c>
      <c r="E28" s="6" t="n">
        <f>SUM(C28,D28)/2</f>
        <v>117308</v>
      </c>
      <c r="F28" s="12" t="n">
        <v>35134</v>
      </c>
      <c r="G28" s="12" t="n">
        <v>44667</v>
      </c>
      <c r="H28" s="6" t="n">
        <f>SUM(F28,G28)/2</f>
        <v>39900.5</v>
      </c>
    </row>
    <row r="29" s="18" customFormat="1" ht="14.399999999999999" customHeight="1">
      <c r="A29" s="10" t="s">
        <v>1103</v>
      </c>
      <c r="B29" s="10" t="s">
        <v>1104</v>
      </c>
      <c r="C29" s="13" t="n">
        <v>304444</v>
      </c>
      <c r="D29" s="13" t="n">
        <v>486318</v>
      </c>
      <c r="E29" s="6" t="n">
        <f>SUM(C29,D29)/2</f>
        <v>395381</v>
      </c>
      <c r="F29" s="12" t="n">
        <v>91353</v>
      </c>
      <c r="G29" s="12" t="n">
        <v>119393</v>
      </c>
      <c r="H29" s="6" t="n">
        <f>SUM(F29,G29)/2</f>
        <v>105373</v>
      </c>
    </row>
    <row r="30" s="18" customFormat="1" ht="14.399999999999999" customHeight="1">
      <c r="A30" s="10" t="s">
        <v>3455</v>
      </c>
      <c r="B30" s="10" t="s">
        <v>3456</v>
      </c>
      <c r="C30" s="13" t="n">
        <v>86083</v>
      </c>
      <c r="D30" s="13" t="n">
        <v>137507</v>
      </c>
      <c r="E30" s="6" t="n">
        <f>SUM(C30,D30)/2</f>
        <v>111795</v>
      </c>
      <c r="F30" s="12" t="n">
        <v>18258</v>
      </c>
      <c r="G30" s="12" t="n">
        <v>23162</v>
      </c>
      <c r="H30" s="6" t="n">
        <f>SUM(F30,G30)/2</f>
        <v>20710</v>
      </c>
    </row>
    <row r="31" s="18" customFormat="1" ht="14.399999999999999" customHeight="1">
      <c r="A31" s="10" t="s">
        <v>1071</v>
      </c>
      <c r="B31" s="10" t="s">
        <v>1072</v>
      </c>
      <c r="C31" s="13" t="n">
        <v>376815</v>
      </c>
      <c r="D31" s="13" t="n">
        <v>601925</v>
      </c>
      <c r="E31" s="6" t="n">
        <f>SUM(C31,D31)/2</f>
        <v>489370</v>
      </c>
      <c r="F31" s="12" t="n">
        <v>87736</v>
      </c>
      <c r="G31" s="12" t="n">
        <v>121560</v>
      </c>
      <c r="H31" s="6" t="n">
        <f>SUM(F31,G31)/2</f>
        <v>104648</v>
      </c>
    </row>
    <row r="32" s="18" customFormat="1" ht="14.399999999999999" customHeight="1">
      <c r="A32" s="10" t="s">
        <v>4519</v>
      </c>
      <c r="B32" s="10" t="s">
        <v>4520</v>
      </c>
      <c r="C32" s="13" t="n">
        <v>23879</v>
      </c>
      <c r="D32" s="13" t="n">
        <v>38145</v>
      </c>
      <c r="E32" s="6" t="n">
        <f>SUM(C32,D32)/2</f>
        <v>31012</v>
      </c>
      <c r="F32" s="12" t="n">
        <v>7308</v>
      </c>
      <c r="G32" s="12" t="n">
        <v>9661</v>
      </c>
      <c r="H32" s="6" t="n">
        <f>SUM(F32,G32)/2</f>
        <v>8484.5</v>
      </c>
    </row>
    <row r="33" s="18" customFormat="1" ht="14.399999999999999" customHeight="1">
      <c r="A33" s="10" t="s">
        <v>1984</v>
      </c>
      <c r="B33" s="10" t="s">
        <v>1985</v>
      </c>
      <c r="C33" s="13" t="n">
        <v>205983</v>
      </c>
      <c r="D33" s="13" t="n">
        <v>329039</v>
      </c>
      <c r="E33" s="6" t="n">
        <f>SUM(C33,D33)/2</f>
        <v>267511</v>
      </c>
      <c r="F33" s="12" t="n">
        <v>54715</v>
      </c>
      <c r="G33" s="12" t="n">
        <v>71822</v>
      </c>
      <c r="H33" s="6" t="n">
        <f>SUM(F33,G33)/2</f>
        <v>63268.5</v>
      </c>
    </row>
    <row r="34" s="18" customFormat="1" ht="14.399999999999999" customHeight="1">
      <c r="A34" s="10" t="s">
        <v>3171</v>
      </c>
      <c r="B34" s="10" t="s">
        <v>3172</v>
      </c>
      <c r="C34" s="13" t="n">
        <v>125967</v>
      </c>
      <c r="D34" s="13" t="n">
        <v>201221</v>
      </c>
      <c r="E34" s="6" t="n">
        <f>SUM(C34,D34)/2</f>
        <v>163594</v>
      </c>
      <c r="F34" s="12" t="n">
        <v>22931</v>
      </c>
      <c r="G34" s="12" t="n">
        <v>33533</v>
      </c>
      <c r="H34" s="6" t="n">
        <f>SUM(F34,G34)/2</f>
        <v>28232</v>
      </c>
    </row>
    <row r="35" s="18" customFormat="1" ht="14.399999999999999" customHeight="1">
      <c r="A35" s="10" t="s">
        <v>12</v>
      </c>
      <c r="B35" s="10" t="s">
        <v>13</v>
      </c>
      <c r="C35" s="13" t="n">
        <v>10588890</v>
      </c>
      <c r="D35" s="13" t="n">
        <v>16914722</v>
      </c>
      <c r="E35" s="6" t="n">
        <f>SUM(C35,D35)/2</f>
        <v>13751806</v>
      </c>
      <c r="F35" s="13" t="n">
        <v>3513687</v>
      </c>
      <c r="G35" s="12" t="n">
        <v>6908837</v>
      </c>
      <c r="H35" s="6" t="n">
        <f>SUM(F35,G35)/2</f>
        <v>5211262</v>
      </c>
    </row>
    <row r="36" s="18" customFormat="1" ht="14.399999999999999" customHeight="1">
      <c r="A36" s="10" t="s">
        <v>194</v>
      </c>
      <c r="B36" s="10" t="s">
        <v>195</v>
      </c>
      <c r="C36" s="13" t="n">
        <v>5378</v>
      </c>
      <c r="D36" s="13" t="n">
        <v>8590</v>
      </c>
      <c r="E36" s="6" t="n">
        <f>SUM(C36,D36)/2</f>
        <v>6984</v>
      </c>
      <c r="F36" s="18" t="n">
        <v>2309</v>
      </c>
      <c r="G36" s="18" t="n">
        <v>3005</v>
      </c>
      <c r="H36" s="6" t="n">
        <f>SUM(F36,G36)/2</f>
        <v>2657</v>
      </c>
    </row>
    <row r="37" s="18" customFormat="1" ht="14.399999999999999" customHeight="1">
      <c r="A37" s="10" t="s">
        <v>1196</v>
      </c>
      <c r="B37" s="10" t="s">
        <v>1197</v>
      </c>
      <c r="C37" s="13" t="n">
        <v>61520</v>
      </c>
      <c r="D37" s="13" t="n">
        <v>98276</v>
      </c>
      <c r="E37" s="6" t="n">
        <f>SUM(C37,D37)/2</f>
        <v>79898</v>
      </c>
      <c r="F37" s="12" t="n">
        <v>70598</v>
      </c>
      <c r="G37" s="12" t="n">
        <v>104927</v>
      </c>
      <c r="H37" s="6" t="n">
        <f>SUM(F37,G37)/2</f>
        <v>87762.5</v>
      </c>
    </row>
    <row r="38" s="18" customFormat="1" ht="14.399999999999999" customHeight="1">
      <c r="A38" s="10" t="s">
        <v>20</v>
      </c>
      <c r="B38" s="10" t="s">
        <v>21</v>
      </c>
      <c r="C38" s="13" t="n">
        <v>5766626</v>
      </c>
      <c r="D38" s="13" t="n">
        <v>9211624</v>
      </c>
      <c r="E38" s="6" t="n">
        <f>SUM(C38,D38)/2</f>
        <v>7489125</v>
      </c>
      <c r="F38" s="13" t="n">
        <v>2409236</v>
      </c>
      <c r="G38" s="12" t="n">
        <v>3371463</v>
      </c>
      <c r="H38" s="6" t="n">
        <f>SUM(F38,G38)/2</f>
        <v>2890349.5</v>
      </c>
    </row>
    <row r="39" s="18" customFormat="1" ht="14.399999999999999" customHeight="1">
      <c r="A39" s="10" t="s">
        <v>3223</v>
      </c>
      <c r="B39" s="10" t="s">
        <v>3224</v>
      </c>
      <c r="C39" s="13" t="n">
        <v>82485</v>
      </c>
      <c r="D39" s="13" t="n">
        <v>131760</v>
      </c>
      <c r="E39" s="6" t="n">
        <f>SUM(C39,D39)/2</f>
        <v>107122.5</v>
      </c>
      <c r="F39" s="12" t="n">
        <v>27667</v>
      </c>
      <c r="G39" s="12" t="n">
        <v>43023</v>
      </c>
      <c r="H39" s="6" t="n">
        <f>SUM(F39,G39)/2</f>
        <v>35345</v>
      </c>
    </row>
    <row r="40" s="18" customFormat="1" ht="14.399999999999999" customHeight="1">
      <c r="A40" s="10" t="s">
        <v>3495</v>
      </c>
      <c r="B40" s="10" t="s">
        <v>3496</v>
      </c>
      <c r="C40" s="13" t="n">
        <v>60951</v>
      </c>
      <c r="D40" s="13" t="n">
        <v>97365</v>
      </c>
      <c r="E40" s="6" t="n">
        <f>SUM(C40,D40)/2</f>
        <v>79158</v>
      </c>
      <c r="F40" s="12" t="n">
        <v>20416</v>
      </c>
      <c r="G40" s="12" t="n">
        <v>31312</v>
      </c>
      <c r="H40" s="6" t="n">
        <f>SUM(F40,G40)/2</f>
        <v>25864</v>
      </c>
    </row>
    <row r="41" s="18" customFormat="1" ht="14.399999999999999" customHeight="1">
      <c r="A41" s="10" t="s">
        <v>5536</v>
      </c>
      <c r="B41" s="10" t="s">
        <v>822</v>
      </c>
      <c r="C41" s="13" t="n">
        <v>314800</v>
      </c>
      <c r="D41" s="13" t="n">
        <v>502862</v>
      </c>
      <c r="E41" s="6" t="n">
        <f>SUM(C41,D41)/2</f>
        <v>408831</v>
      </c>
      <c r="F41" s="12" t="n">
        <v>381241</v>
      </c>
      <c r="G41" s="12" t="n">
        <v>524578</v>
      </c>
      <c r="H41" s="6" t="n">
        <f>SUM(F41,G41)/2</f>
        <v>452909.5</v>
      </c>
    </row>
    <row r="42" s="18" customFormat="1" ht="14.399999999999999" customHeight="1">
      <c r="A42" s="10" t="s">
        <v>5537</v>
      </c>
      <c r="B42" s="10" t="s">
        <v>5538</v>
      </c>
      <c r="C42" s="13" t="n">
        <v>7653</v>
      </c>
      <c r="D42" s="13" t="n">
        <v>12223</v>
      </c>
      <c r="E42" s="6" t="n">
        <f>SUM(C42,D42)/2</f>
        <v>9938</v>
      </c>
      <c r="F42" s="12" t="n">
        <v>4457</v>
      </c>
      <c r="G42" s="12" t="n">
        <v>6739</v>
      </c>
      <c r="H42" s="6" t="n">
        <f>SUM(F42,G42)/2</f>
        <v>5598</v>
      </c>
    </row>
    <row r="43" s="18" customFormat="1" ht="14.399999999999999" customHeight="1">
      <c r="A43" s="10" t="s">
        <v>1825</v>
      </c>
      <c r="B43" s="10" t="s">
        <v>1826</v>
      </c>
      <c r="C43" s="10" t="n">
        <v>29</v>
      </c>
      <c r="D43" s="10" t="n">
        <v>45</v>
      </c>
      <c r="E43" s="6" t="n">
        <f>SUM(C43,D43)/2</f>
        <v>37</v>
      </c>
      <c r="F43" s="18" t="n">
        <v>11</v>
      </c>
      <c r="G43" s="18" t="n">
        <v>15</v>
      </c>
      <c r="H43" s="6" t="n">
        <f>SUM(F43,G43)/2</f>
        <v>13</v>
      </c>
    </row>
    <row r="44" s="18" customFormat="1" ht="14.399999999999999" customHeight="1">
      <c r="A44" s="10" t="s">
        <v>5400</v>
      </c>
      <c r="B44" s="10" t="s">
        <v>5401</v>
      </c>
      <c r="C44" s="13" t="n">
        <v>52764</v>
      </c>
      <c r="D44" s="13" t="n">
        <v>84286</v>
      </c>
      <c r="E44" s="6" t="n">
        <f>SUM(C44,D44)/2</f>
        <v>68525</v>
      </c>
      <c r="F44" s="12" t="n">
        <v>101534</v>
      </c>
      <c r="G44" s="12" t="n">
        <v>138302</v>
      </c>
      <c r="H44" s="6" t="n">
        <f>SUM(F44,G44)/2</f>
        <v>119918</v>
      </c>
    </row>
    <row r="45" s="18" customFormat="1" ht="14.399999999999999" customHeight="1">
      <c r="A45" s="10" t="s">
        <v>3781</v>
      </c>
      <c r="B45" s="10" t="s">
        <v>3782</v>
      </c>
      <c r="C45" s="13" t="n">
        <v>78897</v>
      </c>
      <c r="D45" s="13" t="n">
        <v>126031</v>
      </c>
      <c r="E45" s="6" t="n">
        <f>SUM(C45,D45)/2</f>
        <v>102464</v>
      </c>
      <c r="F45" s="12" t="n">
        <v>6235</v>
      </c>
      <c r="G45" s="12" t="n">
        <v>11956</v>
      </c>
      <c r="H45" s="6" t="n">
        <f>SUM(F45,G45)/2</f>
        <v>9095.5</v>
      </c>
    </row>
    <row r="46" s="18" customFormat="1" ht="14.399999999999999" customHeight="1">
      <c r="A46" s="10" t="s">
        <v>4631</v>
      </c>
      <c r="B46" s="10" t="s">
        <v>4632</v>
      </c>
      <c r="C46" s="13" t="n">
        <v>19197</v>
      </c>
      <c r="D46" s="13" t="n">
        <v>30665</v>
      </c>
      <c r="E46" s="6" t="n">
        <f>SUM(C46,D46)/2</f>
        <v>24931</v>
      </c>
      <c r="F46" s="12" t="n">
        <v>6870</v>
      </c>
      <c r="G46" s="12" t="n">
        <v>10164</v>
      </c>
      <c r="H46" s="6" t="n">
        <f>SUM(F46,G46)/2</f>
        <v>8517</v>
      </c>
    </row>
    <row r="47" s="18" customFormat="1" ht="14.399999999999999" customHeight="1">
      <c r="A47" s="10" t="s">
        <v>1163</v>
      </c>
      <c r="B47" s="10" t="s">
        <v>1164</v>
      </c>
      <c r="C47" s="13" t="n">
        <v>216950</v>
      </c>
      <c r="D47" s="13" t="n">
        <v>346556</v>
      </c>
      <c r="E47" s="6" t="n">
        <f>SUM(C47,D47)/2</f>
        <v>281753</v>
      </c>
      <c r="F47" s="12" t="n">
        <v>57773</v>
      </c>
      <c r="G47" s="12" t="n">
        <v>80015</v>
      </c>
      <c r="H47" s="6" t="n">
        <f>SUM(F47,G47)/2</f>
        <v>68894</v>
      </c>
    </row>
    <row r="48" s="18" customFormat="1" ht="14.399999999999999" customHeight="1">
      <c r="A48" s="10" t="s">
        <v>762</v>
      </c>
      <c r="B48" s="10" t="s">
        <v>763</v>
      </c>
      <c r="C48" s="13" t="n">
        <v>1250261</v>
      </c>
      <c r="D48" s="13" t="n">
        <v>1997173</v>
      </c>
      <c r="E48" s="6" t="n">
        <f>SUM(C48,D48)/2</f>
        <v>1623717</v>
      </c>
      <c r="F48" s="12" t="n">
        <v>348911</v>
      </c>
      <c r="G48" s="12" t="n">
        <v>502961</v>
      </c>
      <c r="H48" s="6" t="n">
        <f>SUM(F48,G48)/2</f>
        <v>425936</v>
      </c>
    </row>
    <row r="49" s="18" customFormat="1" ht="14.399999999999999" customHeight="1">
      <c r="A49" s="10" t="s">
        <v>3325</v>
      </c>
      <c r="B49" s="10" t="s">
        <v>3326</v>
      </c>
      <c r="C49" s="13" t="n">
        <v>99795</v>
      </c>
      <c r="D49" s="13" t="n">
        <v>159415</v>
      </c>
      <c r="E49" s="6" t="n">
        <f>SUM(C49,D49)/2</f>
        <v>129605</v>
      </c>
      <c r="F49" s="12" t="n">
        <v>18813</v>
      </c>
      <c r="G49" s="12" t="n">
        <v>27707</v>
      </c>
      <c r="H49" s="6" t="n">
        <f>SUM(F49,G49)/2</f>
        <v>23260</v>
      </c>
    </row>
    <row r="50" s="18" customFormat="1" ht="14.399999999999999" customHeight="1">
      <c r="A50" s="10" t="s">
        <v>1445</v>
      </c>
      <c r="B50" s="10" t="s">
        <v>1446</v>
      </c>
      <c r="C50" s="10" t="n">
        <v>48</v>
      </c>
      <c r="D50" s="10" t="n">
        <v>74</v>
      </c>
      <c r="E50" s="6" t="n">
        <f>SUM(C50,D50)/2</f>
        <v>61</v>
      </c>
      <c r="F50" s="18" t="n">
        <v>3</v>
      </c>
      <c r="G50" s="18" t="n">
        <v>4</v>
      </c>
      <c r="H50" s="6" t="n">
        <f>SUM(F50,G50)/2</f>
        <v>3.5</v>
      </c>
    </row>
    <row r="51" s="18" customFormat="1" ht="14.399999999999999" customHeight="1">
      <c r="A51" s="10" t="s">
        <v>4789</v>
      </c>
      <c r="B51" s="10" t="s">
        <v>4790</v>
      </c>
      <c r="C51" s="13" t="n">
        <v>4665</v>
      </c>
      <c r="D51" s="13" t="n">
        <v>7451</v>
      </c>
      <c r="E51" s="6" t="n">
        <f>SUM(C51,D51)/2</f>
        <v>6058</v>
      </c>
      <c r="F51" s="12" t="n">
        <v>8865</v>
      </c>
      <c r="G51" s="12" t="n">
        <v>12277</v>
      </c>
      <c r="H51" s="6" t="n">
        <f>SUM(F51,G51)/2</f>
        <v>10571</v>
      </c>
    </row>
    <row r="52" s="18" customFormat="1" ht="14.399999999999999" customHeight="1">
      <c r="A52" s="10" t="s">
        <v>3145</v>
      </c>
      <c r="B52" s="10" t="s">
        <v>3146</v>
      </c>
      <c r="C52" s="13" t="n">
        <v>119951</v>
      </c>
      <c r="D52" s="13" t="n">
        <v>191611</v>
      </c>
      <c r="E52" s="6" t="n">
        <f>SUM(C52,D52)/2</f>
        <v>155781</v>
      </c>
      <c r="F52" s="12" t="n">
        <v>45085</v>
      </c>
      <c r="G52" s="12" t="n">
        <v>60278</v>
      </c>
      <c r="H52" s="6" t="n">
        <f>SUM(F52,G52)/2</f>
        <v>52681.5</v>
      </c>
    </row>
    <row r="53" s="18" customFormat="1" ht="14.399999999999999" customHeight="1">
      <c r="A53" s="10" t="s">
        <v>3593</v>
      </c>
      <c r="B53" s="10" t="s">
        <v>3594</v>
      </c>
      <c r="C53" s="13" t="n">
        <v>12463</v>
      </c>
      <c r="D53" s="13" t="n">
        <v>19909</v>
      </c>
      <c r="E53" s="6" t="n">
        <f>SUM(C53,D53)/2</f>
        <v>16186</v>
      </c>
      <c r="F53" s="12" t="n">
        <v>28777</v>
      </c>
      <c r="G53" s="12" t="n">
        <v>40707</v>
      </c>
      <c r="H53" s="6" t="n">
        <f>SUM(F53,G53)/2</f>
        <v>34742</v>
      </c>
    </row>
    <row r="54" s="18" customFormat="1" ht="14.399999999999999" customHeight="1">
      <c r="A54" s="10" t="s">
        <v>3439</v>
      </c>
      <c r="B54" s="10" t="s">
        <v>3440</v>
      </c>
      <c r="C54" s="13" t="n">
        <v>85627</v>
      </c>
      <c r="D54" s="13" t="n">
        <v>136781</v>
      </c>
      <c r="E54" s="6" t="n">
        <f>SUM(C54,D54)/2</f>
        <v>111204</v>
      </c>
      <c r="F54" s="12" t="n">
        <v>19062</v>
      </c>
      <c r="G54" s="12" t="n">
        <v>23315</v>
      </c>
      <c r="H54" s="6" t="n">
        <f>SUM(F54,G54)/2</f>
        <v>21188.5</v>
      </c>
    </row>
    <row r="55" s="18" customFormat="1" ht="14.399999999999999" customHeight="1">
      <c r="A55" s="10" t="s">
        <v>3091</v>
      </c>
      <c r="B55" s="10" t="s">
        <v>3092</v>
      </c>
      <c r="C55" s="13" t="n">
        <v>355183</v>
      </c>
      <c r="D55" s="13" t="n">
        <v>567371</v>
      </c>
      <c r="E55" s="6" t="n">
        <f>SUM(C55,D55)/2</f>
        <v>461277</v>
      </c>
      <c r="F55" s="12" t="n">
        <v>14337</v>
      </c>
      <c r="G55" s="12" t="n">
        <v>58072</v>
      </c>
      <c r="H55" s="6" t="n">
        <f>SUM(F55,G55)/2</f>
        <v>36204.5</v>
      </c>
    </row>
    <row r="56" s="18" customFormat="1" ht="14.399999999999999" customHeight="1">
      <c r="A56" s="10" t="s">
        <v>3913</v>
      </c>
      <c r="B56" s="10" t="s">
        <v>3914</v>
      </c>
      <c r="C56" s="13" t="n">
        <v>55724</v>
      </c>
      <c r="D56" s="13" t="n">
        <v>89014</v>
      </c>
      <c r="E56" s="6" t="n">
        <f>SUM(C56,D56)/2</f>
        <v>72369</v>
      </c>
      <c r="F56" s="12" t="n">
        <v>8826</v>
      </c>
      <c r="G56" s="12" t="n">
        <v>13592</v>
      </c>
      <c r="H56" s="6" t="n">
        <f>SUM(F56,G56)/2</f>
        <v>11209</v>
      </c>
    </row>
    <row r="57" s="18" customFormat="1" ht="14.399999999999999" customHeight="1">
      <c r="A57" s="10" t="s">
        <v>3835</v>
      </c>
      <c r="B57" s="10" t="s">
        <v>3836</v>
      </c>
      <c r="C57" s="13" t="n">
        <v>47086</v>
      </c>
      <c r="D57" s="13" t="n">
        <v>75216</v>
      </c>
      <c r="E57" s="6" t="n">
        <f>SUM(C57,D57)/2</f>
        <v>61151</v>
      </c>
      <c r="F57" s="12" t="n">
        <v>13451</v>
      </c>
      <c r="G57" s="12" t="n">
        <v>18348</v>
      </c>
      <c r="H57" s="6" t="n">
        <f>SUM(F57,G57)/2</f>
        <v>15899.5</v>
      </c>
    </row>
    <row r="58" s="18" customFormat="1" ht="14.399999999999999" customHeight="1">
      <c r="A58" s="10" t="s">
        <v>4113</v>
      </c>
      <c r="B58" s="10" t="s">
        <v>4114</v>
      </c>
      <c r="C58" s="13" t="n">
        <v>22964</v>
      </c>
      <c r="D58" s="13" t="n">
        <v>36680</v>
      </c>
      <c r="E58" s="6" t="n">
        <f>SUM(C58,D58)/2</f>
        <v>29822</v>
      </c>
      <c r="F58" s="12" t="n">
        <v>12997</v>
      </c>
      <c r="G58" s="12" t="n">
        <v>18205</v>
      </c>
      <c r="H58" s="6" t="n">
        <f>SUM(F58,G58)/2</f>
        <v>15601</v>
      </c>
    </row>
    <row r="59" s="18" customFormat="1" ht="14.399999999999999" customHeight="1">
      <c r="A59" s="10" t="s">
        <v>5539</v>
      </c>
      <c r="B59" s="10" t="s">
        <v>5540</v>
      </c>
      <c r="C59" s="13" t="n">
        <v>25562</v>
      </c>
      <c r="D59" s="13" t="n">
        <v>40832</v>
      </c>
      <c r="E59" s="6" t="n">
        <f>SUM(C59,D59)/2</f>
        <v>33197</v>
      </c>
      <c r="F59" s="12" t="n">
        <v>6327</v>
      </c>
      <c r="G59" s="12" t="n">
        <v>8476</v>
      </c>
      <c r="H59" s="6" t="n">
        <f>SUM(F59,G59)/2</f>
        <v>7401.5</v>
      </c>
    </row>
    <row r="60" s="18" customFormat="1" ht="14.399999999999999" customHeight="1">
      <c r="A60" s="10" t="s">
        <v>5541</v>
      </c>
      <c r="B60" s="10" t="s">
        <v>5542</v>
      </c>
      <c r="C60" s="13" t="n">
        <v>66533</v>
      </c>
      <c r="D60" s="13" t="n">
        <v>106281</v>
      </c>
      <c r="E60" s="6" t="n">
        <f>SUM(C60,D60)/2</f>
        <v>86407</v>
      </c>
      <c r="F60" s="12" t="n">
        <v>27529</v>
      </c>
      <c r="G60" s="12" t="n">
        <v>38895</v>
      </c>
      <c r="H60" s="6" t="n">
        <f>SUM(F60,G60)/2</f>
        <v>33212</v>
      </c>
    </row>
    <row r="61" s="18" customFormat="1" ht="14.399999999999999" customHeight="1">
      <c r="A61" s="10" t="s">
        <v>3551</v>
      </c>
      <c r="B61" s="10" t="s">
        <v>3552</v>
      </c>
      <c r="C61" s="13" t="n">
        <v>66778</v>
      </c>
      <c r="D61" s="13" t="n">
        <v>106672</v>
      </c>
      <c r="E61" s="6" t="n">
        <f>SUM(C61,D61)/2</f>
        <v>86725</v>
      </c>
      <c r="F61" s="12" t="n">
        <v>18816</v>
      </c>
      <c r="G61" s="12" t="n">
        <v>25640</v>
      </c>
      <c r="H61" s="6" t="n">
        <f>SUM(F61,G61)/2</f>
        <v>22228</v>
      </c>
    </row>
    <row r="62" s="18" customFormat="1" ht="14.399999999999999" customHeight="1">
      <c r="A62" s="10" t="s">
        <v>60</v>
      </c>
      <c r="B62" s="10" t="s">
        <v>61</v>
      </c>
      <c r="C62" s="13" t="n">
        <v>3922793</v>
      </c>
      <c r="D62" s="13" t="n">
        <v>6266281</v>
      </c>
      <c r="E62" s="6" t="n">
        <f>SUM(C62,D62)/2</f>
        <v>5094537</v>
      </c>
      <c r="F62" s="12" t="n">
        <v>238599</v>
      </c>
      <c r="G62" s="12" t="n">
        <v>850374</v>
      </c>
      <c r="H62" s="6" t="n">
        <f>SUM(F62,G62)/2</f>
        <v>544486.5</v>
      </c>
    </row>
    <row r="63" s="18" customFormat="1" ht="14.399999999999999" customHeight="1">
      <c r="A63" s="10" t="s">
        <v>3737</v>
      </c>
      <c r="B63" s="10" t="s">
        <v>3738</v>
      </c>
      <c r="C63" s="13" t="n">
        <v>32106</v>
      </c>
      <c r="D63" s="13" t="n">
        <v>51284</v>
      </c>
      <c r="E63" s="6" t="n">
        <f>SUM(C63,D63)/2</f>
        <v>41695</v>
      </c>
      <c r="F63" s="12" t="n">
        <v>19275</v>
      </c>
      <c r="G63" s="12" t="n">
        <v>27839</v>
      </c>
      <c r="H63" s="6" t="n">
        <f>SUM(F63,G63)/2</f>
        <v>23557</v>
      </c>
    </row>
    <row r="64" s="18" customFormat="1" ht="14.399999999999999" customHeight="1">
      <c r="A64" s="10" t="s">
        <v>5543</v>
      </c>
      <c r="B64" s="10" t="s">
        <v>5544</v>
      </c>
      <c r="C64" s="13" t="n">
        <v>137008</v>
      </c>
      <c r="D64" s="13" t="n">
        <v>218856</v>
      </c>
      <c r="E64" s="6" t="n">
        <f>SUM(C64,D64)/2</f>
        <v>177932</v>
      </c>
      <c r="F64" s="12" t="n">
        <v>32181</v>
      </c>
      <c r="G64" s="12" t="n">
        <v>39533</v>
      </c>
      <c r="H64" s="6" t="n">
        <f>SUM(F64,G64)/2</f>
        <v>35857</v>
      </c>
    </row>
    <row r="65" s="18" customFormat="1" ht="14.399999999999999" customHeight="1">
      <c r="A65" s="10" t="s">
        <v>4747</v>
      </c>
      <c r="B65" s="10" t="s">
        <v>4748</v>
      </c>
      <c r="C65" s="13" t="n">
        <v>21952</v>
      </c>
      <c r="D65" s="13" t="n">
        <v>35066</v>
      </c>
      <c r="E65" s="6" t="n">
        <f>SUM(C65,D65)/2</f>
        <v>28509</v>
      </c>
      <c r="F65" s="12" t="n">
        <v>5412</v>
      </c>
      <c r="G65" s="12" t="n">
        <v>7150</v>
      </c>
      <c r="H65" s="6" t="n">
        <f>SUM(F65,G65)/2</f>
        <v>6281</v>
      </c>
    </row>
    <row r="66" s="18" customFormat="1" ht="14.399999999999999" customHeight="1">
      <c r="A66" s="10" t="s">
        <v>5322</v>
      </c>
      <c r="B66" s="10" t="s">
        <v>5323</v>
      </c>
      <c r="C66" s="13" t="n">
        <v>418793</v>
      </c>
      <c r="D66" s="13" t="n">
        <v>668983</v>
      </c>
      <c r="E66" s="6" t="n">
        <f>SUM(C66,D66)/2</f>
        <v>543888</v>
      </c>
      <c r="F66" s="12" t="n">
        <v>51898</v>
      </c>
      <c r="G66" s="12" t="n">
        <v>106075</v>
      </c>
      <c r="H66" s="6" t="n">
        <f>SUM(F66,G66)/2</f>
        <v>78986.5</v>
      </c>
    </row>
    <row r="67" s="18" customFormat="1" ht="14.399999999999999" customHeight="1">
      <c r="A67" s="10" t="s">
        <v>5545</v>
      </c>
      <c r="B67" s="10" t="s">
        <v>5546</v>
      </c>
      <c r="C67" s="13" t="n">
        <v>13601</v>
      </c>
      <c r="D67" s="13" t="n">
        <v>21727</v>
      </c>
      <c r="E67" s="6" t="n">
        <f>SUM(C67,D67)/2</f>
        <v>17664</v>
      </c>
      <c r="F67" s="12" t="n">
        <v>7588</v>
      </c>
      <c r="G67" s="12" t="n">
        <v>10695</v>
      </c>
      <c r="H67" s="6" t="n">
        <f>SUM(F67,G67)/2</f>
        <v>9141.5</v>
      </c>
    </row>
    <row r="68" s="18" customFormat="1" ht="14.399999999999999" customHeight="1">
      <c r="A68" s="10" t="s">
        <v>5547</v>
      </c>
      <c r="B68" s="10" t="s">
        <v>5548</v>
      </c>
      <c r="C68" s="10" t="n">
        <v>147</v>
      </c>
      <c r="D68" s="10" t="n">
        <v>233</v>
      </c>
      <c r="E68" s="6" t="n">
        <f>SUM(C68,D68)/2</f>
        <v>190</v>
      </c>
      <c r="F68" s="18" t="n">
        <v>23</v>
      </c>
      <c r="G68" s="18" t="n">
        <v>27</v>
      </c>
      <c r="H68" s="6" t="n">
        <f>SUM(F68,G68)/2</f>
        <v>25</v>
      </c>
    </row>
    <row r="69" s="18" customFormat="1" ht="14.399999999999999" customHeight="1">
      <c r="A69" s="10" t="s">
        <v>5430</v>
      </c>
      <c r="B69" s="10" t="s">
        <v>5431</v>
      </c>
      <c r="C69" s="10" t="n">
        <v>559</v>
      </c>
      <c r="D69" s="10" t="n">
        <v>893</v>
      </c>
      <c r="E69" s="6" t="n">
        <f>SUM(C69,D69)/2</f>
        <v>726</v>
      </c>
      <c r="F69" s="18" t="n">
        <v>77</v>
      </c>
      <c r="G69" s="18" t="n">
        <v>89</v>
      </c>
      <c r="H69" s="6" t="n">
        <f>SUM(F69,G69)/2</f>
        <v>83</v>
      </c>
    </row>
    <row r="70" s="18" customFormat="1" ht="14.399999999999999" customHeight="1">
      <c r="A70" s="10" t="s">
        <v>3963</v>
      </c>
      <c r="B70" s="10" t="s">
        <v>3964</v>
      </c>
      <c r="C70" s="13" t="n">
        <v>68897</v>
      </c>
      <c r="D70" s="13" t="n">
        <v>110057</v>
      </c>
      <c r="E70" s="6" t="n">
        <f>SUM(C70,D70)/2</f>
        <v>89477</v>
      </c>
      <c r="F70" s="12" t="n">
        <v>5026</v>
      </c>
      <c r="G70" s="12" t="n">
        <v>7989</v>
      </c>
      <c r="H70" s="6" t="n">
        <f>SUM(F70,G70)/2</f>
        <v>6507.5</v>
      </c>
    </row>
    <row r="71" s="18" customFormat="1" ht="14.399999999999999" customHeight="1">
      <c r="A71" s="10" t="s">
        <v>5549</v>
      </c>
      <c r="B71" s="10" t="s">
        <v>5550</v>
      </c>
      <c r="C71" s="13" t="n">
        <v>6565</v>
      </c>
      <c r="D71" s="13" t="n">
        <v>10489</v>
      </c>
      <c r="E71" s="6" t="n">
        <f>SUM(C71,D71)/2</f>
        <v>8527</v>
      </c>
      <c r="F71" s="12" t="n">
        <v>8898</v>
      </c>
      <c r="G71" s="12" t="n">
        <v>12184</v>
      </c>
      <c r="H71" s="6" t="n">
        <f>SUM(F71,G71)/2</f>
        <v>10541</v>
      </c>
    </row>
    <row r="72" s="18" customFormat="1" ht="14.399999999999999" customHeight="1">
      <c r="A72" s="10" t="s">
        <v>3797</v>
      </c>
      <c r="B72" s="10" t="s">
        <v>3798</v>
      </c>
      <c r="C72" s="13" t="n">
        <v>50414</v>
      </c>
      <c r="D72" s="13" t="n">
        <v>80534</v>
      </c>
      <c r="E72" s="6" t="n">
        <f>SUM(C72,D72)/2</f>
        <v>65474</v>
      </c>
      <c r="F72" s="12" t="n">
        <v>13923</v>
      </c>
      <c r="G72" s="12" t="n">
        <v>18467</v>
      </c>
      <c r="H72" s="6" t="n">
        <f>SUM(F72,G72)/2</f>
        <v>16195</v>
      </c>
    </row>
    <row r="73" s="18" customFormat="1" ht="14.399999999999999" customHeight="1">
      <c r="A73" s="10" t="s">
        <v>2482</v>
      </c>
      <c r="B73" s="10" t="s">
        <v>2483</v>
      </c>
      <c r="C73" s="10" t="n">
        <v>3</v>
      </c>
      <c r="D73" s="10" t="n">
        <v>5</v>
      </c>
      <c r="E73" s="6" t="n">
        <f>SUM(C73,D73)/2</f>
        <v>4</v>
      </c>
      <c r="F73" s="18" t="n">
        <v>2</v>
      </c>
      <c r="G73" s="18" t="n">
        <v>3</v>
      </c>
      <c r="H73" s="6" t="n">
        <f>SUM(F73,G73)/2</f>
        <v>2.5</v>
      </c>
    </row>
    <row r="74" s="18" customFormat="1" ht="14.399999999999999" customHeight="1">
      <c r="A74" s="10" t="s">
        <v>734</v>
      </c>
      <c r="B74" s="10" t="s">
        <v>735</v>
      </c>
      <c r="C74" s="13" t="n">
        <v>3190060</v>
      </c>
      <c r="D74" s="13" t="n">
        <v>5095812</v>
      </c>
      <c r="E74" s="6" t="n">
        <f>SUM(C74,D74)/2</f>
        <v>4142936</v>
      </c>
      <c r="F74" s="12" t="n">
        <v>158977</v>
      </c>
      <c r="G74" s="12" t="n">
        <v>224514</v>
      </c>
      <c r="H74" s="6" t="n">
        <f>SUM(F74,G74)/2</f>
        <v>191745.5</v>
      </c>
    </row>
    <row r="75" s="18" customFormat="1" ht="14.399999999999999" customHeight="1">
      <c r="A75" s="10" t="s">
        <v>1615</v>
      </c>
      <c r="B75" s="10" t="s">
        <v>1616</v>
      </c>
      <c r="C75" s="13" t="n">
        <v>122440</v>
      </c>
      <c r="D75" s="13" t="n">
        <v>195588</v>
      </c>
      <c r="E75" s="6" t="n">
        <f>SUM(C75,D75)/2</f>
        <v>159014</v>
      </c>
      <c r="F75" s="12" t="n">
        <v>69046</v>
      </c>
      <c r="G75" s="12" t="n">
        <v>94558</v>
      </c>
      <c r="H75" s="6" t="n">
        <f>SUM(F75,G75)/2</f>
        <v>81802</v>
      </c>
    </row>
    <row r="76" s="18" customFormat="1" ht="14.399999999999999" customHeight="1">
      <c r="A76" s="10" t="s">
        <v>5551</v>
      </c>
      <c r="B76" s="10" t="s">
        <v>5552</v>
      </c>
      <c r="C76" s="10" t="n">
        <v>401</v>
      </c>
      <c r="D76" s="10" t="n">
        <v>643</v>
      </c>
      <c r="E76" s="6" t="n">
        <f>SUM(C76,D76)/2</f>
        <v>522</v>
      </c>
      <c r="F76" s="18" t="n">
        <v>31</v>
      </c>
      <c r="G76" s="18" t="n">
        <v>73</v>
      </c>
      <c r="H76" s="6" t="n">
        <f>SUM(F76,G76)/2</f>
        <v>52</v>
      </c>
    </row>
    <row r="77" s="18" customFormat="1" ht="14.399999999999999" customHeight="1">
      <c r="A77" s="10" t="s">
        <v>3309</v>
      </c>
      <c r="B77" s="10" t="s">
        <v>3310</v>
      </c>
      <c r="C77" s="13" t="n">
        <v>75106</v>
      </c>
      <c r="D77" s="13" t="n">
        <v>119972</v>
      </c>
      <c r="E77" s="6" t="n">
        <f>SUM(C77,D77)/2</f>
        <v>97539</v>
      </c>
      <c r="F77" s="12" t="n">
        <v>25535</v>
      </c>
      <c r="G77" s="12" t="n">
        <v>37586</v>
      </c>
      <c r="H77" s="6" t="n">
        <f>SUM(F77,G77)/2</f>
        <v>31560.5</v>
      </c>
    </row>
    <row r="78" s="18" customFormat="1" ht="14.399999999999999" customHeight="1">
      <c r="A78" s="10" t="s">
        <v>716</v>
      </c>
      <c r="B78" s="10" t="s">
        <v>717</v>
      </c>
      <c r="C78" s="13" t="n">
        <v>4193384</v>
      </c>
      <c r="D78" s="13" t="n">
        <v>6698519</v>
      </c>
      <c r="E78" s="6" t="n">
        <f>SUM(C78,D78)/2</f>
        <v>5445951.5</v>
      </c>
      <c r="F78" s="12" t="n">
        <v>38809</v>
      </c>
      <c r="G78" s="12" t="n">
        <v>56362</v>
      </c>
      <c r="H78" s="6" t="n">
        <f>SUM(F78,G78)/2</f>
        <v>47585.5</v>
      </c>
    </row>
    <row r="79" s="18" customFormat="1" ht="14.399999999999999" customHeight="1">
      <c r="A79" s="10" t="s">
        <v>1727</v>
      </c>
      <c r="B79" s="10" t="s">
        <v>1728</v>
      </c>
      <c r="C79" s="10" t="n">
        <v>103</v>
      </c>
      <c r="D79" s="10" t="n">
        <v>165</v>
      </c>
      <c r="E79" s="6" t="n">
        <f>SUM(C79,D79)/2</f>
        <v>134</v>
      </c>
      <c r="F79" s="18" t="n">
        <v>1</v>
      </c>
      <c r="G79" s="18" t="n">
        <v>1</v>
      </c>
      <c r="H79" s="6" t="n">
        <f>SUM(F79,G79)/2</f>
        <v>1</v>
      </c>
    </row>
    <row r="80" s="18" customFormat="1" ht="14.399999999999999" customHeight="1">
      <c r="A80" s="10" t="s">
        <v>3967</v>
      </c>
      <c r="B80" s="10" t="s">
        <v>3968</v>
      </c>
      <c r="C80" s="13" t="n">
        <v>9063</v>
      </c>
      <c r="D80" s="13" t="n">
        <v>14475</v>
      </c>
      <c r="E80" s="6" t="n">
        <f>SUM(C80,D80)/2</f>
        <v>11769</v>
      </c>
      <c r="F80" s="12" t="n">
        <v>19289</v>
      </c>
      <c r="G80" s="12" t="n">
        <v>26761</v>
      </c>
      <c r="H80" s="6" t="n">
        <f>SUM(F80,G80)/2</f>
        <v>23025</v>
      </c>
    </row>
    <row r="81" s="18" customFormat="1" ht="14.399999999999999" customHeight="1">
      <c r="A81" s="10" t="s">
        <v>3169</v>
      </c>
      <c r="B81" s="10" t="s">
        <v>3170</v>
      </c>
      <c r="C81" s="13" t="n">
        <v>88490</v>
      </c>
      <c r="D81" s="13" t="n">
        <v>141354</v>
      </c>
      <c r="E81" s="6" t="n">
        <f>SUM(C81,D81)/2</f>
        <v>114922</v>
      </c>
      <c r="F81" s="12" t="n">
        <v>32358</v>
      </c>
      <c r="G81" s="12" t="n">
        <v>45024</v>
      </c>
      <c r="H81" s="6" t="n">
        <f>SUM(F81,G81)/2</f>
        <v>38691</v>
      </c>
    </row>
    <row r="82" s="18" customFormat="1" ht="14.399999999999999" customHeight="1">
      <c r="A82" s="10" t="s">
        <v>1235</v>
      </c>
      <c r="B82" s="10" t="s">
        <v>1236</v>
      </c>
      <c r="C82" s="13" t="n">
        <v>120751</v>
      </c>
      <c r="D82" s="13" t="n">
        <v>192891</v>
      </c>
      <c r="E82" s="6" t="n">
        <f>SUM(C82,D82)/2</f>
        <v>156821</v>
      </c>
      <c r="F82" s="12" t="n">
        <v>40980</v>
      </c>
      <c r="G82" s="12" t="n">
        <v>64850</v>
      </c>
      <c r="H82" s="6" t="n">
        <f>SUM(F82,G82)/2</f>
        <v>52915</v>
      </c>
    </row>
    <row r="83" s="18" customFormat="1" ht="14.399999999999999" customHeight="1">
      <c r="A83" s="10" t="s">
        <v>700</v>
      </c>
      <c r="B83" s="10" t="s">
        <v>701</v>
      </c>
      <c r="C83" s="13" t="n">
        <v>2628230</v>
      </c>
      <c r="D83" s="13" t="n">
        <v>4198342</v>
      </c>
      <c r="E83" s="6" t="n">
        <f>SUM(C83,D83)/2</f>
        <v>3413286</v>
      </c>
      <c r="F83" s="12" t="n">
        <v>700682</v>
      </c>
      <c r="G83" s="12" t="n">
        <v>926319</v>
      </c>
      <c r="H83" s="6" t="n">
        <f>SUM(F83,G83)/2</f>
        <v>813500.5</v>
      </c>
    </row>
    <row r="84" s="18" customFormat="1" ht="14.399999999999999" customHeight="1">
      <c r="A84" s="10" t="s">
        <v>3061</v>
      </c>
      <c r="B84" s="10" t="s">
        <v>3062</v>
      </c>
      <c r="C84" s="13" t="n">
        <v>41685</v>
      </c>
      <c r="D84" s="13" t="n">
        <v>66589</v>
      </c>
      <c r="E84" s="6" t="n">
        <f>SUM(C84,D84)/2</f>
        <v>54137</v>
      </c>
      <c r="F84" s="12" t="n">
        <v>54290</v>
      </c>
      <c r="G84" s="12" t="n">
        <v>62763</v>
      </c>
      <c r="H84" s="6" t="n">
        <f>SUM(F84,G84)/2</f>
        <v>58526.5</v>
      </c>
    </row>
    <row r="85" s="18" customFormat="1" ht="14.399999999999999" customHeight="1">
      <c r="A85" s="10" t="s">
        <v>3671</v>
      </c>
      <c r="B85" s="10" t="s">
        <v>3672</v>
      </c>
      <c r="C85" s="13" t="n">
        <v>55526</v>
      </c>
      <c r="D85" s="13" t="n">
        <v>88694</v>
      </c>
      <c r="E85" s="6" t="n">
        <f>SUM(C85,D85)/2</f>
        <v>72110</v>
      </c>
      <c r="F85" s="12" t="n">
        <v>16443</v>
      </c>
      <c r="G85" s="12" t="n">
        <v>23635</v>
      </c>
      <c r="H85" s="6" t="n">
        <f>SUM(F85,G85)/2</f>
        <v>20039</v>
      </c>
    </row>
    <row r="86" s="18" customFormat="1" ht="14.399999999999999" customHeight="1">
      <c r="A86" s="10" t="s">
        <v>5553</v>
      </c>
      <c r="B86" s="10" t="s">
        <v>5554</v>
      </c>
      <c r="C86" s="10" t="n">
        <v>276</v>
      </c>
      <c r="D86" s="10" t="n">
        <v>442</v>
      </c>
      <c r="E86" s="6" t="n">
        <f>SUM(C86,D86)/2</f>
        <v>359</v>
      </c>
      <c r="F86" s="18" t="n">
        <v>8</v>
      </c>
      <c r="G86" s="18" t="n">
        <v>11</v>
      </c>
      <c r="H86" s="6" t="n">
        <f>SUM(F86,G86)/2</f>
        <v>9.5</v>
      </c>
    </row>
    <row r="87" s="18" customFormat="1" ht="14.399999999999999" customHeight="1">
      <c r="A87" s="10" t="s">
        <v>1067</v>
      </c>
      <c r="B87" s="10" t="s">
        <v>1068</v>
      </c>
      <c r="C87" s="13" t="n">
        <v>270859</v>
      </c>
      <c r="D87" s="13" t="n">
        <v>432669</v>
      </c>
      <c r="E87" s="6" t="n">
        <f>SUM(C87,D87)/2</f>
        <v>351764</v>
      </c>
      <c r="F87" s="12" t="n">
        <v>111413</v>
      </c>
      <c r="G87" s="12" t="n">
        <v>179777</v>
      </c>
      <c r="H87" s="6" t="n">
        <f>SUM(F87,G87)/2</f>
        <v>145595</v>
      </c>
    </row>
    <row r="88" s="18" customFormat="1" ht="14.399999999999999" customHeight="1">
      <c r="A88" s="10" t="s">
        <v>5555</v>
      </c>
      <c r="B88" s="10" t="s">
        <v>5556</v>
      </c>
      <c r="C88" s="13" t="n">
        <v>120836</v>
      </c>
      <c r="D88" s="13" t="n">
        <v>193022</v>
      </c>
      <c r="E88" s="6" t="n">
        <f>SUM(C88,D88)/2</f>
        <v>156929</v>
      </c>
      <c r="F88" s="12" t="n">
        <v>17559</v>
      </c>
      <c r="G88" s="12" t="n">
        <v>47713</v>
      </c>
      <c r="H88" s="6" t="n">
        <f>SUM(F88,G88)/2</f>
        <v>32636</v>
      </c>
    </row>
    <row r="89" s="18" customFormat="1" ht="14.399999999999999" customHeight="1">
      <c r="A89" s="10" t="s">
        <v>4857</v>
      </c>
      <c r="B89" s="10" t="s">
        <v>4858</v>
      </c>
      <c r="C89" s="13" t="n">
        <v>1841</v>
      </c>
      <c r="D89" s="13" t="n">
        <v>2941</v>
      </c>
      <c r="E89" s="6" t="n">
        <f>SUM(C89,D89)/2</f>
        <v>2391</v>
      </c>
      <c r="F89" s="12" t="n">
        <v>9220</v>
      </c>
      <c r="G89" s="12" t="n">
        <v>12250</v>
      </c>
      <c r="H89" s="6" t="n">
        <f>SUM(F89,G89)/2</f>
        <v>10735</v>
      </c>
    </row>
    <row r="90" s="18" customFormat="1" ht="14.399999999999999" customHeight="1">
      <c r="A90" s="10" t="s">
        <v>566</v>
      </c>
      <c r="B90" s="10" t="s">
        <v>567</v>
      </c>
      <c r="C90" s="10" t="n">
        <v>715</v>
      </c>
      <c r="D90" s="13" t="n">
        <v>1139</v>
      </c>
      <c r="E90" s="6" t="n">
        <f>SUM(C90,D90)/2</f>
        <v>927</v>
      </c>
      <c r="F90" s="18" t="n">
        <v>129</v>
      </c>
      <c r="G90" s="18" t="n">
        <v>174</v>
      </c>
      <c r="H90" s="6" t="n">
        <f>SUM(F90,G90)/2</f>
        <v>151.5</v>
      </c>
    </row>
    <row r="91" s="18" customFormat="1" ht="14.399999999999999" customHeight="1">
      <c r="A91" s="10" t="s">
        <v>5557</v>
      </c>
      <c r="B91" s="10" t="s">
        <v>5558</v>
      </c>
      <c r="C91" s="13" t="n">
        <v>8385</v>
      </c>
      <c r="D91" s="13" t="n">
        <v>13395</v>
      </c>
      <c r="E91" s="6" t="n">
        <f>SUM(C91,D91)/2</f>
        <v>10890</v>
      </c>
      <c r="F91" s="12" t="n">
        <v>7781</v>
      </c>
      <c r="G91" s="12" t="n">
        <v>13172</v>
      </c>
      <c r="H91" s="6" t="n">
        <f>SUM(F91,G91)/2</f>
        <v>10476.5</v>
      </c>
    </row>
    <row r="92" s="18" customFormat="1" ht="14.399999999999999" customHeight="1">
      <c r="A92" s="10" t="s">
        <v>4287</v>
      </c>
      <c r="B92" s="10" t="s">
        <v>4288</v>
      </c>
      <c r="C92" s="13" t="n">
        <v>31530</v>
      </c>
      <c r="D92" s="13" t="n">
        <v>50363</v>
      </c>
      <c r="E92" s="6" t="n">
        <f>SUM(C92,D92)/2</f>
        <v>40946.5</v>
      </c>
      <c r="F92" s="12" t="n">
        <v>7609</v>
      </c>
      <c r="G92" s="12" t="n">
        <v>12327</v>
      </c>
      <c r="H92" s="6" t="n">
        <f>SUM(F92,G92)/2</f>
        <v>9968</v>
      </c>
    </row>
    <row r="93" s="18" customFormat="1" ht="14.399999999999999" customHeight="1">
      <c r="A93" s="10" t="s">
        <v>3487</v>
      </c>
      <c r="B93" s="10" t="s">
        <v>3488</v>
      </c>
      <c r="C93" s="13" t="n">
        <v>69780</v>
      </c>
      <c r="D93" s="13" t="n">
        <v>111466</v>
      </c>
      <c r="E93" s="6" t="n">
        <f>SUM(C93,D93)/2</f>
        <v>90623</v>
      </c>
      <c r="F93" s="12" t="n">
        <v>19883</v>
      </c>
      <c r="G93" s="12" t="n">
        <v>27912</v>
      </c>
      <c r="H93" s="6" t="n">
        <f>SUM(F93,G93)/2</f>
        <v>23897.5</v>
      </c>
    </row>
    <row r="94" s="18" customFormat="1" ht="14.399999999999999" customHeight="1">
      <c r="A94" s="10" t="s">
        <v>2831</v>
      </c>
      <c r="B94" s="10" t="s">
        <v>2832</v>
      </c>
      <c r="C94" s="10" t="n">
        <v>0</v>
      </c>
      <c r="D94" s="10" t="n">
        <v>0</v>
      </c>
      <c r="E94" s="6" t="n">
        <f>SUM(C94,D94)/2</f>
        <v>0</v>
      </c>
      <c r="F94" s="18" t="n">
        <v>0</v>
      </c>
      <c r="G94" s="18" t="n">
        <v>0</v>
      </c>
      <c r="H94" s="6" t="n">
        <f>SUM(F94,G94)/2</f>
        <v>0</v>
      </c>
    </row>
    <row r="95" s="18" customFormat="1" ht="14.399999999999999" customHeight="1">
      <c r="A95" s="10" t="s">
        <v>4263</v>
      </c>
      <c r="B95" s="10" t="s">
        <v>4264</v>
      </c>
      <c r="C95" s="13" t="n">
        <v>27888</v>
      </c>
      <c r="D95" s="13" t="n">
        <v>44550</v>
      </c>
      <c r="E95" s="6" t="n">
        <f>SUM(C95,D95)/2</f>
        <v>36219</v>
      </c>
      <c r="F95" s="12" t="n">
        <v>9729</v>
      </c>
      <c r="G95" s="12" t="n">
        <v>13041</v>
      </c>
      <c r="H95" s="6" t="n">
        <f>SUM(F95,G95)/2</f>
        <v>11385</v>
      </c>
    </row>
    <row r="96" s="18" customFormat="1" ht="14.399999999999999" customHeight="1">
      <c r="A96" s="10" t="s">
        <v>3767</v>
      </c>
      <c r="B96" s="10" t="s">
        <v>3768</v>
      </c>
      <c r="C96" s="13" t="n">
        <v>25033</v>
      </c>
      <c r="D96" s="13" t="n">
        <v>39989</v>
      </c>
      <c r="E96" s="6" t="n">
        <f>SUM(C96,D96)/2</f>
        <v>32511</v>
      </c>
      <c r="F96" s="12" t="n">
        <v>19154</v>
      </c>
      <c r="G96" s="12" t="n">
        <v>29684</v>
      </c>
      <c r="H96" s="6" t="n">
        <f>SUM(F96,G96)/2</f>
        <v>24419</v>
      </c>
    </row>
    <row r="97" s="18" customFormat="1" ht="14.399999999999999" customHeight="1">
      <c r="A97" s="10" t="s">
        <v>4451</v>
      </c>
      <c r="B97" s="10" t="s">
        <v>4452</v>
      </c>
      <c r="C97" s="13" t="n">
        <v>25655</v>
      </c>
      <c r="D97" s="13" t="n">
        <v>40979</v>
      </c>
      <c r="E97" s="6" t="n">
        <f>SUM(C97,D97)/2</f>
        <v>33317</v>
      </c>
      <c r="F97" s="12" t="n">
        <v>8123</v>
      </c>
      <c r="G97" s="12" t="n">
        <v>10011</v>
      </c>
      <c r="H97" s="6" t="n">
        <f>SUM(F97,G97)/2</f>
        <v>9067</v>
      </c>
    </row>
    <row r="98" s="18" customFormat="1" ht="14.399999999999999" customHeight="1">
      <c r="A98" s="10" t="s">
        <v>5559</v>
      </c>
      <c r="B98" s="10" t="s">
        <v>5560</v>
      </c>
      <c r="C98" s="13" t="n">
        <v>5360</v>
      </c>
      <c r="D98" s="13" t="n">
        <v>8564</v>
      </c>
      <c r="E98" s="6" t="n">
        <f>SUM(C98,D98)/2</f>
        <v>6962</v>
      </c>
      <c r="F98" s="12" t="n">
        <v>6260</v>
      </c>
      <c r="G98" s="12" t="n">
        <v>8042</v>
      </c>
      <c r="H98" s="6" t="n">
        <f>SUM(F98,G98)/2</f>
        <v>7151</v>
      </c>
    </row>
    <row r="99" s="18" customFormat="1" ht="14.399999999999999" customHeight="1">
      <c r="A99" s="10" t="s">
        <v>5561</v>
      </c>
      <c r="B99" s="10" t="s">
        <v>5562</v>
      </c>
      <c r="C99" s="13" t="n">
        <v>13069</v>
      </c>
      <c r="D99" s="13" t="n">
        <v>20877</v>
      </c>
      <c r="E99" s="6" t="n">
        <f>SUM(C99,D99)/2</f>
        <v>16973</v>
      </c>
      <c r="F99" s="12" t="n">
        <v>16903</v>
      </c>
      <c r="G99" s="12" t="n">
        <v>24017</v>
      </c>
      <c r="H99" s="6" t="n">
        <f>SUM(F99,G99)/2</f>
        <v>20460</v>
      </c>
    </row>
    <row r="100" s="18" customFormat="1" ht="14.399999999999999" customHeight="1">
      <c r="A100" s="10" t="s">
        <v>1536</v>
      </c>
      <c r="B100" s="10" t="s">
        <v>1537</v>
      </c>
      <c r="C100" s="10" t="n">
        <v>44</v>
      </c>
      <c r="D100" s="10" t="n">
        <v>70</v>
      </c>
      <c r="E100" s="6" t="n">
        <f>SUM(C100,D100)/2</f>
        <v>57</v>
      </c>
      <c r="F100" s="18" t="n">
        <v>11</v>
      </c>
      <c r="G100" s="18" t="n">
        <v>16</v>
      </c>
      <c r="H100" s="6" t="n">
        <f>SUM(F100,G100)/2</f>
        <v>13.5</v>
      </c>
    </row>
    <row r="101" s="18" customFormat="1" ht="14.399999999999999" customHeight="1">
      <c r="A101" s="10" t="s">
        <v>1280</v>
      </c>
      <c r="B101" s="10" t="s">
        <v>1281</v>
      </c>
      <c r="C101" s="10" t="n">
        <v>259</v>
      </c>
      <c r="D101" s="10" t="n">
        <v>411</v>
      </c>
      <c r="E101" s="6" t="n">
        <f>SUM(C101,D101)/2</f>
        <v>335</v>
      </c>
      <c r="F101" s="18" t="n">
        <v>62</v>
      </c>
      <c r="G101" s="18" t="n">
        <v>81</v>
      </c>
      <c r="H101" s="6" t="n">
        <f>SUM(F101,G101)/2</f>
        <v>71.5</v>
      </c>
    </row>
    <row r="102" s="18" customFormat="1" ht="14.399999999999999" customHeight="1">
      <c r="A102" s="10" t="s">
        <v>3373</v>
      </c>
      <c r="B102" s="10" t="s">
        <v>3374</v>
      </c>
      <c r="C102" s="13" t="n">
        <v>113371</v>
      </c>
      <c r="D102" s="13" t="n">
        <v>181101</v>
      </c>
      <c r="E102" s="6" t="n">
        <f>SUM(C102,D102)/2</f>
        <v>147236</v>
      </c>
      <c r="F102" s="12" t="n">
        <v>13411</v>
      </c>
      <c r="G102" s="12" t="n">
        <v>19817</v>
      </c>
      <c r="H102" s="6" t="n">
        <f>SUM(F102,G102)/2</f>
        <v>16614</v>
      </c>
    </row>
    <row r="103" s="18" customFormat="1" ht="14.399999999999999" customHeight="1">
      <c r="A103" s="10" t="s">
        <v>80</v>
      </c>
      <c r="B103" s="10" t="s">
        <v>81</v>
      </c>
      <c r="C103" s="13" t="n">
        <v>172264</v>
      </c>
      <c r="D103" s="13" t="n">
        <v>275176</v>
      </c>
      <c r="E103" s="6" t="n">
        <f>SUM(C103,D103)/2</f>
        <v>223720</v>
      </c>
      <c r="F103" s="12" t="n">
        <v>100970</v>
      </c>
      <c r="G103" s="12" t="n">
        <v>138309</v>
      </c>
      <c r="H103" s="6" t="n">
        <f>SUM(F103,G103)/2</f>
        <v>119639.5</v>
      </c>
    </row>
    <row r="104" s="18" customFormat="1" ht="14.399999999999999" customHeight="1">
      <c r="A104" s="10" t="s">
        <v>5563</v>
      </c>
      <c r="B104" s="10" t="s">
        <v>5564</v>
      </c>
      <c r="C104" s="13" t="n">
        <v>11031</v>
      </c>
      <c r="D104" s="13" t="n">
        <v>17621</v>
      </c>
      <c r="E104" s="6" t="n">
        <f>SUM(C104,D104)/2</f>
        <v>14326</v>
      </c>
      <c r="F104" s="12" t="n">
        <v>6354</v>
      </c>
      <c r="G104" s="12" t="n">
        <v>8400</v>
      </c>
      <c r="H104" s="6" t="n">
        <f>SUM(F104,G104)/2</f>
        <v>7377</v>
      </c>
    </row>
    <row r="105" s="18" customFormat="1" ht="14.399999999999999" customHeight="1">
      <c r="A105" s="10" t="s">
        <v>1709</v>
      </c>
      <c r="B105" s="10" t="s">
        <v>1710</v>
      </c>
      <c r="C105" s="10" t="n">
        <v>36</v>
      </c>
      <c r="D105" s="10" t="n">
        <v>56</v>
      </c>
      <c r="E105" s="6" t="n">
        <f>SUM(C105,D105)/2</f>
        <v>46</v>
      </c>
      <c r="F105" s="18" t="n">
        <v>19</v>
      </c>
      <c r="G105" s="18" t="n">
        <v>26</v>
      </c>
      <c r="H105" s="6" t="n">
        <f>SUM(F105,G105)/2</f>
        <v>22.5</v>
      </c>
    </row>
    <row r="106" s="18" customFormat="1" ht="14.399999999999999" customHeight="1">
      <c r="A106" s="10" t="s">
        <v>4303</v>
      </c>
      <c r="B106" s="10" t="s">
        <v>4304</v>
      </c>
      <c r="C106" s="13" t="n">
        <v>31864</v>
      </c>
      <c r="D106" s="13" t="n">
        <v>50898</v>
      </c>
      <c r="E106" s="6" t="n">
        <f>SUM(C106,D106)/2</f>
        <v>41381</v>
      </c>
      <c r="F106" s="12" t="n">
        <v>7750</v>
      </c>
      <c r="G106" s="12" t="n">
        <v>11528</v>
      </c>
      <c r="H106" s="6" t="n">
        <f>SUM(F106,G106)/2</f>
        <v>9639</v>
      </c>
    </row>
    <row r="107" s="18" customFormat="1" ht="14.399999999999999" customHeight="1">
      <c r="A107" s="10" t="s">
        <v>1178</v>
      </c>
      <c r="B107" s="10" t="s">
        <v>1179</v>
      </c>
      <c r="C107" s="13" t="n">
        <v>200604</v>
      </c>
      <c r="D107" s="13" t="n">
        <v>320444</v>
      </c>
      <c r="E107" s="6" t="n">
        <f>SUM(C107,D107)/2</f>
        <v>260524</v>
      </c>
      <c r="F107" s="12" t="n">
        <v>45147</v>
      </c>
      <c r="G107" s="12" t="n">
        <v>65394</v>
      </c>
      <c r="H107" s="6" t="n">
        <f>SUM(F107,G107)/2</f>
        <v>55270.5</v>
      </c>
    </row>
    <row r="108" s="18" customFormat="1" ht="14.399999999999999" customHeight="1">
      <c r="A108" s="10" t="s">
        <v>877</v>
      </c>
      <c r="B108" s="10" t="s">
        <v>878</v>
      </c>
      <c r="C108" s="13" t="n">
        <v>824261</v>
      </c>
      <c r="D108" s="13" t="n">
        <v>1316673</v>
      </c>
      <c r="E108" s="6" t="n">
        <f>SUM(C108,D108)/2</f>
        <v>1070467</v>
      </c>
      <c r="F108" s="12" t="n">
        <v>155751</v>
      </c>
      <c r="G108" s="12" t="n">
        <v>224229</v>
      </c>
      <c r="H108" s="6" t="n">
        <f>SUM(F108,G108)/2</f>
        <v>189990</v>
      </c>
    </row>
    <row r="109" s="18" customFormat="1" ht="14.399999999999999" customHeight="1">
      <c r="A109" s="10" t="s">
        <v>3289</v>
      </c>
      <c r="B109" s="10" t="s">
        <v>3290</v>
      </c>
      <c r="C109" s="13" t="n">
        <v>91860</v>
      </c>
      <c r="D109" s="13" t="n">
        <v>146740</v>
      </c>
      <c r="E109" s="6" t="n">
        <f>SUM(C109,D109)/2</f>
        <v>119300</v>
      </c>
      <c r="F109" s="12" t="n">
        <v>24036</v>
      </c>
      <c r="G109" s="12" t="n">
        <v>34003</v>
      </c>
      <c r="H109" s="6" t="n">
        <f>SUM(F109,G109)/2</f>
        <v>29019.5</v>
      </c>
    </row>
    <row r="110" s="18" customFormat="1" ht="14.399999999999999" customHeight="1">
      <c r="A110" s="10" t="s">
        <v>4663</v>
      </c>
      <c r="B110" s="10" t="s">
        <v>4664</v>
      </c>
      <c r="C110" s="13" t="n">
        <v>7772</v>
      </c>
      <c r="D110" s="13" t="n">
        <v>12418</v>
      </c>
      <c r="E110" s="6" t="n">
        <f>SUM(C110,D110)/2</f>
        <v>10095</v>
      </c>
      <c r="F110" s="12" t="n">
        <v>8781</v>
      </c>
      <c r="G110" s="12" t="n">
        <v>13460</v>
      </c>
      <c r="H110" s="6" t="n">
        <f>SUM(F110,G110)/2</f>
        <v>11120.5</v>
      </c>
    </row>
    <row r="111" s="18" customFormat="1" ht="14.399999999999999" customHeight="1">
      <c r="A111" s="10" t="s">
        <v>1019</v>
      </c>
      <c r="B111" s="10" t="s">
        <v>1020</v>
      </c>
      <c r="C111" s="10" t="n">
        <v>4</v>
      </c>
      <c r="D111" s="10" t="n">
        <v>6</v>
      </c>
      <c r="E111" s="6" t="n">
        <f>SUM(C111,D111)/2</f>
        <v>5</v>
      </c>
      <c r="F111" s="18" t="n">
        <v>0</v>
      </c>
      <c r="G111" s="18" t="n">
        <v>0</v>
      </c>
      <c r="H111" s="6" t="n">
        <f>SUM(F111,G111)/2</f>
        <v>0</v>
      </c>
    </row>
    <row r="112" s="18" customFormat="1" ht="14.399999999999999" customHeight="1">
      <c r="A112" s="10" t="s">
        <v>1124</v>
      </c>
      <c r="B112" s="10" t="s">
        <v>1125</v>
      </c>
      <c r="C112" s="13" t="n">
        <v>143023</v>
      </c>
      <c r="D112" s="13" t="n">
        <v>228465</v>
      </c>
      <c r="E112" s="6" t="n">
        <f>SUM(C112,D112)/2</f>
        <v>185744</v>
      </c>
      <c r="F112" s="12" t="n">
        <v>118505</v>
      </c>
      <c r="G112" s="12" t="n">
        <v>170980</v>
      </c>
      <c r="H112" s="6" t="n">
        <f>SUM(F112,G112)/2</f>
        <v>144742.5</v>
      </c>
    </row>
    <row r="113" s="18" customFormat="1" ht="14.399999999999999" customHeight="1">
      <c r="A113" s="10" t="s">
        <v>758</v>
      </c>
      <c r="B113" s="10" t="s">
        <v>759</v>
      </c>
      <c r="C113" s="13" t="n">
        <v>1257153</v>
      </c>
      <c r="D113" s="13" t="n">
        <v>2008177</v>
      </c>
      <c r="E113" s="6" t="n">
        <f>SUM(C113,D113)/2</f>
        <v>1632665</v>
      </c>
      <c r="F113" s="12" t="n">
        <v>359686</v>
      </c>
      <c r="G113" s="12" t="n">
        <v>511349</v>
      </c>
      <c r="H113" s="6" t="n">
        <f>SUM(F113,G113)/2</f>
        <v>435517.5</v>
      </c>
    </row>
    <row r="114" s="18" customFormat="1" ht="14.399999999999999" customHeight="1">
      <c r="A114" s="10" t="s">
        <v>5273</v>
      </c>
      <c r="B114" s="10" t="s">
        <v>75</v>
      </c>
      <c r="C114" s="13" t="n">
        <v>816360</v>
      </c>
      <c r="D114" s="13" t="n">
        <v>1304054</v>
      </c>
      <c r="E114" s="6" t="n">
        <f>SUM(C114,D114)/2</f>
        <v>1060207</v>
      </c>
      <c r="F114" s="12" t="n">
        <v>8607</v>
      </c>
      <c r="G114" s="12" t="n">
        <v>13770</v>
      </c>
      <c r="H114" s="6" t="n">
        <f>SUM(F114,G114)/2</f>
        <v>11188.5</v>
      </c>
    </row>
    <row r="115" s="18" customFormat="1" ht="14.399999999999999" customHeight="1">
      <c r="A115" s="10" t="s">
        <v>3133</v>
      </c>
      <c r="B115" s="10" t="s">
        <v>3134</v>
      </c>
      <c r="C115" s="13" t="n">
        <v>74471</v>
      </c>
      <c r="D115" s="13" t="n">
        <v>118959</v>
      </c>
      <c r="E115" s="6" t="n">
        <f>SUM(C115,D115)/2</f>
        <v>96715</v>
      </c>
      <c r="F115" s="12" t="n">
        <v>58233</v>
      </c>
      <c r="G115" s="12" t="n">
        <v>85010</v>
      </c>
      <c r="H115" s="6" t="n">
        <f>SUM(F115,G115)/2</f>
        <v>71621.5</v>
      </c>
    </row>
    <row r="116" s="18" customFormat="1" ht="14.399999999999999" customHeight="1">
      <c r="A116" s="10" t="s">
        <v>3465</v>
      </c>
      <c r="B116" s="10" t="s">
        <v>3466</v>
      </c>
      <c r="C116" s="13" t="n">
        <v>66168</v>
      </c>
      <c r="D116" s="13" t="n">
        <v>105696</v>
      </c>
      <c r="E116" s="6" t="n">
        <f>SUM(C116,D116)/2</f>
        <v>85932</v>
      </c>
      <c r="F116" s="12" t="n">
        <v>21850</v>
      </c>
      <c r="G116" s="12" t="n">
        <v>29817</v>
      </c>
      <c r="H116" s="6" t="n">
        <f>SUM(F116,G116)/2</f>
        <v>25833.5</v>
      </c>
    </row>
    <row r="117" s="18" customFormat="1" ht="14.399999999999999" customHeight="1">
      <c r="A117" s="10" t="s">
        <v>5290</v>
      </c>
      <c r="B117" s="10" t="s">
        <v>5291</v>
      </c>
      <c r="C117" s="13" t="n">
        <v>1289</v>
      </c>
      <c r="D117" s="13" t="n">
        <v>2061</v>
      </c>
      <c r="E117" s="6" t="n">
        <f>SUM(C117,D117)/2</f>
        <v>1675</v>
      </c>
      <c r="F117" s="18" t="n">
        <v>473</v>
      </c>
      <c r="G117" s="18" t="n">
        <v>593</v>
      </c>
      <c r="H117" s="6" t="n">
        <f>SUM(F117,G117)/2</f>
        <v>533</v>
      </c>
    </row>
    <row r="118" s="18" customFormat="1" ht="14.399999999999999" customHeight="1">
      <c r="A118" s="10" t="s">
        <v>124</v>
      </c>
      <c r="B118" s="10" t="s">
        <v>125</v>
      </c>
      <c r="C118" s="13" t="n">
        <v>21889</v>
      </c>
      <c r="D118" s="13" t="n">
        <v>34967</v>
      </c>
      <c r="E118" s="6" t="n">
        <f>SUM(C118,D118)/2</f>
        <v>28428</v>
      </c>
      <c r="F118" s="12" t="n">
        <v>4427</v>
      </c>
      <c r="G118" s="12" t="n">
        <v>6604</v>
      </c>
      <c r="H118" s="6" t="n">
        <f>SUM(F118,G118)/2</f>
        <v>5515.5</v>
      </c>
    </row>
    <row r="119" s="18" customFormat="1" ht="14.399999999999999" customHeight="1">
      <c r="A119" s="10" t="s">
        <v>5565</v>
      </c>
      <c r="B119" s="10" t="s">
        <v>5566</v>
      </c>
      <c r="C119" s="13" t="n">
        <v>303835</v>
      </c>
      <c r="D119" s="13" t="n">
        <v>485347</v>
      </c>
      <c r="E119" s="6" t="n">
        <f>SUM(C119,D119)/2</f>
        <v>394591</v>
      </c>
      <c r="F119" s="18" t="n">
        <v>38143</v>
      </c>
      <c r="G119" s="18" t="n">
        <v>54073</v>
      </c>
      <c r="H119" s="6" t="n">
        <f>SUM(F119,G119)/2</f>
        <v>46108</v>
      </c>
    </row>
    <row r="120" s="18" customFormat="1" ht="14.399999999999999" customHeight="1">
      <c r="A120" s="10" t="s">
        <v>5567</v>
      </c>
      <c r="B120" s="10" t="s">
        <v>5568</v>
      </c>
      <c r="C120" s="13" t="n">
        <v>4349</v>
      </c>
      <c r="D120" s="13" t="n">
        <v>6945</v>
      </c>
      <c r="E120" s="6" t="n">
        <f>SUM(C120,D120)/2</f>
        <v>5647</v>
      </c>
      <c r="F120" s="12" t="n">
        <v>11605</v>
      </c>
      <c r="G120" s="12" t="n">
        <v>17456</v>
      </c>
      <c r="H120" s="6" t="n">
        <f>SUM(F120,G120)/2</f>
        <v>14530.5</v>
      </c>
    </row>
    <row r="121" s="18" customFormat="1" ht="14.399999999999999" customHeight="1">
      <c r="A121" s="10" t="s">
        <v>2130</v>
      </c>
      <c r="B121" s="10" t="s">
        <v>2131</v>
      </c>
      <c r="C121" s="13" t="n">
        <v>229991</v>
      </c>
      <c r="D121" s="13" t="n">
        <v>367387</v>
      </c>
      <c r="E121" s="6" t="n">
        <f>SUM(C121,D121)/2</f>
        <v>298689</v>
      </c>
      <c r="F121" s="12" t="n">
        <v>125705</v>
      </c>
      <c r="G121" s="12" t="n">
        <v>170934</v>
      </c>
      <c r="H121" s="6" t="n">
        <f>SUM(F121,G121)/2</f>
        <v>148319.5</v>
      </c>
    </row>
    <row r="122" s="18" customFormat="1" ht="14.399999999999999" customHeight="1">
      <c r="A122" s="10" t="s">
        <v>3605</v>
      </c>
      <c r="B122" s="10" t="s">
        <v>3606</v>
      </c>
      <c r="C122" s="13" t="n">
        <v>56985</v>
      </c>
      <c r="D122" s="13" t="n">
        <v>91026</v>
      </c>
      <c r="E122" s="6" t="n">
        <f>SUM(C122,D122)/2</f>
        <v>74005.5</v>
      </c>
      <c r="F122" s="12" t="n">
        <v>15437</v>
      </c>
      <c r="G122" s="12" t="n">
        <v>27733</v>
      </c>
      <c r="H122" s="6" t="n">
        <f>SUM(F122,G122)/2</f>
        <v>21585</v>
      </c>
    </row>
    <row r="123" s="18" customFormat="1" ht="14.399999999999999" customHeight="1">
      <c r="A123" s="10" t="s">
        <v>738</v>
      </c>
      <c r="B123" s="10" t="s">
        <v>739</v>
      </c>
      <c r="C123" s="13" t="n">
        <v>998493</v>
      </c>
      <c r="D123" s="13" t="n">
        <v>1594993</v>
      </c>
      <c r="E123" s="6" t="n">
        <f>SUM(C123,D123)/2</f>
        <v>1296743</v>
      </c>
      <c r="F123" s="12" t="n">
        <v>581747</v>
      </c>
      <c r="G123" s="12" t="n">
        <v>853036</v>
      </c>
      <c r="H123" s="6" t="n">
        <f>SUM(F123,G123)/2</f>
        <v>717391.5</v>
      </c>
    </row>
    <row r="124" s="18" customFormat="1" ht="14.399999999999999" customHeight="1">
      <c r="A124" s="10" t="s">
        <v>5569</v>
      </c>
      <c r="B124" s="10" t="s">
        <v>5570</v>
      </c>
      <c r="C124" s="13" t="n">
        <v>13750</v>
      </c>
      <c r="D124" s="13" t="n">
        <v>21964</v>
      </c>
      <c r="E124" s="6" t="n">
        <f>SUM(C124,D124)/2</f>
        <v>17857</v>
      </c>
      <c r="F124" s="12" t="n">
        <v>6818</v>
      </c>
      <c r="G124" s="12" t="n">
        <v>9836</v>
      </c>
      <c r="H124" s="6" t="n">
        <f>SUM(F124,G124)/2</f>
        <v>8327</v>
      </c>
    </row>
    <row r="125" s="18" customFormat="1" ht="14.399999999999999" customHeight="1">
      <c r="A125" s="10" t="s">
        <v>1613</v>
      </c>
      <c r="B125" s="10" t="s">
        <v>1614</v>
      </c>
      <c r="C125" s="13" t="n">
        <v>265077</v>
      </c>
      <c r="D125" s="13" t="n">
        <v>423437</v>
      </c>
      <c r="E125" s="6" t="n">
        <f>SUM(C125,D125)/2</f>
        <v>344257</v>
      </c>
      <c r="F125" s="12" t="n">
        <v>35783</v>
      </c>
      <c r="G125" s="12" t="n">
        <v>50820</v>
      </c>
      <c r="H125" s="6" t="n">
        <f>SUM(F125,G125)/2</f>
        <v>43301.5</v>
      </c>
    </row>
    <row r="126" s="18" customFormat="1" ht="14.399999999999999" customHeight="1">
      <c r="A126" s="10" t="s">
        <v>1105</v>
      </c>
      <c r="B126" s="10" t="s">
        <v>1106</v>
      </c>
      <c r="C126" s="13" t="n">
        <v>217712</v>
      </c>
      <c r="D126" s="13" t="n">
        <v>347772</v>
      </c>
      <c r="E126" s="6" t="n">
        <f>SUM(C126,D126)/2</f>
        <v>282742</v>
      </c>
      <c r="F126" s="12" t="n">
        <v>100160</v>
      </c>
      <c r="G126" s="12" t="n">
        <v>153419</v>
      </c>
      <c r="H126" s="6" t="n">
        <f>SUM(F126,G126)/2</f>
        <v>126789.5</v>
      </c>
    </row>
    <row r="127" s="18" customFormat="1" ht="14.399999999999999" customHeight="1">
      <c r="A127" s="10" t="s">
        <v>1188</v>
      </c>
      <c r="B127" s="10" t="s">
        <v>1189</v>
      </c>
      <c r="C127" s="13" t="n">
        <v>212688</v>
      </c>
      <c r="D127" s="13" t="n">
        <v>339746</v>
      </c>
      <c r="E127" s="6" t="n">
        <f>SUM(C127,D127)/2</f>
        <v>276217</v>
      </c>
      <c r="F127" s="12" t="n">
        <v>41433</v>
      </c>
      <c r="G127" s="12" t="n">
        <v>56246</v>
      </c>
      <c r="H127" s="6" t="n">
        <f>SUM(F127,G127)/2</f>
        <v>48839.5</v>
      </c>
    </row>
    <row r="128" s="18" customFormat="1" ht="14.399999999999999" customHeight="1">
      <c r="A128" s="10" t="s">
        <v>3275</v>
      </c>
      <c r="B128" s="10" t="s">
        <v>3276</v>
      </c>
      <c r="C128" s="13" t="n">
        <v>86375</v>
      </c>
      <c r="D128" s="13" t="n">
        <v>137975</v>
      </c>
      <c r="E128" s="6" t="n">
        <f>SUM(C128,D128)/2</f>
        <v>112175</v>
      </c>
      <c r="F128" s="12" t="n">
        <v>23640</v>
      </c>
      <c r="G128" s="12" t="n">
        <v>38953</v>
      </c>
      <c r="H128" s="6" t="n">
        <f>SUM(F128,G128)/2</f>
        <v>31296.5</v>
      </c>
    </row>
    <row r="129" s="18" customFormat="1" ht="14.399999999999999" customHeight="1">
      <c r="A129" s="10" t="s">
        <v>5571</v>
      </c>
      <c r="B129" s="10" t="s">
        <v>5572</v>
      </c>
      <c r="C129" s="13" t="n">
        <v>26693</v>
      </c>
      <c r="D129" s="13" t="n">
        <v>42639</v>
      </c>
      <c r="E129" s="6" t="n">
        <f>SUM(C129,D129)/2</f>
        <v>34666</v>
      </c>
      <c r="F129" s="12" t="n">
        <v>4842</v>
      </c>
      <c r="G129" s="12" t="n">
        <v>6753</v>
      </c>
      <c r="H129" s="6" t="n">
        <f>SUM(F129,G129)/2</f>
        <v>5797.5</v>
      </c>
    </row>
    <row r="130" s="18" customFormat="1" ht="14.399999999999999" customHeight="1">
      <c r="A130" s="10" t="s">
        <v>3697</v>
      </c>
      <c r="B130" s="10" t="s">
        <v>3698</v>
      </c>
      <c r="C130" s="13" t="n">
        <v>30815</v>
      </c>
      <c r="D130" s="13" t="n">
        <v>49227</v>
      </c>
      <c r="E130" s="6" t="n">
        <f>SUM(C130,D130)/2</f>
        <v>40021</v>
      </c>
      <c r="F130" s="12" t="n">
        <v>20783</v>
      </c>
      <c r="G130" s="12" t="n">
        <v>30695</v>
      </c>
      <c r="H130" s="6" t="n">
        <f>SUM(F130,G130)/2</f>
        <v>25739</v>
      </c>
    </row>
    <row r="131" s="18" customFormat="1" ht="14.399999999999999" customHeight="1">
      <c r="A131" s="10" t="s">
        <v>5398</v>
      </c>
      <c r="B131" s="10" t="s">
        <v>5399</v>
      </c>
      <c r="C131" s="13" t="n">
        <v>122616</v>
      </c>
      <c r="D131" s="13" t="n">
        <v>195868</v>
      </c>
      <c r="E131" s="6" t="n">
        <f>SUM(C131,D131)/2</f>
        <v>159242</v>
      </c>
      <c r="F131" s="12" t="n">
        <v>85269</v>
      </c>
      <c r="G131" s="12" t="n">
        <v>122257</v>
      </c>
      <c r="H131" s="6" t="n">
        <f>SUM(F131,G131)/2</f>
        <v>103763</v>
      </c>
    </row>
    <row r="132" s="18" customFormat="1" ht="14.399999999999999" customHeight="1">
      <c r="A132" s="10" t="s">
        <v>3559</v>
      </c>
      <c r="B132" s="10" t="s">
        <v>3560</v>
      </c>
      <c r="C132" s="13" t="n">
        <v>59284</v>
      </c>
      <c r="D132" s="13" t="n">
        <v>94702</v>
      </c>
      <c r="E132" s="6" t="n">
        <f>SUM(C132,D132)/2</f>
        <v>76993</v>
      </c>
      <c r="F132" s="12" t="n">
        <v>20573</v>
      </c>
      <c r="G132" s="12" t="n">
        <v>27190</v>
      </c>
      <c r="H132" s="6" t="n">
        <f>SUM(F132,G132)/2</f>
        <v>23881.5</v>
      </c>
    </row>
    <row r="133" s="18" customFormat="1" ht="14.399999999999999" customHeight="1">
      <c r="A133" s="10" t="s">
        <v>3195</v>
      </c>
      <c r="B133" s="10" t="s">
        <v>3196</v>
      </c>
      <c r="C133" s="13" t="n">
        <v>111612</v>
      </c>
      <c r="D133" s="13" t="n">
        <v>178290</v>
      </c>
      <c r="E133" s="6" t="n">
        <f>SUM(C133,D133)/2</f>
        <v>144951</v>
      </c>
      <c r="F133" s="12" t="n">
        <v>21665</v>
      </c>
      <c r="G133" s="12" t="n">
        <v>36884</v>
      </c>
      <c r="H133" s="6" t="n">
        <f>SUM(F133,G133)/2</f>
        <v>29274.5</v>
      </c>
    </row>
    <row r="134" s="18" customFormat="1" ht="14.399999999999999" customHeight="1">
      <c r="A134" s="10" t="s">
        <v>3755</v>
      </c>
      <c r="B134" s="10" t="s">
        <v>3756</v>
      </c>
      <c r="C134" s="13" t="n">
        <v>46602</v>
      </c>
      <c r="D134" s="13" t="n">
        <v>74442</v>
      </c>
      <c r="E134" s="6" t="n">
        <f>SUM(C134,D134)/2</f>
        <v>60522</v>
      </c>
      <c r="F134" s="12" t="n">
        <v>15069</v>
      </c>
      <c r="G134" s="12" t="n">
        <v>22836</v>
      </c>
      <c r="H134" s="6" t="n">
        <f>SUM(F134,G134)/2</f>
        <v>18952.5</v>
      </c>
    </row>
    <row r="135" s="18" customFormat="1" ht="14.399999999999999" customHeight="1">
      <c r="A135" s="10" t="s">
        <v>5573</v>
      </c>
      <c r="B135" s="10" t="s">
        <v>5574</v>
      </c>
      <c r="C135" s="13" t="n">
        <v>28326</v>
      </c>
      <c r="D135" s="13" t="n">
        <v>45248</v>
      </c>
      <c r="E135" s="6" t="n">
        <f>SUM(C135,D135)/2</f>
        <v>36787</v>
      </c>
      <c r="F135" s="12" t="n">
        <v>10602</v>
      </c>
      <c r="G135" s="12" t="n">
        <v>13558</v>
      </c>
      <c r="H135" s="6" t="n">
        <f>SUM(F135,G135)/2</f>
        <v>12080</v>
      </c>
    </row>
    <row r="136" s="18" customFormat="1" ht="14.399999999999999" customHeight="1">
      <c r="A136" s="10" t="s">
        <v>4407</v>
      </c>
      <c r="B136" s="10" t="s">
        <v>4408</v>
      </c>
      <c r="C136" s="13" t="n">
        <v>20581</v>
      </c>
      <c r="D136" s="13" t="n">
        <v>32877</v>
      </c>
      <c r="E136" s="6" t="n">
        <f>SUM(C136,D136)/2</f>
        <v>26729</v>
      </c>
      <c r="F136" s="12" t="n">
        <v>9176</v>
      </c>
      <c r="G136" s="12" t="n">
        <v>12685</v>
      </c>
      <c r="H136" s="6" t="n">
        <f>SUM(F136,G136)/2</f>
        <v>10930.5</v>
      </c>
    </row>
    <row r="137" s="18" customFormat="1" ht="14.399999999999999" customHeight="1">
      <c r="A137" s="10" t="s">
        <v>5575</v>
      </c>
      <c r="B137" s="10" t="s">
        <v>5576</v>
      </c>
      <c r="C137" s="13" t="n">
        <v>2967</v>
      </c>
      <c r="D137" s="13" t="n">
        <v>4737</v>
      </c>
      <c r="E137" s="6" t="n">
        <f>SUM(C137,D137)/2</f>
        <v>3852</v>
      </c>
      <c r="F137" s="12" t="n">
        <v>9369</v>
      </c>
      <c r="G137" s="12" t="n">
        <v>14451</v>
      </c>
      <c r="H137" s="6" t="n">
        <f>SUM(F137,G137)/2</f>
        <v>11910</v>
      </c>
    </row>
    <row r="138" s="18" customFormat="1" ht="14.399999999999999" customHeight="1">
      <c r="A138" s="10" t="s">
        <v>839</v>
      </c>
      <c r="B138" s="10" t="s">
        <v>840</v>
      </c>
      <c r="C138" s="13" t="n">
        <v>1229869</v>
      </c>
      <c r="D138" s="13" t="n">
        <v>1964597</v>
      </c>
      <c r="E138" s="6" t="n">
        <f>SUM(C138,D138)/2</f>
        <v>1597233</v>
      </c>
      <c r="F138" s="12" t="n">
        <v>132785</v>
      </c>
      <c r="G138" s="12" t="n">
        <v>187359</v>
      </c>
      <c r="H138" s="6" t="n">
        <f>SUM(F138,G138)/2</f>
        <v>160072</v>
      </c>
    </row>
    <row r="139" s="18" customFormat="1" ht="14.399999999999999" customHeight="1">
      <c r="A139" s="10" t="s">
        <v>3375</v>
      </c>
      <c r="B139" s="10" t="s">
        <v>3376</v>
      </c>
      <c r="C139" s="13" t="n">
        <v>117556</v>
      </c>
      <c r="D139" s="13" t="n">
        <v>187784</v>
      </c>
      <c r="E139" s="6" t="n">
        <f>SUM(C139,D139)/2</f>
        <v>152670</v>
      </c>
      <c r="F139" s="12" t="n">
        <v>12962</v>
      </c>
      <c r="G139" s="12" t="n">
        <v>17723</v>
      </c>
      <c r="H139" s="6" t="n">
        <f>SUM(F139,G139)/2</f>
        <v>15342.5</v>
      </c>
    </row>
    <row r="140" s="18" customFormat="1" ht="14.399999999999999" customHeight="1">
      <c r="A140" s="10" t="s">
        <v>766</v>
      </c>
      <c r="B140" s="10" t="s">
        <v>767</v>
      </c>
      <c r="C140" s="13" t="n">
        <v>2054904</v>
      </c>
      <c r="D140" s="13" t="n">
        <v>3282510</v>
      </c>
      <c r="E140" s="6" t="n">
        <f>SUM(C140,D140)/2</f>
        <v>2668707</v>
      </c>
      <c r="F140" s="12" t="n">
        <v>162460</v>
      </c>
      <c r="G140" s="12" t="n">
        <v>211121</v>
      </c>
      <c r="H140" s="6" t="n">
        <f>SUM(F140,G140)/2</f>
        <v>186790.5</v>
      </c>
    </row>
    <row r="141" s="18" customFormat="1" ht="14.399999999999999" customHeight="1">
      <c r="A141" s="10" t="s">
        <v>4363</v>
      </c>
      <c r="B141" s="10" t="s">
        <v>4364</v>
      </c>
      <c r="C141" s="13" t="n">
        <v>17260</v>
      </c>
      <c r="D141" s="13" t="n">
        <v>27568</v>
      </c>
      <c r="E141" s="6" t="n">
        <f>SUM(C141,D141)/2</f>
        <v>22414</v>
      </c>
      <c r="F141" s="12" t="n">
        <v>9669</v>
      </c>
      <c r="G141" s="12" t="n">
        <v>15272</v>
      </c>
      <c r="H141" s="6" t="n">
        <f>SUM(F141,G141)/2</f>
        <v>12470.5</v>
      </c>
    </row>
    <row r="142" s="18" customFormat="1" ht="14.399999999999999" customHeight="1">
      <c r="A142" s="10" t="s">
        <v>5354</v>
      </c>
      <c r="B142" s="10" t="s">
        <v>5355</v>
      </c>
      <c r="C142" s="13" t="n">
        <v>393383</v>
      </c>
      <c r="D142" s="13" t="n">
        <v>628389</v>
      </c>
      <c r="E142" s="6" t="n">
        <f>SUM(C142,D142)/2</f>
        <v>510886</v>
      </c>
      <c r="F142" s="12" t="n">
        <v>50452</v>
      </c>
      <c r="G142" s="12" t="n">
        <v>74973</v>
      </c>
      <c r="H142" s="6" t="n">
        <f>SUM(F142,G142)/2</f>
        <v>62712.5</v>
      </c>
    </row>
    <row r="143" s="18" customFormat="1" ht="14.399999999999999" customHeight="1">
      <c r="A143" s="10" t="s">
        <v>5577</v>
      </c>
      <c r="B143" s="10" t="s">
        <v>5578</v>
      </c>
      <c r="C143" s="10" t="n">
        <v>0</v>
      </c>
      <c r="D143" s="10" t="n">
        <v>0</v>
      </c>
      <c r="E143" s="6" t="n">
        <f>SUM(C143,D143)/2</f>
        <v>0</v>
      </c>
      <c r="F143" s="18" t="n">
        <v>19</v>
      </c>
      <c r="G143" s="18" t="n">
        <v>28</v>
      </c>
      <c r="H143" s="6" t="n">
        <f>SUM(F143,G143)/2</f>
        <v>23.5</v>
      </c>
    </row>
    <row r="144" s="18" customFormat="1" ht="14.399999999999999" customHeight="1">
      <c r="A144" s="10" t="s">
        <v>3843</v>
      </c>
      <c r="B144" s="10" t="s">
        <v>3844</v>
      </c>
      <c r="C144" s="13" t="n">
        <v>15800</v>
      </c>
      <c r="D144" s="13" t="n">
        <v>25242</v>
      </c>
      <c r="E144" s="6" t="n">
        <f>SUM(C144,D144)/2</f>
        <v>20521</v>
      </c>
      <c r="F144" s="12" t="n">
        <v>19420</v>
      </c>
      <c r="G144" s="12" t="n">
        <v>28929</v>
      </c>
      <c r="H144" s="6" t="n">
        <f>SUM(F144,G144)/2</f>
        <v>24174.5</v>
      </c>
    </row>
    <row r="145" s="18" customFormat="1" ht="14.399999999999999" customHeight="1">
      <c r="A145" s="10" t="s">
        <v>748</v>
      </c>
      <c r="B145" s="10" t="s">
        <v>749</v>
      </c>
      <c r="C145" s="13" t="n">
        <v>1311065</v>
      </c>
      <c r="D145" s="13" t="n">
        <v>2094299</v>
      </c>
      <c r="E145" s="6" t="n">
        <f>SUM(C145,D145)/2</f>
        <v>1702682</v>
      </c>
      <c r="F145" s="12" t="n">
        <v>377216</v>
      </c>
      <c r="G145" s="12" t="n">
        <v>711076</v>
      </c>
      <c r="H145" s="6" t="n">
        <f>SUM(F145,G145)/2</f>
        <v>544146</v>
      </c>
    </row>
    <row r="146" s="18" customFormat="1" ht="14.399999999999999" customHeight="1">
      <c r="A146" s="10" t="s">
        <v>5579</v>
      </c>
      <c r="B146" s="10" t="s">
        <v>5580</v>
      </c>
      <c r="C146" s="13" t="n">
        <v>21578</v>
      </c>
      <c r="D146" s="13" t="n">
        <v>34468</v>
      </c>
      <c r="E146" s="6" t="n">
        <f>SUM(C146,D146)/2</f>
        <v>28023</v>
      </c>
      <c r="F146" s="12" t="n">
        <v>5586</v>
      </c>
      <c r="G146" s="12" t="n">
        <v>7635</v>
      </c>
      <c r="H146" s="6" t="n">
        <f>SUM(F146,G146)/2</f>
        <v>6610.5</v>
      </c>
    </row>
    <row r="147" s="18" customFormat="1" ht="14.399999999999999" customHeight="1">
      <c r="A147" s="10" t="s">
        <v>5253</v>
      </c>
      <c r="B147" s="10" t="s">
        <v>5254</v>
      </c>
      <c r="C147" s="13" t="n">
        <v>2487</v>
      </c>
      <c r="D147" s="13" t="n">
        <v>3971</v>
      </c>
      <c r="E147" s="6" t="n">
        <f>SUM(C147,D147)/2</f>
        <v>3229</v>
      </c>
      <c r="F147" s="18" t="n">
        <v>281</v>
      </c>
      <c r="G147" s="18" t="n">
        <v>990</v>
      </c>
      <c r="H147" s="6" t="n">
        <f>SUM(F147,G147)/2</f>
        <v>635.5</v>
      </c>
    </row>
    <row r="148" s="18" customFormat="1" ht="14.399999999999999" customHeight="1">
      <c r="A148" s="10" t="s">
        <v>5581</v>
      </c>
      <c r="B148" s="10" t="s">
        <v>5582</v>
      </c>
      <c r="C148" s="13" t="n">
        <v>6754</v>
      </c>
      <c r="D148" s="13" t="n">
        <v>10790</v>
      </c>
      <c r="E148" s="6" t="n">
        <f>SUM(C148,D148)/2</f>
        <v>8772</v>
      </c>
      <c r="F148" s="12" t="n">
        <v>6814</v>
      </c>
      <c r="G148" s="12" t="n">
        <v>10387</v>
      </c>
      <c r="H148" s="6" t="n">
        <f>SUM(F148,G148)/2</f>
        <v>8600.5</v>
      </c>
    </row>
    <row r="149" s="18" customFormat="1" ht="14.399999999999999" customHeight="1">
      <c r="A149" s="10" t="s">
        <v>5583</v>
      </c>
      <c r="B149" s="10" t="s">
        <v>5584</v>
      </c>
      <c r="C149" s="13" t="n">
        <v>4654</v>
      </c>
      <c r="D149" s="13" t="n">
        <v>7434</v>
      </c>
      <c r="E149" s="6" t="n">
        <f>SUM(C149,D149)/2</f>
        <v>6044</v>
      </c>
      <c r="F149" s="12" t="n">
        <v>4272</v>
      </c>
      <c r="G149" s="12" t="n">
        <v>6185</v>
      </c>
      <c r="H149" s="6" t="n">
        <f>SUM(F149,G149)/2</f>
        <v>5228.5</v>
      </c>
    </row>
    <row r="150" s="18" customFormat="1" ht="14.399999999999999" customHeight="1">
      <c r="A150" s="10" t="s">
        <v>5318</v>
      </c>
      <c r="B150" s="10" t="s">
        <v>5319</v>
      </c>
      <c r="C150" s="13" t="n">
        <v>1376</v>
      </c>
      <c r="D150" s="13" t="n">
        <v>2198</v>
      </c>
      <c r="E150" s="6" t="n">
        <f>SUM(C150,D150)/2</f>
        <v>1787</v>
      </c>
      <c r="F150" s="18" t="n">
        <v>154</v>
      </c>
      <c r="G150" s="18" t="n">
        <v>211</v>
      </c>
      <c r="H150" s="6" t="n">
        <f>SUM(F150,G150)/2</f>
        <v>182.5</v>
      </c>
    </row>
    <row r="151" s="18" customFormat="1" ht="14.399999999999999" customHeight="1">
      <c r="A151" s="10" t="s">
        <v>3947</v>
      </c>
      <c r="B151" s="10" t="s">
        <v>3948</v>
      </c>
      <c r="C151" s="13" t="n">
        <v>60368</v>
      </c>
      <c r="D151" s="13" t="n">
        <v>96432</v>
      </c>
      <c r="E151" s="6" t="n">
        <f>SUM(C151,D151)/2</f>
        <v>78400</v>
      </c>
      <c r="F151" s="12" t="n">
        <v>7851</v>
      </c>
      <c r="G151" s="12" t="n">
        <v>10486</v>
      </c>
      <c r="H151" s="6" t="n">
        <f>SUM(F151,G151)/2</f>
        <v>9168.5</v>
      </c>
    </row>
    <row r="152" s="18" customFormat="1" ht="14.399999999999999" customHeight="1">
      <c r="A152" s="10" t="s">
        <v>4261</v>
      </c>
      <c r="B152" s="10" t="s">
        <v>4262</v>
      </c>
      <c r="C152" s="13" t="n">
        <v>4048</v>
      </c>
      <c r="D152" s="13" t="n">
        <v>6466</v>
      </c>
      <c r="E152" s="6" t="n">
        <f>SUM(C152,D152)/2</f>
        <v>5257</v>
      </c>
      <c r="F152" s="12" t="n">
        <v>14179</v>
      </c>
      <c r="G152" s="12" t="n">
        <v>21917</v>
      </c>
      <c r="H152" s="6" t="n">
        <f>SUM(F152,G152)/2</f>
        <v>18048</v>
      </c>
    </row>
    <row r="153" s="18" customFormat="1" ht="14.399999999999999" customHeight="1">
      <c r="A153" s="10" t="s">
        <v>1095</v>
      </c>
      <c r="B153" s="10" t="s">
        <v>1096</v>
      </c>
      <c r="C153" s="13" t="n">
        <v>358255</v>
      </c>
      <c r="D153" s="13" t="n">
        <v>572279</v>
      </c>
      <c r="E153" s="6" t="n">
        <f>SUM(C153,D153)/2</f>
        <v>465267</v>
      </c>
      <c r="F153" s="12" t="n">
        <v>80431</v>
      </c>
      <c r="G153" s="12" t="n">
        <v>105646</v>
      </c>
      <c r="H153" s="6" t="n">
        <f>SUM(F153,G153)/2</f>
        <v>93038.5</v>
      </c>
    </row>
    <row r="154" s="18" customFormat="1" ht="14.399999999999999" customHeight="1">
      <c r="A154" s="10" t="s">
        <v>4661</v>
      </c>
      <c r="B154" s="10" t="s">
        <v>4662</v>
      </c>
      <c r="C154" s="13" t="n">
        <v>10437</v>
      </c>
      <c r="D154" s="13" t="n">
        <v>16669</v>
      </c>
      <c r="E154" s="6" t="n">
        <f>SUM(C154,D154)/2</f>
        <v>13553</v>
      </c>
      <c r="F154" s="12" t="n">
        <v>8102</v>
      </c>
      <c r="G154" s="12" t="n">
        <v>12813</v>
      </c>
      <c r="H154" s="6" t="n">
        <f>SUM(F154,G154)/2</f>
        <v>10457.5</v>
      </c>
    </row>
    <row r="155" s="18" customFormat="1" ht="14.399999999999999" customHeight="1">
      <c r="A155" s="10" t="s">
        <v>5585</v>
      </c>
      <c r="B155" s="10" t="s">
        <v>5586</v>
      </c>
      <c r="C155" s="13" t="n">
        <v>19911</v>
      </c>
      <c r="D155" s="13" t="n">
        <v>31805</v>
      </c>
      <c r="E155" s="6" t="n">
        <f>SUM(C155,D155)/2</f>
        <v>25858</v>
      </c>
      <c r="F155" s="12" t="n">
        <v>6381</v>
      </c>
      <c r="G155" s="12" t="n">
        <v>9177</v>
      </c>
      <c r="H155" s="6" t="n">
        <f>SUM(F155,G155)/2</f>
        <v>7779</v>
      </c>
    </row>
    <row r="156" s="18" customFormat="1" ht="14.399999999999999" customHeight="1">
      <c r="A156" s="10" t="s">
        <v>3165</v>
      </c>
      <c r="B156" s="10" t="s">
        <v>3166</v>
      </c>
      <c r="C156" s="13" t="n">
        <v>168946</v>
      </c>
      <c r="D156" s="13" t="n">
        <v>269876</v>
      </c>
      <c r="E156" s="6" t="n">
        <f>SUM(C156,D156)/2</f>
        <v>219411</v>
      </c>
      <c r="F156" s="12" t="n">
        <v>13895</v>
      </c>
      <c r="G156" s="12" t="n">
        <v>20398</v>
      </c>
      <c r="H156" s="6" t="n">
        <f>SUM(F156,G156)/2</f>
        <v>17146.5</v>
      </c>
    </row>
    <row r="157" s="18" customFormat="1" ht="14.399999999999999" customHeight="1">
      <c r="A157" s="10" t="s">
        <v>5587</v>
      </c>
      <c r="B157" s="10" t="s">
        <v>5588</v>
      </c>
      <c r="C157" s="13" t="n">
        <v>91870</v>
      </c>
      <c r="D157" s="13" t="n">
        <v>146752</v>
      </c>
      <c r="E157" s="6" t="n">
        <f>SUM(C157,D157)/2</f>
        <v>119311</v>
      </c>
      <c r="F157" s="12" t="n">
        <v>13156</v>
      </c>
      <c r="G157" s="12" t="n">
        <v>18750</v>
      </c>
      <c r="H157" s="6" t="n">
        <f>SUM(F157,G157)/2</f>
        <v>15953</v>
      </c>
    </row>
    <row r="158" s="18" customFormat="1" ht="14.399999999999999" customHeight="1">
      <c r="A158" s="10" t="s">
        <v>5149</v>
      </c>
      <c r="B158" s="10" t="s">
        <v>5150</v>
      </c>
      <c r="C158" s="13" t="n">
        <v>2828</v>
      </c>
      <c r="D158" s="13" t="n">
        <v>4516</v>
      </c>
      <c r="E158" s="6" t="n">
        <f>SUM(C158,D158)/2</f>
        <v>3672</v>
      </c>
      <c r="F158" s="12" t="n">
        <v>5004</v>
      </c>
      <c r="G158" s="12" t="n">
        <v>7833</v>
      </c>
      <c r="H158" s="6" t="n">
        <f>SUM(F158,G158)/2</f>
        <v>6418.5</v>
      </c>
    </row>
    <row r="159" s="18" customFormat="1" ht="14.399999999999999" customHeight="1">
      <c r="A159" s="10" t="s">
        <v>4937</v>
      </c>
      <c r="B159" s="10" t="s">
        <v>4938</v>
      </c>
      <c r="C159" s="13" t="n">
        <v>10506</v>
      </c>
      <c r="D159" s="13" t="n">
        <v>16786</v>
      </c>
      <c r="E159" s="6" t="n">
        <f>SUM(C159,D159)/2</f>
        <v>13646</v>
      </c>
      <c r="F159" s="12" t="n">
        <v>5854</v>
      </c>
      <c r="G159" s="12" t="n">
        <v>9180</v>
      </c>
      <c r="H159" s="6" t="n">
        <f>SUM(F159,G159)/2</f>
        <v>7517</v>
      </c>
    </row>
    <row r="160" s="18" customFormat="1" ht="14.399999999999999" customHeight="1">
      <c r="A160" s="10" t="s">
        <v>4523</v>
      </c>
      <c r="B160" s="10" t="s">
        <v>4524</v>
      </c>
      <c r="C160" s="13" t="n">
        <v>15972</v>
      </c>
      <c r="D160" s="13" t="n">
        <v>25516</v>
      </c>
      <c r="E160" s="6" t="n">
        <f>SUM(C160,D160)/2</f>
        <v>20744</v>
      </c>
      <c r="F160" s="12" t="n">
        <v>8374</v>
      </c>
      <c r="G160" s="12" t="n">
        <v>12945</v>
      </c>
      <c r="H160" s="6" t="n">
        <f>SUM(F160,G160)/2</f>
        <v>10659.5</v>
      </c>
    </row>
    <row r="161" s="18" customFormat="1" ht="14.399999999999999" customHeight="1">
      <c r="A161" s="10" t="s">
        <v>5589</v>
      </c>
      <c r="B161" s="10" t="s">
        <v>5590</v>
      </c>
      <c r="C161" s="13" t="n">
        <v>126662</v>
      </c>
      <c r="D161" s="13" t="n">
        <v>202334</v>
      </c>
      <c r="E161" s="6" t="n">
        <f>SUM(C161,D161)/2</f>
        <v>164498</v>
      </c>
      <c r="F161" s="12" t="n">
        <v>23898</v>
      </c>
      <c r="G161" s="12" t="n">
        <v>34804</v>
      </c>
      <c r="H161" s="6" t="n">
        <f>SUM(F161,G161)/2</f>
        <v>29351</v>
      </c>
    </row>
    <row r="162" s="18" customFormat="1" ht="14.399999999999999" customHeight="1">
      <c r="A162" s="10" t="s">
        <v>3787</v>
      </c>
      <c r="B162" s="10" t="s">
        <v>3788</v>
      </c>
      <c r="C162" s="13" t="n">
        <v>40373</v>
      </c>
      <c r="D162" s="13" t="n">
        <v>64493</v>
      </c>
      <c r="E162" s="6" t="n">
        <f>SUM(C162,D162)/2</f>
        <v>52433</v>
      </c>
      <c r="F162" s="12" t="n">
        <v>14857</v>
      </c>
      <c r="G162" s="12" t="n">
        <v>23851</v>
      </c>
      <c r="H162" s="6" t="n">
        <f>SUM(F162,G162)/2</f>
        <v>19354</v>
      </c>
    </row>
    <row r="163" s="18" customFormat="1" ht="14.399999999999999" customHeight="1">
      <c r="A163" s="10" t="s">
        <v>4833</v>
      </c>
      <c r="B163" s="10" t="s">
        <v>4834</v>
      </c>
      <c r="C163" s="13" t="n">
        <v>19967</v>
      </c>
      <c r="D163" s="13" t="n">
        <v>31895</v>
      </c>
      <c r="E163" s="6" t="n">
        <f>SUM(C163,D163)/2</f>
        <v>25931</v>
      </c>
      <c r="F163" s="12" t="n">
        <v>5040</v>
      </c>
      <c r="G163" s="12" t="n">
        <v>6918</v>
      </c>
      <c r="H163" s="6" t="n">
        <f>SUM(F163,G163)/2</f>
        <v>5979</v>
      </c>
    </row>
    <row r="164" s="18" customFormat="1" ht="14.399999999999999" customHeight="1">
      <c r="A164" s="10" t="s">
        <v>4941</v>
      </c>
      <c r="B164" s="10" t="s">
        <v>4942</v>
      </c>
      <c r="C164" s="13" t="n">
        <v>16816</v>
      </c>
      <c r="D164" s="13" t="n">
        <v>26862</v>
      </c>
      <c r="E164" s="6" t="n">
        <f>SUM(C164,D164)/2</f>
        <v>21839</v>
      </c>
      <c r="F164" s="12" t="n">
        <v>5008</v>
      </c>
      <c r="G164" s="12" t="n">
        <v>6510</v>
      </c>
      <c r="H164" s="6" t="n">
        <f>SUM(F164,G164)/2</f>
        <v>5759</v>
      </c>
    </row>
    <row r="165" s="18" customFormat="1" ht="14.399999999999999" customHeight="1">
      <c r="A165" s="10" t="s">
        <v>3059</v>
      </c>
      <c r="B165" s="10" t="s">
        <v>3060</v>
      </c>
      <c r="C165" s="13" t="n">
        <v>46117</v>
      </c>
      <c r="D165" s="13" t="n">
        <v>73665</v>
      </c>
      <c r="E165" s="6" t="n">
        <f>SUM(C165,D165)/2</f>
        <v>59891</v>
      </c>
      <c r="F165" s="12" t="n">
        <v>50343</v>
      </c>
      <c r="G165" s="12" t="n">
        <v>65236</v>
      </c>
      <c r="H165" s="6" t="n">
        <f>SUM(F165,G165)/2</f>
        <v>57789.5</v>
      </c>
    </row>
    <row r="166" s="18" customFormat="1" ht="14.399999999999999" customHeight="1">
      <c r="A166" s="10" t="s">
        <v>4241</v>
      </c>
      <c r="B166" s="10" t="s">
        <v>4242</v>
      </c>
      <c r="C166" s="13" t="n">
        <v>28417</v>
      </c>
      <c r="D166" s="13" t="n">
        <v>45393</v>
      </c>
      <c r="E166" s="6" t="n">
        <f>SUM(C166,D166)/2</f>
        <v>36905</v>
      </c>
      <c r="F166" s="12" t="n">
        <v>9643</v>
      </c>
      <c r="G166" s="12" t="n">
        <v>13655</v>
      </c>
      <c r="H166" s="6" t="n">
        <f>SUM(F166,G166)/2</f>
        <v>11649</v>
      </c>
    </row>
    <row r="167" s="18" customFormat="1" ht="14.399999999999999" customHeight="1">
      <c r="A167" s="10" t="s">
        <v>5350</v>
      </c>
      <c r="B167" s="10" t="s">
        <v>5351</v>
      </c>
      <c r="C167" s="13" t="n">
        <v>216176</v>
      </c>
      <c r="D167" s="13" t="n">
        <v>345320</v>
      </c>
      <c r="E167" s="6" t="n">
        <f>SUM(C167,D167)/2</f>
        <v>280748</v>
      </c>
      <c r="F167" s="12" t="n">
        <v>88603</v>
      </c>
      <c r="G167" s="12" t="n">
        <v>127079</v>
      </c>
      <c r="H167" s="6" t="n">
        <f>SUM(F167,G167)/2</f>
        <v>107841</v>
      </c>
    </row>
    <row r="168" s="18" customFormat="1" ht="14.399999999999999" customHeight="1">
      <c r="A168" s="10" t="s">
        <v>5591</v>
      </c>
      <c r="B168" s="10" t="s">
        <v>5592</v>
      </c>
      <c r="C168" s="13" t="n">
        <v>14098</v>
      </c>
      <c r="D168" s="13" t="n">
        <v>22520</v>
      </c>
      <c r="E168" s="6" t="n">
        <f>SUM(C168,D168)/2</f>
        <v>18309</v>
      </c>
      <c r="F168" s="12" t="n">
        <v>4750</v>
      </c>
      <c r="G168" s="12" t="n">
        <v>7530</v>
      </c>
      <c r="H168" s="6" t="n">
        <f>SUM(F168,G168)/2</f>
        <v>6140</v>
      </c>
    </row>
    <row r="169" s="18" customFormat="1" ht="14.399999999999999" customHeight="1">
      <c r="A169" s="10" t="s">
        <v>4189</v>
      </c>
      <c r="B169" s="10" t="s">
        <v>4190</v>
      </c>
      <c r="C169" s="13" t="n">
        <v>32919</v>
      </c>
      <c r="D169" s="13" t="n">
        <v>52583</v>
      </c>
      <c r="E169" s="6" t="n">
        <f>SUM(C169,D169)/2</f>
        <v>42751</v>
      </c>
      <c r="F169" s="12" t="n">
        <v>10000</v>
      </c>
      <c r="G169" s="12" t="n">
        <v>12479</v>
      </c>
      <c r="H169" s="6" t="n">
        <f>SUM(F169,G169)/2</f>
        <v>11239.5</v>
      </c>
    </row>
    <row r="170" s="18" customFormat="1" ht="14.399999999999999" customHeight="1">
      <c r="A170" s="10" t="s">
        <v>770</v>
      </c>
      <c r="B170" s="10" t="s">
        <v>771</v>
      </c>
      <c r="C170" s="13" t="n">
        <v>1915481</v>
      </c>
      <c r="D170" s="13" t="n">
        <v>3059793</v>
      </c>
      <c r="E170" s="6" t="n">
        <f>SUM(C170,D170)/2</f>
        <v>2487637</v>
      </c>
      <c r="F170" s="12" t="n">
        <v>114955</v>
      </c>
      <c r="G170" s="12" t="n">
        <v>260024</v>
      </c>
      <c r="H170" s="6" t="n">
        <f>SUM(F170,G170)/2</f>
        <v>187489.5</v>
      </c>
    </row>
    <row r="171" s="18" customFormat="1" ht="14.399999999999999" customHeight="1">
      <c r="A171" s="10" t="s">
        <v>3585</v>
      </c>
      <c r="B171" s="10" t="s">
        <v>3586</v>
      </c>
      <c r="C171" s="13" t="n">
        <v>104828</v>
      </c>
      <c r="D171" s="13" t="n">
        <v>167454</v>
      </c>
      <c r="E171" s="6" t="n">
        <f>SUM(C171,D171)/2</f>
        <v>136141</v>
      </c>
      <c r="F171" s="12" t="n">
        <v>8034</v>
      </c>
      <c r="G171" s="12" t="n">
        <v>11048</v>
      </c>
      <c r="H171" s="6" t="n">
        <f>SUM(F171,G171)/2</f>
        <v>9541</v>
      </c>
    </row>
    <row r="172" s="18" customFormat="1" ht="14.399999999999999" customHeight="1">
      <c r="A172" s="10" t="s">
        <v>1242</v>
      </c>
      <c r="B172" s="10" t="s">
        <v>1243</v>
      </c>
      <c r="C172" s="13" t="n">
        <v>37409</v>
      </c>
      <c r="D172" s="13" t="n">
        <v>59757</v>
      </c>
      <c r="E172" s="6" t="n">
        <f>SUM(C172,D172)/2</f>
        <v>48583</v>
      </c>
      <c r="F172" s="12" t="n">
        <v>61755</v>
      </c>
      <c r="G172" s="12" t="n">
        <v>89038</v>
      </c>
      <c r="H172" s="6" t="n">
        <f>SUM(F172,G172)/2</f>
        <v>75396.5</v>
      </c>
    </row>
    <row r="173" s="18" customFormat="1" ht="14.399999999999999" customHeight="1">
      <c r="A173" s="10" t="s">
        <v>5593</v>
      </c>
      <c r="B173" s="10" t="s">
        <v>5594</v>
      </c>
      <c r="C173" s="13" t="n">
        <v>12637</v>
      </c>
      <c r="D173" s="13" t="n">
        <v>20187</v>
      </c>
      <c r="E173" s="6" t="n">
        <f>SUM(C173,D173)/2</f>
        <v>16412</v>
      </c>
      <c r="F173" s="12" t="n">
        <v>6049</v>
      </c>
      <c r="G173" s="12" t="n">
        <v>7964</v>
      </c>
      <c r="H173" s="6" t="n">
        <f>SUM(F173,G173)/2</f>
        <v>7006.5</v>
      </c>
    </row>
    <row r="174" s="18" customFormat="1" ht="14.399999999999999" customHeight="1">
      <c r="A174" s="10" t="s">
        <v>5015</v>
      </c>
      <c r="B174" s="10" t="s">
        <v>5016</v>
      </c>
      <c r="C174" s="13" t="n">
        <v>7638</v>
      </c>
      <c r="D174" s="13" t="n">
        <v>12202</v>
      </c>
      <c r="E174" s="6" t="n">
        <f>SUM(C174,D174)/2</f>
        <v>9920</v>
      </c>
      <c r="F174" s="12" t="n">
        <v>6111</v>
      </c>
      <c r="G174" s="12" t="n">
        <v>8707</v>
      </c>
      <c r="H174" s="6" t="n">
        <f>SUM(F174,G174)/2</f>
        <v>7409</v>
      </c>
    </row>
    <row r="175" s="18" customFormat="1" ht="14.399999999999999" customHeight="1">
      <c r="A175" s="10" t="s">
        <v>3097</v>
      </c>
      <c r="B175" s="10" t="s">
        <v>3098</v>
      </c>
      <c r="C175" s="13" t="n">
        <v>109082</v>
      </c>
      <c r="D175" s="13" t="n">
        <v>174248</v>
      </c>
      <c r="E175" s="6" t="n">
        <f>SUM(C175,D175)/2</f>
        <v>141665</v>
      </c>
      <c r="F175" s="12" t="n">
        <v>144912</v>
      </c>
      <c r="G175" s="12" t="n">
        <v>224581</v>
      </c>
      <c r="H175" s="6" t="n">
        <f>SUM(F175,G175)/2</f>
        <v>184746.5</v>
      </c>
    </row>
    <row r="176" s="18" customFormat="1" ht="14.399999999999999" customHeight="1">
      <c r="A176" s="10" t="s">
        <v>4827</v>
      </c>
      <c r="B176" s="10" t="s">
        <v>4828</v>
      </c>
      <c r="C176" s="13" t="n">
        <v>10663</v>
      </c>
      <c r="D176" s="13" t="n">
        <v>17033</v>
      </c>
      <c r="E176" s="6" t="n">
        <f>SUM(C176,D176)/2</f>
        <v>13848</v>
      </c>
      <c r="F176" s="12" t="n">
        <v>7064</v>
      </c>
      <c r="G176" s="12" t="n">
        <v>10116</v>
      </c>
      <c r="H176" s="6" t="n">
        <f>SUM(F176,G176)/2</f>
        <v>8590</v>
      </c>
    </row>
    <row r="177" s="18" customFormat="1" ht="14.399999999999999" customHeight="1">
      <c r="A177" s="10" t="s">
        <v>622</v>
      </c>
      <c r="B177" s="10" t="s">
        <v>623</v>
      </c>
      <c r="C177" s="10" t="n">
        <v>624</v>
      </c>
      <c r="D177" s="10" t="n">
        <v>996</v>
      </c>
      <c r="E177" s="6" t="n">
        <f>SUM(C177,D177)/2</f>
        <v>810</v>
      </c>
      <c r="F177" s="18" t="n">
        <v>306</v>
      </c>
      <c r="G177" s="18" t="n">
        <v>426</v>
      </c>
      <c r="H177" s="6" t="n">
        <f>SUM(F177,G177)/2</f>
        <v>366</v>
      </c>
    </row>
    <row r="178" s="18" customFormat="1" ht="14.399999999999999" customHeight="1">
      <c r="A178" s="10" t="s">
        <v>4045</v>
      </c>
      <c r="B178" s="10" t="s">
        <v>4046</v>
      </c>
      <c r="C178" s="13" t="n">
        <v>34469</v>
      </c>
      <c r="D178" s="13" t="n">
        <v>55062</v>
      </c>
      <c r="E178" s="6" t="n">
        <f>SUM(C178,D178)/2</f>
        <v>44765.5</v>
      </c>
      <c r="F178" s="12" t="n">
        <v>12521</v>
      </c>
      <c r="G178" s="12" t="n">
        <v>16535</v>
      </c>
      <c r="H178" s="6" t="n">
        <f>SUM(F178,G178)/2</f>
        <v>14528</v>
      </c>
    </row>
    <row r="179" s="18" customFormat="1" ht="14.399999999999999" customHeight="1">
      <c r="A179" s="10" t="s">
        <v>4267</v>
      </c>
      <c r="B179" s="10" t="s">
        <v>4268</v>
      </c>
      <c r="C179" s="13" t="n">
        <v>40624</v>
      </c>
      <c r="D179" s="13" t="n">
        <v>64894</v>
      </c>
      <c r="E179" s="6" t="n">
        <f>SUM(C179,D179)/2</f>
        <v>52759</v>
      </c>
      <c r="F179" s="12" t="n">
        <v>6008</v>
      </c>
      <c r="G179" s="12" t="n">
        <v>9501</v>
      </c>
      <c r="H179" s="6" t="n">
        <f>SUM(F179,G179)/2</f>
        <v>7754.5</v>
      </c>
    </row>
    <row r="180" s="18" customFormat="1" ht="14.399999999999999" customHeight="1">
      <c r="A180" s="10" t="s">
        <v>254</v>
      </c>
      <c r="B180" s="10" t="s">
        <v>255</v>
      </c>
      <c r="C180" s="13" t="n">
        <v>7986</v>
      </c>
      <c r="D180" s="13" t="n">
        <v>12754</v>
      </c>
      <c r="E180" s="6" t="n">
        <f>SUM(C180,D180)/2</f>
        <v>10370</v>
      </c>
      <c r="F180" s="18" t="n">
        <v>3715</v>
      </c>
      <c r="G180" s="18" t="n">
        <v>5541</v>
      </c>
      <c r="H180" s="6" t="n">
        <f>SUM(F180,G180)/2</f>
        <v>4628</v>
      </c>
    </row>
    <row r="181" s="18" customFormat="1" ht="14.399999999999999" customHeight="1">
      <c r="A181" s="10" t="s">
        <v>5595</v>
      </c>
      <c r="B181" s="10" t="s">
        <v>5596</v>
      </c>
      <c r="C181" s="13" t="n">
        <v>124800</v>
      </c>
      <c r="D181" s="13" t="n">
        <v>199356</v>
      </c>
      <c r="E181" s="6" t="n">
        <f>SUM(C181,D181)/2</f>
        <v>162078</v>
      </c>
      <c r="F181" s="12" t="n">
        <v>43550</v>
      </c>
      <c r="G181" s="12" t="n">
        <v>54087</v>
      </c>
      <c r="H181" s="6" t="n">
        <f>SUM(F181,G181)/2</f>
        <v>48818.5</v>
      </c>
    </row>
    <row r="182" s="18" customFormat="1" ht="14.399999999999999" customHeight="1">
      <c r="A182" s="10" t="s">
        <v>2596</v>
      </c>
      <c r="B182" s="10" t="s">
        <v>2597</v>
      </c>
      <c r="C182" s="10" t="n">
        <v>2</v>
      </c>
      <c r="D182" s="10" t="n">
        <v>2</v>
      </c>
      <c r="E182" s="6" t="n">
        <f>SUM(C182,D182)/2</f>
        <v>2</v>
      </c>
      <c r="F182" s="18" t="n">
        <v>1</v>
      </c>
      <c r="G182" s="18" t="n">
        <v>2</v>
      </c>
      <c r="H182" s="6" t="n">
        <f>SUM(F182,G182)/2</f>
        <v>1.5</v>
      </c>
    </row>
    <row r="183" s="18" customFormat="1" ht="14.399999999999999" customHeight="1">
      <c r="A183" s="10" t="s">
        <v>3143</v>
      </c>
      <c r="B183" s="10" t="s">
        <v>3144</v>
      </c>
      <c r="C183" s="13" t="n">
        <v>212829</v>
      </c>
      <c r="D183" s="13" t="n">
        <v>339975</v>
      </c>
      <c r="E183" s="6" t="n">
        <f>SUM(C183,D183)/2</f>
        <v>276402</v>
      </c>
      <c r="F183" s="12" t="n">
        <v>32281</v>
      </c>
      <c r="G183" s="12" t="n">
        <v>45005</v>
      </c>
      <c r="H183" s="6" t="n">
        <f>SUM(F183,G183)/2</f>
        <v>38643</v>
      </c>
    </row>
    <row r="184" s="18" customFormat="1" ht="14.399999999999999" customHeight="1">
      <c r="A184" s="10" t="s">
        <v>4269</v>
      </c>
      <c r="B184" s="10" t="s">
        <v>4270</v>
      </c>
      <c r="C184" s="13" t="n">
        <v>48849</v>
      </c>
      <c r="D184" s="13" t="n">
        <v>78031</v>
      </c>
      <c r="E184" s="6" t="n">
        <f>SUM(C184,D184)/2</f>
        <v>63440</v>
      </c>
      <c r="F184" s="12" t="n">
        <v>4281</v>
      </c>
      <c r="G184" s="12" t="n">
        <v>6680</v>
      </c>
      <c r="H184" s="6" t="n">
        <f>SUM(F184,G184)/2</f>
        <v>5480.5</v>
      </c>
    </row>
    <row r="185" s="18" customFormat="1" ht="14.399999999999999" customHeight="1">
      <c r="A185" s="10" t="s">
        <v>422</v>
      </c>
      <c r="B185" s="10" t="s">
        <v>423</v>
      </c>
      <c r="C185" s="10" t="n">
        <v>878</v>
      </c>
      <c r="D185" s="13" t="n">
        <v>1402</v>
      </c>
      <c r="E185" s="6" t="n">
        <f>SUM(C185,D185)/2</f>
        <v>1140</v>
      </c>
      <c r="F185" s="18" t="n">
        <v>228</v>
      </c>
      <c r="G185" s="18" t="n">
        <v>379</v>
      </c>
      <c r="H185" s="6" t="n">
        <f>SUM(F185,G185)/2</f>
        <v>303.5</v>
      </c>
    </row>
    <row r="186" s="18" customFormat="1" ht="14.399999999999999" customHeight="1">
      <c r="A186" s="10" t="s">
        <v>5597</v>
      </c>
      <c r="B186" s="10" t="s">
        <v>5598</v>
      </c>
      <c r="C186" s="10" t="n">
        <v>20</v>
      </c>
      <c r="D186" s="10" t="n">
        <v>30</v>
      </c>
      <c r="E186" s="6" t="n">
        <f>SUM(C186,D186)/2</f>
        <v>25</v>
      </c>
      <c r="F186" s="18" t="n">
        <v>3</v>
      </c>
      <c r="G186" s="18" t="n">
        <v>4</v>
      </c>
      <c r="H186" s="6" t="n">
        <f>SUM(F186,G186)/2</f>
        <v>3.5</v>
      </c>
    </row>
    <row r="187" s="18" customFormat="1" ht="14.399999999999999" customHeight="1">
      <c r="A187" s="10" t="s">
        <v>2538</v>
      </c>
      <c r="B187" s="10" t="s">
        <v>2539</v>
      </c>
      <c r="C187" s="13" t="n">
        <v>197634</v>
      </c>
      <c r="D187" s="13" t="n">
        <v>315700</v>
      </c>
      <c r="E187" s="6" t="n">
        <f>SUM(C187,D187)/2</f>
        <v>256667</v>
      </c>
      <c r="F187" s="12" t="n">
        <v>74316</v>
      </c>
      <c r="G187" s="12" t="n">
        <v>108298</v>
      </c>
      <c r="H187" s="6" t="n">
        <f>SUM(F187,G187)/2</f>
        <v>91307</v>
      </c>
    </row>
    <row r="188" s="18" customFormat="1" ht="14.399999999999999" customHeight="1">
      <c r="A188" s="10" t="s">
        <v>5599</v>
      </c>
      <c r="B188" s="10" t="s">
        <v>5600</v>
      </c>
      <c r="C188" s="13" t="n">
        <v>1047</v>
      </c>
      <c r="D188" s="13" t="n">
        <v>1671</v>
      </c>
      <c r="E188" s="6" t="n">
        <f>SUM(C188,D188)/2</f>
        <v>1359</v>
      </c>
      <c r="F188" s="12" t="n">
        <v>1305</v>
      </c>
      <c r="G188" s="12" t="n">
        <v>1944</v>
      </c>
      <c r="H188" s="6" t="n">
        <f>SUM(F188,G188)/2</f>
        <v>1624.5</v>
      </c>
    </row>
    <row r="189" s="18" customFormat="1" ht="14.399999999999999" customHeight="1">
      <c r="A189" s="10" t="s">
        <v>5601</v>
      </c>
      <c r="B189" s="10" t="s">
        <v>5602</v>
      </c>
      <c r="C189" s="13" t="n">
        <v>12583</v>
      </c>
      <c r="D189" s="13" t="n">
        <v>20099</v>
      </c>
      <c r="E189" s="6" t="n">
        <f>SUM(C189,D189)/2</f>
        <v>16341</v>
      </c>
      <c r="F189" s="12" t="n">
        <v>6875</v>
      </c>
      <c r="G189" s="12" t="n">
        <v>8085</v>
      </c>
      <c r="H189" s="6" t="n">
        <f>SUM(F189,G189)/2</f>
        <v>7480</v>
      </c>
    </row>
    <row r="190" s="18" customFormat="1" ht="14.399999999999999" customHeight="1">
      <c r="A190" s="10" t="s">
        <v>2783</v>
      </c>
      <c r="B190" s="10" t="s">
        <v>2784</v>
      </c>
      <c r="C190" s="10" t="n">
        <v>1</v>
      </c>
      <c r="D190" s="10" t="n">
        <v>1</v>
      </c>
      <c r="E190" s="6" t="n">
        <f>SUM(C190,D190)/2</f>
        <v>1</v>
      </c>
      <c r="F190" s="18" t="n">
        <v>0</v>
      </c>
      <c r="G190" s="18" t="n">
        <v>0</v>
      </c>
      <c r="H190" s="6" t="n">
        <f>SUM(F190,G190)/2</f>
        <v>0</v>
      </c>
    </row>
    <row r="191" s="18" customFormat="1" ht="14.399999999999999" customHeight="1">
      <c r="A191" s="10" t="s">
        <v>1986</v>
      </c>
      <c r="B191" s="10" t="s">
        <v>1987</v>
      </c>
      <c r="C191" s="13" t="n">
        <v>301090</v>
      </c>
      <c r="D191" s="13" t="n">
        <v>480964</v>
      </c>
      <c r="E191" s="6" t="n">
        <f>SUM(C191,D191)/2</f>
        <v>391027</v>
      </c>
      <c r="F191" s="12" t="n">
        <v>15724</v>
      </c>
      <c r="G191" s="12" t="n">
        <v>58084</v>
      </c>
      <c r="H191" s="6" t="n">
        <f>SUM(F191,G191)/2</f>
        <v>36904</v>
      </c>
    </row>
    <row r="192" s="18" customFormat="1" ht="14.399999999999999" customHeight="1">
      <c r="A192" s="10" t="s">
        <v>1671</v>
      </c>
      <c r="B192" s="10" t="s">
        <v>1672</v>
      </c>
      <c r="C192" s="10" t="n">
        <v>11</v>
      </c>
      <c r="D192" s="10" t="n">
        <v>19</v>
      </c>
      <c r="E192" s="6" t="n">
        <f>SUM(C192,D192)/2</f>
        <v>15</v>
      </c>
      <c r="F192" s="18" t="n">
        <v>11</v>
      </c>
      <c r="G192" s="18" t="n">
        <v>61</v>
      </c>
      <c r="H192" s="6" t="n">
        <f>SUM(F192,G192)/2</f>
        <v>36</v>
      </c>
    </row>
    <row r="193" s="18" customFormat="1" ht="14.399999999999999" customHeight="1">
      <c r="A193" s="10" t="s">
        <v>1328</v>
      </c>
      <c r="B193" s="10" t="s">
        <v>1329</v>
      </c>
      <c r="C193" s="10" t="n">
        <v>242</v>
      </c>
      <c r="D193" s="10" t="n">
        <v>388</v>
      </c>
      <c r="E193" s="6" t="n">
        <f>SUM(C193,D193)/2</f>
        <v>315</v>
      </c>
      <c r="F193" s="18" t="n">
        <v>22</v>
      </c>
      <c r="G193" s="18" t="n">
        <v>31</v>
      </c>
      <c r="H193" s="6" t="n">
        <f>SUM(F193,G193)/2</f>
        <v>26.5</v>
      </c>
    </row>
    <row r="194" s="18" customFormat="1" ht="14.399999999999999" customHeight="1">
      <c r="A194" s="10" t="s">
        <v>5603</v>
      </c>
      <c r="B194" s="10" t="s">
        <v>5604</v>
      </c>
      <c r="C194" s="13" t="n">
        <v>155139</v>
      </c>
      <c r="D194" s="13" t="n">
        <v>247817</v>
      </c>
      <c r="E194" s="6" t="n">
        <f>SUM(C194,D194)/2</f>
        <v>201478</v>
      </c>
      <c r="F194" s="12" t="n">
        <v>27198</v>
      </c>
      <c r="G194" s="12" t="n">
        <v>38635</v>
      </c>
      <c r="H194" s="6" t="n">
        <f>SUM(F194,G194)/2</f>
        <v>32916.5</v>
      </c>
    </row>
    <row r="195" s="18" customFormat="1" ht="14.399999999999999" customHeight="1">
      <c r="A195" s="10" t="s">
        <v>3479</v>
      </c>
      <c r="B195" s="10" t="s">
        <v>3480</v>
      </c>
      <c r="C195" s="13" t="n">
        <v>72481</v>
      </c>
      <c r="D195" s="13" t="n">
        <v>115781</v>
      </c>
      <c r="E195" s="6" t="n">
        <f>SUM(C195,D195)/2</f>
        <v>94131</v>
      </c>
      <c r="F195" s="12" t="n">
        <v>19165</v>
      </c>
      <c r="G195" s="12" t="n">
        <v>27791</v>
      </c>
      <c r="H195" s="6" t="n">
        <f>SUM(F195,G195)/2</f>
        <v>23478</v>
      </c>
    </row>
    <row r="196" s="18" customFormat="1" ht="14.399999999999999" customHeight="1">
      <c r="A196" s="10" t="s">
        <v>1719</v>
      </c>
      <c r="B196" s="10" t="s">
        <v>1720</v>
      </c>
      <c r="C196" s="10" t="n">
        <v>108</v>
      </c>
      <c r="D196" s="10" t="n">
        <v>174</v>
      </c>
      <c r="E196" s="6" t="n">
        <f>SUM(C196,D196)/2</f>
        <v>141</v>
      </c>
      <c r="F196" s="18" t="n">
        <v>1</v>
      </c>
      <c r="G196" s="18" t="n">
        <v>1</v>
      </c>
      <c r="H196" s="6" t="n">
        <f>SUM(F196,G196)/2</f>
        <v>1</v>
      </c>
    </row>
    <row r="197" s="18" customFormat="1" ht="14.399999999999999" customHeight="1">
      <c r="A197" s="10" t="s">
        <v>5605</v>
      </c>
      <c r="B197" s="10" t="s">
        <v>5606</v>
      </c>
      <c r="C197" s="13" t="n">
        <v>16864</v>
      </c>
      <c r="D197" s="13" t="n">
        <v>26938</v>
      </c>
      <c r="E197" s="6" t="n">
        <f>SUM(C197,D197)/2</f>
        <v>21901</v>
      </c>
      <c r="F197" s="12" t="n">
        <v>5629</v>
      </c>
      <c r="G197" s="12" t="n">
        <v>8476</v>
      </c>
      <c r="H197" s="6" t="n">
        <f>SUM(F197,G197)/2</f>
        <v>7052.5</v>
      </c>
    </row>
    <row r="198" s="18" customFormat="1" ht="14.399999999999999" customHeight="1">
      <c r="A198" s="10" t="s">
        <v>5607</v>
      </c>
      <c r="B198" s="10" t="s">
        <v>5608</v>
      </c>
      <c r="C198" s="13" t="n">
        <v>10748</v>
      </c>
      <c r="D198" s="13" t="n">
        <v>17170</v>
      </c>
      <c r="E198" s="6" t="n">
        <f>SUM(C198,D198)/2</f>
        <v>13959</v>
      </c>
      <c r="F198" s="12" t="n">
        <v>4032</v>
      </c>
      <c r="G198" s="12" t="n">
        <v>5344</v>
      </c>
      <c r="H198" s="6" t="n">
        <f>SUM(F198,G198)/2</f>
        <v>4688</v>
      </c>
    </row>
    <row r="199" s="18" customFormat="1" ht="14.399999999999999" customHeight="1">
      <c r="A199" s="10" t="s">
        <v>5609</v>
      </c>
      <c r="B199" s="10" t="s">
        <v>5610</v>
      </c>
      <c r="C199" s="10" t="n">
        <v>20</v>
      </c>
      <c r="D199" s="10" t="n">
        <v>34</v>
      </c>
      <c r="E199" s="6" t="n">
        <f>SUM(C199,D199)/2</f>
        <v>27</v>
      </c>
      <c r="F199" s="18" t="n">
        <v>4</v>
      </c>
      <c r="G199" s="18" t="n">
        <v>6</v>
      </c>
      <c r="H199" s="6" t="n">
        <f>SUM(F199,G199)/2</f>
        <v>5</v>
      </c>
    </row>
    <row r="200" s="18" customFormat="1" ht="14.399999999999999" customHeight="1">
      <c r="A200" s="10" t="s">
        <v>5611</v>
      </c>
      <c r="B200" s="10" t="s">
        <v>5612</v>
      </c>
      <c r="C200" s="13" t="n">
        <v>18858</v>
      </c>
      <c r="D200" s="13" t="n">
        <v>30120</v>
      </c>
      <c r="E200" s="6" t="n">
        <f>SUM(C200,D200)/2</f>
        <v>24489</v>
      </c>
      <c r="F200" s="12" t="n">
        <v>12625</v>
      </c>
      <c r="G200" s="12" t="n">
        <v>19219</v>
      </c>
      <c r="H200" s="6" t="n">
        <f>SUM(F200,G200)/2</f>
        <v>15922</v>
      </c>
    </row>
    <row r="201" s="18" customFormat="1" ht="14.399999999999999" customHeight="1">
      <c r="A201" s="10" t="s">
        <v>5613</v>
      </c>
      <c r="B201" s="10" t="s">
        <v>5614</v>
      </c>
      <c r="C201" s="10" t="n">
        <v>0</v>
      </c>
      <c r="D201" s="10" t="n">
        <v>0</v>
      </c>
      <c r="E201" s="6" t="n">
        <f>SUM(C201,D201)/2</f>
        <v>0</v>
      </c>
      <c r="F201" s="18" t="n">
        <v>0</v>
      </c>
      <c r="G201" s="18" t="n">
        <v>0</v>
      </c>
      <c r="H201" s="6" t="n">
        <f>SUM(F201,G201)/2</f>
        <v>0</v>
      </c>
    </row>
    <row r="202" s="18" customFormat="1" ht="14.399999999999999" customHeight="1">
      <c r="A202" s="10" t="s">
        <v>1595</v>
      </c>
      <c r="B202" s="10" t="s">
        <v>1596</v>
      </c>
      <c r="C202" s="10" t="n">
        <v>27</v>
      </c>
      <c r="D202" s="10" t="n">
        <v>43</v>
      </c>
      <c r="E202" s="6" t="n">
        <f>SUM(C202,D202)/2</f>
        <v>35</v>
      </c>
      <c r="F202" s="18" t="n">
        <v>3</v>
      </c>
      <c r="G202" s="18" t="n">
        <v>3</v>
      </c>
      <c r="H202" s="6" t="n">
        <f>SUM(F202,G202)/2</f>
        <v>3</v>
      </c>
    </row>
    <row r="203" s="18" customFormat="1" ht="14.399999999999999" customHeight="1">
      <c r="A203" s="10" t="s">
        <v>2162</v>
      </c>
      <c r="B203" s="10" t="s">
        <v>2163</v>
      </c>
      <c r="C203" s="13" t="n">
        <v>132413</v>
      </c>
      <c r="D203" s="13" t="n">
        <v>211515</v>
      </c>
      <c r="E203" s="6" t="n">
        <f>SUM(C203,D203)/2</f>
        <v>171964</v>
      </c>
      <c r="F203" s="12" t="n">
        <v>57645</v>
      </c>
      <c r="G203" s="12" t="n">
        <v>81670</v>
      </c>
      <c r="H203" s="6" t="n">
        <f>SUM(F203,G203)/2</f>
        <v>69657.5</v>
      </c>
    </row>
    <row r="204" s="18" customFormat="1" ht="14.399999999999999" customHeight="1">
      <c r="A204" s="10" t="s">
        <v>4479</v>
      </c>
      <c r="B204" s="10" t="s">
        <v>4480</v>
      </c>
      <c r="C204" s="13" t="n">
        <v>20225</v>
      </c>
      <c r="D204" s="13" t="n">
        <v>32309</v>
      </c>
      <c r="E204" s="6" t="n">
        <f>SUM(C204,D204)/2</f>
        <v>26267</v>
      </c>
      <c r="F204" s="12" t="n">
        <v>8642</v>
      </c>
      <c r="G204" s="12" t="n">
        <v>11622</v>
      </c>
      <c r="H204" s="6" t="n">
        <f>SUM(F204,G204)/2</f>
        <v>10132</v>
      </c>
    </row>
    <row r="205" s="18" customFormat="1" ht="14.399999999999999" customHeight="1">
      <c r="A205" s="10" t="s">
        <v>2755</v>
      </c>
      <c r="B205" s="10" t="s">
        <v>2756</v>
      </c>
      <c r="C205" s="10" t="n">
        <v>2</v>
      </c>
      <c r="D205" s="10" t="n">
        <v>2</v>
      </c>
      <c r="E205" s="6" t="n">
        <f>SUM(C205,D205)/2</f>
        <v>2</v>
      </c>
      <c r="F205" s="18" t="n">
        <v>0</v>
      </c>
      <c r="G205" s="18" t="n">
        <v>0</v>
      </c>
      <c r="H205" s="6" t="n">
        <f>SUM(F205,G205)/2</f>
        <v>0</v>
      </c>
    </row>
    <row r="206" s="18" customFormat="1" ht="14.399999999999999" customHeight="1">
      <c r="A206" s="10" t="s">
        <v>5615</v>
      </c>
      <c r="B206" s="10" t="s">
        <v>5616</v>
      </c>
      <c r="C206" s="13" t="n">
        <v>9958</v>
      </c>
      <c r="D206" s="13" t="n">
        <v>15906</v>
      </c>
      <c r="E206" s="6" t="n">
        <f>SUM(C206,D206)/2</f>
        <v>12932</v>
      </c>
      <c r="F206" s="12" t="n">
        <v>9616</v>
      </c>
      <c r="G206" s="12" t="n">
        <v>13372</v>
      </c>
      <c r="H206" s="6" t="n">
        <f>SUM(F206,G206)/2</f>
        <v>11494</v>
      </c>
    </row>
    <row r="207" s="18" customFormat="1" ht="14.399999999999999" customHeight="1">
      <c r="A207" s="10" t="s">
        <v>5617</v>
      </c>
      <c r="B207" s="10" t="s">
        <v>5618</v>
      </c>
      <c r="C207" s="10" t="n">
        <v>413</v>
      </c>
      <c r="D207" s="10" t="n">
        <v>659</v>
      </c>
      <c r="E207" s="6" t="n">
        <f>SUM(C207,D207)/2</f>
        <v>536</v>
      </c>
      <c r="F207" s="18" t="n">
        <v>223</v>
      </c>
      <c r="G207" s="18" t="n">
        <v>316</v>
      </c>
      <c r="H207" s="6" t="n">
        <f>SUM(F207,G207)/2</f>
        <v>269.5</v>
      </c>
    </row>
    <row r="208" s="18" customFormat="1" ht="14.399999999999999" customHeight="1">
      <c r="A208" s="10" t="s">
        <v>5619</v>
      </c>
      <c r="B208" s="10" t="s">
        <v>5620</v>
      </c>
      <c r="C208" s="13" t="n">
        <v>43593</v>
      </c>
      <c r="D208" s="13" t="n">
        <v>69633</v>
      </c>
      <c r="E208" s="6" t="n">
        <f>SUM(C208,D208)/2</f>
        <v>56613</v>
      </c>
      <c r="F208" s="12" t="n">
        <v>50544</v>
      </c>
      <c r="G208" s="12" t="n">
        <v>59371</v>
      </c>
      <c r="H208" s="6" t="n">
        <f>SUM(F208,G208)/2</f>
        <v>54957.5</v>
      </c>
    </row>
    <row r="209" s="18" customFormat="1" ht="14.399999999999999" customHeight="1">
      <c r="A209" s="10" t="s">
        <v>5621</v>
      </c>
      <c r="B209" s="10" t="s">
        <v>5622</v>
      </c>
      <c r="C209" s="10" t="n">
        <v>5</v>
      </c>
      <c r="D209" s="10" t="n">
        <v>7</v>
      </c>
      <c r="E209" s="6" t="n">
        <f>SUM(C209,D209)/2</f>
        <v>6</v>
      </c>
      <c r="F209" s="18" t="n">
        <v>2</v>
      </c>
      <c r="G209" s="18" t="n">
        <v>3</v>
      </c>
      <c r="H209" s="6" t="n">
        <f>SUM(F209,G209)/2</f>
        <v>2.5</v>
      </c>
    </row>
    <row r="210" s="18" customFormat="1" ht="14.399999999999999" customHeight="1">
      <c r="A210" s="10" t="s">
        <v>4291</v>
      </c>
      <c r="B210" s="10" t="s">
        <v>4292</v>
      </c>
      <c r="C210" s="13" t="n">
        <v>40308</v>
      </c>
      <c r="D210" s="13" t="n">
        <v>64388</v>
      </c>
      <c r="E210" s="6" t="n">
        <f>SUM(C210,D210)/2</f>
        <v>52348</v>
      </c>
      <c r="F210" s="12" t="n">
        <v>6042</v>
      </c>
      <c r="G210" s="12" t="n">
        <v>8875</v>
      </c>
      <c r="H210" s="6" t="n">
        <f>SUM(F210,G210)/2</f>
        <v>7458.5</v>
      </c>
    </row>
    <row r="211" s="18" customFormat="1" ht="14.399999999999999" customHeight="1">
      <c r="A211" s="10" t="s">
        <v>2674</v>
      </c>
      <c r="B211" s="10" t="s">
        <v>2675</v>
      </c>
      <c r="C211" s="10" t="n">
        <v>0</v>
      </c>
      <c r="D211" s="10" t="n">
        <v>0</v>
      </c>
      <c r="E211" s="6" t="n">
        <f>SUM(C211,D211)/2</f>
        <v>0</v>
      </c>
      <c r="F211" s="18" t="n">
        <v>1</v>
      </c>
      <c r="G211" s="18" t="n">
        <v>1</v>
      </c>
      <c r="H211" s="6" t="n">
        <f>SUM(F211,G211)/2</f>
        <v>1</v>
      </c>
    </row>
    <row r="212" s="18" customFormat="1" ht="14.399999999999999" customHeight="1">
      <c r="A212" s="10" t="s">
        <v>5623</v>
      </c>
      <c r="B212" s="10" t="s">
        <v>5624</v>
      </c>
      <c r="C212" s="13" t="n">
        <v>13055</v>
      </c>
      <c r="D212" s="13" t="n">
        <v>20854</v>
      </c>
      <c r="E212" s="6" t="n">
        <f>SUM(C212,D212)/2</f>
        <v>16954.5</v>
      </c>
      <c r="F212" s="12" t="n">
        <v>4478</v>
      </c>
      <c r="G212" s="12" t="n">
        <v>6631</v>
      </c>
      <c r="H212" s="6" t="n">
        <f>SUM(F212,G212)/2</f>
        <v>5554.5</v>
      </c>
    </row>
    <row r="213" s="18" customFormat="1" ht="14.399999999999999" customHeight="1">
      <c r="A213" s="10" t="s">
        <v>2512</v>
      </c>
      <c r="B213" s="10" t="s">
        <v>2513</v>
      </c>
      <c r="C213" s="10" t="n">
        <v>0</v>
      </c>
      <c r="D213" s="10" t="n">
        <v>0</v>
      </c>
      <c r="E213" s="6" t="n">
        <f>SUM(C213,D213)/2</f>
        <v>0</v>
      </c>
      <c r="F213" s="18" t="n">
        <v>1</v>
      </c>
      <c r="G213" s="18" t="n">
        <v>5</v>
      </c>
      <c r="H213" s="6" t="n">
        <f>SUM(F213,G213)/2</f>
        <v>3</v>
      </c>
    </row>
    <row r="214" s="18" customFormat="1" ht="14.399999999999999" customHeight="1">
      <c r="A214" s="10" t="s">
        <v>907</v>
      </c>
      <c r="B214" s="10" t="s">
        <v>908</v>
      </c>
      <c r="C214" s="13" t="n">
        <v>354201</v>
      </c>
      <c r="D214" s="13" t="n">
        <v>565797</v>
      </c>
      <c r="E214" s="6" t="n">
        <f>SUM(C214,D214)/2</f>
        <v>459999</v>
      </c>
      <c r="F214" s="12" t="n">
        <v>230849</v>
      </c>
      <c r="G214" s="12" t="n">
        <v>316368</v>
      </c>
      <c r="H214" s="6" t="n">
        <f>SUM(F214,G214)/2</f>
        <v>273608.5</v>
      </c>
    </row>
    <row r="215" s="18" customFormat="1" ht="14.399999999999999" customHeight="1">
      <c r="A215" s="10" t="s">
        <v>5625</v>
      </c>
      <c r="B215" s="10" t="s">
        <v>5626</v>
      </c>
      <c r="C215" s="10" t="n">
        <v>318</v>
      </c>
      <c r="D215" s="10" t="n">
        <v>508</v>
      </c>
      <c r="E215" s="6" t="n">
        <f>SUM(C215,D215)/2</f>
        <v>413</v>
      </c>
      <c r="F215" s="18" t="n">
        <v>19</v>
      </c>
      <c r="G215" s="18" t="n">
        <v>28</v>
      </c>
      <c r="H215" s="6" t="n">
        <f>SUM(F215,G215)/2</f>
        <v>23.5</v>
      </c>
    </row>
    <row r="216" s="18" customFormat="1" ht="14.399999999999999" customHeight="1">
      <c r="A216" s="10" t="s">
        <v>2654</v>
      </c>
      <c r="B216" s="10" t="s">
        <v>2655</v>
      </c>
      <c r="C216" s="10" t="n">
        <v>4</v>
      </c>
      <c r="D216" s="10" t="n">
        <v>6</v>
      </c>
      <c r="E216" s="6" t="n">
        <f>SUM(C216,D216)/2</f>
        <v>5</v>
      </c>
      <c r="F216" s="18" t="n">
        <v>0</v>
      </c>
      <c r="G216" s="18" t="n">
        <v>0</v>
      </c>
      <c r="H216" s="6" t="n">
        <f>SUM(F216,G216)/2</f>
        <v>0</v>
      </c>
    </row>
    <row r="217" s="18" customFormat="1" ht="14.399999999999999" customHeight="1">
      <c r="A217" s="10" t="s">
        <v>3279</v>
      </c>
      <c r="B217" s="10" t="s">
        <v>3280</v>
      </c>
      <c r="C217" s="13" t="n">
        <v>139912</v>
      </c>
      <c r="D217" s="13" t="n">
        <v>223494</v>
      </c>
      <c r="E217" s="6" t="n">
        <f>SUM(C217,D217)/2</f>
        <v>181703</v>
      </c>
      <c r="F217" s="12" t="n">
        <v>14108</v>
      </c>
      <c r="G217" s="12" t="n">
        <v>18193</v>
      </c>
      <c r="H217" s="6" t="n">
        <f>SUM(F217,G217)/2</f>
        <v>16150.5</v>
      </c>
    </row>
    <row r="218" s="18" customFormat="1" ht="14.399999999999999" customHeight="1">
      <c r="A218" s="10" t="s">
        <v>4009</v>
      </c>
      <c r="B218" s="10" t="s">
        <v>4010</v>
      </c>
      <c r="C218" s="13" t="n">
        <v>14041</v>
      </c>
      <c r="D218" s="13" t="n">
        <v>22429</v>
      </c>
      <c r="E218" s="6" t="n">
        <f>SUM(C218,D218)/2</f>
        <v>18235</v>
      </c>
      <c r="F218" s="12" t="n">
        <v>19387</v>
      </c>
      <c r="G218" s="12" t="n">
        <v>22156</v>
      </c>
      <c r="H218" s="6" t="n">
        <f>SUM(F218,G218)/2</f>
        <v>20771.5</v>
      </c>
    </row>
    <row r="219" s="18" customFormat="1" ht="14.399999999999999" customHeight="1">
      <c r="A219" s="10" t="s">
        <v>1146</v>
      </c>
      <c r="B219" s="10" t="s">
        <v>1147</v>
      </c>
      <c r="C219" s="13" t="n">
        <v>165018</v>
      </c>
      <c r="D219" s="13" t="n">
        <v>263601</v>
      </c>
      <c r="E219" s="6" t="n">
        <f>SUM(C219,D219)/2</f>
        <v>214309.5</v>
      </c>
      <c r="F219" s="12" t="n">
        <v>94481</v>
      </c>
      <c r="G219" s="12" t="n">
        <v>119969</v>
      </c>
      <c r="H219" s="6" t="n">
        <f>SUM(F219,G219)/2</f>
        <v>107225</v>
      </c>
    </row>
    <row r="220" s="18" customFormat="1" ht="14.399999999999999" customHeight="1">
      <c r="A220" s="10" t="s">
        <v>2731</v>
      </c>
      <c r="B220" s="10" t="s">
        <v>2732</v>
      </c>
      <c r="C220" s="10" t="n">
        <v>2</v>
      </c>
      <c r="D220" s="10" t="n">
        <v>4</v>
      </c>
      <c r="E220" s="6" t="n">
        <f>SUM(C220,D220)/2</f>
        <v>3</v>
      </c>
      <c r="F220" s="18" t="n">
        <v>0</v>
      </c>
      <c r="G220" s="18" t="n">
        <v>0</v>
      </c>
      <c r="H220" s="6" t="n">
        <f>SUM(F220,G220)/2</f>
        <v>0</v>
      </c>
    </row>
    <row r="221" s="18" customFormat="1" ht="14.399999999999999" customHeight="1">
      <c r="A221" s="10" t="s">
        <v>1130</v>
      </c>
      <c r="B221" s="10" t="s">
        <v>1131</v>
      </c>
      <c r="C221" s="13" t="n">
        <v>399054</v>
      </c>
      <c r="D221" s="13" t="n">
        <v>637448</v>
      </c>
      <c r="E221" s="6" t="n">
        <f>SUM(C221,D221)/2</f>
        <v>518251</v>
      </c>
      <c r="F221" s="12" t="n">
        <v>58142</v>
      </c>
      <c r="G221" s="12" t="n">
        <v>78189</v>
      </c>
      <c r="H221" s="6" t="n">
        <f>SUM(F221,G221)/2</f>
        <v>68165.5</v>
      </c>
    </row>
    <row r="222" s="18" customFormat="1" ht="14.399999999999999" customHeight="1">
      <c r="A222" s="10" t="s">
        <v>2757</v>
      </c>
      <c r="B222" s="10" t="s">
        <v>2758</v>
      </c>
      <c r="C222" s="10" t="n">
        <v>2</v>
      </c>
      <c r="D222" s="10" t="n">
        <v>2</v>
      </c>
      <c r="E222" s="6" t="n">
        <f>SUM(C222,D222)/2</f>
        <v>2</v>
      </c>
      <c r="F222" s="18" t="n">
        <v>0</v>
      </c>
      <c r="G222" s="18" t="n">
        <v>0</v>
      </c>
      <c r="H222" s="6" t="n">
        <f>SUM(F222,G222)/2</f>
        <v>0</v>
      </c>
    </row>
    <row r="223" s="18" customFormat="1" ht="14.399999999999999" customHeight="1">
      <c r="A223" s="10" t="s">
        <v>5627</v>
      </c>
      <c r="B223" s="10" t="s">
        <v>5628</v>
      </c>
      <c r="C223" s="13" t="n">
        <v>36724</v>
      </c>
      <c r="D223" s="13" t="n">
        <v>58662</v>
      </c>
      <c r="E223" s="6" t="n">
        <f>SUM(C223,D223)/2</f>
        <v>47693</v>
      </c>
      <c r="F223" s="12" t="n">
        <v>8059</v>
      </c>
      <c r="G223" s="12" t="n">
        <v>10720</v>
      </c>
      <c r="H223" s="6" t="n">
        <f>SUM(F223,G223)/2</f>
        <v>9389.5</v>
      </c>
    </row>
    <row r="224" s="18" customFormat="1" ht="14.399999999999999" customHeight="1">
      <c r="A224" s="10" t="s">
        <v>1505</v>
      </c>
      <c r="B224" s="10" t="s">
        <v>1506</v>
      </c>
      <c r="C224" s="13" t="n">
        <v>149718</v>
      </c>
      <c r="D224" s="13" t="n">
        <v>239158</v>
      </c>
      <c r="E224" s="6" t="n">
        <f>SUM(C224,D224)/2</f>
        <v>194438</v>
      </c>
      <c r="F224" s="12" t="n">
        <v>93667</v>
      </c>
      <c r="G224" s="12" t="n">
        <v>111846</v>
      </c>
      <c r="H224" s="6" t="n">
        <f>SUM(F224,G224)/2</f>
        <v>102756.5</v>
      </c>
    </row>
    <row r="225" s="18" customFormat="1" ht="14.399999999999999" customHeight="1">
      <c r="A225" s="10" t="s">
        <v>1933</v>
      </c>
      <c r="B225" s="10" t="s">
        <v>1934</v>
      </c>
      <c r="C225" s="10" t="n">
        <v>23</v>
      </c>
      <c r="D225" s="10" t="n">
        <v>35</v>
      </c>
      <c r="E225" s="6" t="n">
        <f>SUM(C225,D225)/2</f>
        <v>29</v>
      </c>
      <c r="F225" s="18" t="n">
        <v>6</v>
      </c>
      <c r="G225" s="18" t="n">
        <v>11</v>
      </c>
      <c r="H225" s="6" t="n">
        <f>SUM(F225,G225)/2</f>
        <v>8.5</v>
      </c>
    </row>
    <row r="226" s="18" customFormat="1" ht="14.399999999999999" customHeight="1">
      <c r="A226" s="10" t="s">
        <v>3361</v>
      </c>
      <c r="B226" s="10" t="s">
        <v>3362</v>
      </c>
      <c r="C226" s="13" t="n">
        <v>58571</v>
      </c>
      <c r="D226" s="13" t="n">
        <v>93561</v>
      </c>
      <c r="E226" s="6" t="n">
        <f>SUM(C226,D226)/2</f>
        <v>76066</v>
      </c>
      <c r="F226" s="12" t="n">
        <v>29309</v>
      </c>
      <c r="G226" s="12" t="n">
        <v>35472</v>
      </c>
      <c r="H226" s="6" t="n">
        <f>SUM(F226,G226)/2</f>
        <v>32390.5</v>
      </c>
    </row>
    <row r="227" s="18" customFormat="1" ht="14.399999999999999" customHeight="1">
      <c r="A227" s="10" t="s">
        <v>3869</v>
      </c>
      <c r="B227" s="10" t="s">
        <v>3870</v>
      </c>
      <c r="C227" s="13" t="n">
        <v>54664</v>
      </c>
      <c r="D227" s="13" t="n">
        <v>87324</v>
      </c>
      <c r="E227" s="6" t="n">
        <f>SUM(C227,D227)/2</f>
        <v>70994</v>
      </c>
      <c r="F227" s="12" t="n">
        <v>10432</v>
      </c>
      <c r="G227" s="12" t="n">
        <v>15211</v>
      </c>
      <c r="H227" s="6" t="n">
        <f>SUM(F227,G227)/2</f>
        <v>12821.5</v>
      </c>
    </row>
    <row r="228" s="18" customFormat="1" ht="14.399999999999999" customHeight="1">
      <c r="A228" s="10" t="s">
        <v>2833</v>
      </c>
      <c r="B228" s="10" t="s">
        <v>2834</v>
      </c>
      <c r="C228" s="10" t="n">
        <v>0</v>
      </c>
      <c r="D228" s="10" t="n">
        <v>0</v>
      </c>
      <c r="E228" s="6" t="n">
        <f>SUM(C228,D228)/2</f>
        <v>0</v>
      </c>
      <c r="F228" s="18" t="n">
        <v>0</v>
      </c>
      <c r="G228" s="18" t="n">
        <v>0</v>
      </c>
      <c r="H228" s="6" t="n">
        <f>SUM(F228,G228)/2</f>
        <v>0</v>
      </c>
    </row>
    <row r="229" s="18" customFormat="1" ht="14.399999999999999" customHeight="1">
      <c r="A229" s="10" t="s">
        <v>2835</v>
      </c>
      <c r="B229" s="10" t="s">
        <v>2836</v>
      </c>
      <c r="C229" s="10" t="n">
        <v>0</v>
      </c>
      <c r="D229" s="10" t="n">
        <v>0</v>
      </c>
      <c r="E229" s="6" t="n">
        <f>SUM(C229,D229)/2</f>
        <v>0</v>
      </c>
      <c r="F229" s="18" t="n">
        <v>0</v>
      </c>
      <c r="G229" s="18" t="n">
        <v>0</v>
      </c>
      <c r="H229" s="6" t="n">
        <f>SUM(F229,G229)/2</f>
        <v>0</v>
      </c>
    </row>
    <row r="230" s="18" customFormat="1" ht="14.399999999999999" customHeight="1">
      <c r="A230" s="10" t="s">
        <v>1011</v>
      </c>
      <c r="B230" s="10" t="s">
        <v>1012</v>
      </c>
      <c r="C230" s="10" t="n">
        <v>77</v>
      </c>
      <c r="D230" s="10" t="n">
        <v>123</v>
      </c>
      <c r="E230" s="6" t="n">
        <f>SUM(C230,D230)/2</f>
        <v>100</v>
      </c>
      <c r="F230" s="18" t="n">
        <v>1</v>
      </c>
      <c r="G230" s="18" t="n">
        <v>1</v>
      </c>
      <c r="H230" s="6" t="n">
        <f>SUM(F230,G230)/2</f>
        <v>1</v>
      </c>
    </row>
    <row r="231" s="18" customFormat="1" ht="14.399999999999999" customHeight="1">
      <c r="A231" s="10" t="s">
        <v>728</v>
      </c>
      <c r="B231" s="10" t="s">
        <v>729</v>
      </c>
      <c r="C231" s="13" t="n">
        <v>685804</v>
      </c>
      <c r="D231" s="13" t="n">
        <v>1095505</v>
      </c>
      <c r="E231" s="6" t="n">
        <f>SUM(C231,D231)/2</f>
        <v>890654.5</v>
      </c>
      <c r="F231" s="12" t="n">
        <v>757320</v>
      </c>
      <c r="G231" s="12" t="n">
        <v>1055468</v>
      </c>
      <c r="H231" s="6" t="n">
        <f>SUM(F231,G231)/2</f>
        <v>906394</v>
      </c>
    </row>
    <row r="232" s="18" customFormat="1" ht="14.399999999999999" customHeight="1">
      <c r="A232" s="10" t="s">
        <v>1952</v>
      </c>
      <c r="B232" s="10" t="s">
        <v>1953</v>
      </c>
      <c r="C232" s="10" t="n">
        <v>21</v>
      </c>
      <c r="D232" s="10" t="n">
        <v>33</v>
      </c>
      <c r="E232" s="6" t="n">
        <f>SUM(C232,D232)/2</f>
        <v>27</v>
      </c>
      <c r="F232" s="18" t="n">
        <v>7</v>
      </c>
      <c r="G232" s="18" t="n">
        <v>10</v>
      </c>
      <c r="H232" s="6" t="n">
        <f>SUM(F232,G232)/2</f>
        <v>8.5</v>
      </c>
    </row>
    <row r="233" s="18" customFormat="1" ht="14.399999999999999" customHeight="1">
      <c r="A233" s="10" t="s">
        <v>4801</v>
      </c>
      <c r="B233" s="10" t="s">
        <v>4802</v>
      </c>
      <c r="C233" s="13" t="n">
        <v>17340</v>
      </c>
      <c r="D233" s="13" t="n">
        <v>27698</v>
      </c>
      <c r="E233" s="6" t="n">
        <f>SUM(C233,D233)/2</f>
        <v>22519</v>
      </c>
      <c r="F233" s="12" t="n">
        <v>5807</v>
      </c>
      <c r="G233" s="12" t="n">
        <v>8066</v>
      </c>
      <c r="H233" s="6" t="n">
        <f>SUM(F233,G233)/2</f>
        <v>6936.5</v>
      </c>
    </row>
    <row r="234" s="18" customFormat="1" ht="14.399999999999999" customHeight="1">
      <c r="A234" s="10" t="s">
        <v>4015</v>
      </c>
      <c r="B234" s="10" t="s">
        <v>4016</v>
      </c>
      <c r="C234" s="13" t="n">
        <v>12318</v>
      </c>
      <c r="D234" s="13" t="n">
        <v>19678</v>
      </c>
      <c r="E234" s="6" t="n">
        <f>SUM(C234,D234)/2</f>
        <v>15998</v>
      </c>
      <c r="F234" s="12" t="n">
        <v>18727</v>
      </c>
      <c r="G234" s="12" t="n">
        <v>23662</v>
      </c>
      <c r="H234" s="6" t="n">
        <f>SUM(F234,G234)/2</f>
        <v>21194.5</v>
      </c>
    </row>
    <row r="235" s="18" customFormat="1" ht="14.399999999999999" customHeight="1">
      <c r="A235" s="10" t="s">
        <v>5629</v>
      </c>
      <c r="B235" s="10" t="s">
        <v>5630</v>
      </c>
      <c r="C235" s="13" t="n">
        <v>13246</v>
      </c>
      <c r="D235" s="13" t="n">
        <v>21158</v>
      </c>
      <c r="E235" s="6" t="n">
        <f>SUM(C235,D235)/2</f>
        <v>17202</v>
      </c>
      <c r="F235" s="12" t="n">
        <v>6147</v>
      </c>
      <c r="G235" s="12" t="n">
        <v>8101</v>
      </c>
      <c r="H235" s="6" t="n">
        <f>SUM(F235,G235)/2</f>
        <v>7124</v>
      </c>
    </row>
    <row r="236" s="18" customFormat="1" ht="14.399999999999999" customHeight="1">
      <c r="A236" s="10" t="s">
        <v>2733</v>
      </c>
      <c r="B236" s="10" t="s">
        <v>2734</v>
      </c>
      <c r="C236" s="10" t="n">
        <v>2</v>
      </c>
      <c r="D236" s="10" t="n">
        <v>4</v>
      </c>
      <c r="E236" s="6" t="n">
        <f>SUM(C236,D236)/2</f>
        <v>3</v>
      </c>
      <c r="F236" s="18" t="n">
        <v>0</v>
      </c>
      <c r="G236" s="18" t="n">
        <v>0</v>
      </c>
      <c r="H236" s="6" t="n">
        <f>SUM(F236,G236)/2</f>
        <v>0</v>
      </c>
    </row>
    <row r="237" s="18" customFormat="1" ht="14.399999999999999" customHeight="1">
      <c r="A237" s="10" t="s">
        <v>2785</v>
      </c>
      <c r="B237" s="10" t="s">
        <v>2786</v>
      </c>
      <c r="C237" s="10" t="n">
        <v>1</v>
      </c>
      <c r="D237" s="10" t="n">
        <v>1</v>
      </c>
      <c r="E237" s="6" t="n">
        <f>SUM(C237,D237)/2</f>
        <v>1</v>
      </c>
      <c r="F237" s="18" t="n">
        <v>0</v>
      </c>
      <c r="G237" s="18" t="n">
        <v>0</v>
      </c>
      <c r="H237" s="6" t="n">
        <f>SUM(F237,G237)/2</f>
        <v>0</v>
      </c>
    </row>
    <row r="238" s="18" customFormat="1" ht="14.399999999999999" customHeight="1">
      <c r="A238" s="10" t="s">
        <v>3167</v>
      </c>
      <c r="B238" s="10" t="s">
        <v>3168</v>
      </c>
      <c r="C238" s="13" t="n">
        <v>162969</v>
      </c>
      <c r="D238" s="13" t="n">
        <v>260327</v>
      </c>
      <c r="E238" s="6" t="n">
        <f>SUM(C238,D238)/2</f>
        <v>211648</v>
      </c>
      <c r="F238" s="12" t="n">
        <v>15175</v>
      </c>
      <c r="G238" s="12" t="n">
        <v>22136</v>
      </c>
      <c r="H238" s="6" t="n">
        <f>SUM(F238,G238)/2</f>
        <v>18655.5</v>
      </c>
    </row>
    <row r="239" s="18" customFormat="1" ht="14.399999999999999" customHeight="1">
      <c r="A239" s="10" t="s">
        <v>1619</v>
      </c>
      <c r="B239" s="10" t="s">
        <v>1620</v>
      </c>
      <c r="C239" s="13" t="n">
        <v>84790</v>
      </c>
      <c r="D239" s="13" t="n">
        <v>135444</v>
      </c>
      <c r="E239" s="6" t="n">
        <f>SUM(C239,D239)/2</f>
        <v>110117</v>
      </c>
      <c r="F239" s="12" t="n">
        <v>78693</v>
      </c>
      <c r="G239" s="12" t="n">
        <v>104557</v>
      </c>
      <c r="H239" s="6" t="n">
        <f>SUM(F239,G239)/2</f>
        <v>91625</v>
      </c>
    </row>
    <row r="240" s="18" customFormat="1" ht="14.399999999999999" customHeight="1">
      <c r="A240" s="10" t="s">
        <v>484</v>
      </c>
      <c r="B240" s="10" t="s">
        <v>485</v>
      </c>
      <c r="C240" s="10" t="n">
        <v>439</v>
      </c>
      <c r="D240" s="10" t="n">
        <v>699</v>
      </c>
      <c r="E240" s="6" t="n">
        <f>SUM(C240,D240)/2</f>
        <v>569</v>
      </c>
      <c r="F240" s="18" t="n">
        <v>2</v>
      </c>
      <c r="G240" s="18" t="n">
        <v>3</v>
      </c>
      <c r="H240" s="6" t="n">
        <f>SUM(F240,G240)/2</f>
        <v>2.5</v>
      </c>
    </row>
    <row r="241" s="18" customFormat="1" ht="14.399999999999999" customHeight="1">
      <c r="A241" s="10" t="s">
        <v>5073</v>
      </c>
      <c r="B241" s="10" t="s">
        <v>5074</v>
      </c>
      <c r="C241" s="13" t="n">
        <v>13205</v>
      </c>
      <c r="D241" s="13" t="n">
        <v>21093</v>
      </c>
      <c r="E241" s="6" t="n">
        <f>SUM(C241,D241)/2</f>
        <v>17149</v>
      </c>
      <c r="F241" s="12" t="n">
        <v>4549</v>
      </c>
      <c r="G241" s="12" t="n">
        <v>5652</v>
      </c>
      <c r="H241" s="6" t="n">
        <f>SUM(F241,G241)/2</f>
        <v>5100.5</v>
      </c>
    </row>
    <row r="242" s="18" customFormat="1" ht="14.399999999999999" customHeight="1">
      <c r="A242" s="10" t="s">
        <v>2114</v>
      </c>
      <c r="B242" s="10" t="s">
        <v>2115</v>
      </c>
      <c r="C242" s="10" t="n">
        <v>15</v>
      </c>
      <c r="D242" s="10" t="n">
        <v>25</v>
      </c>
      <c r="E242" s="6" t="n">
        <f>SUM(C242,D242)/2</f>
        <v>20</v>
      </c>
      <c r="F242" s="18" t="n">
        <v>4</v>
      </c>
      <c r="G242" s="18" t="n">
        <v>5</v>
      </c>
      <c r="H242" s="6" t="n">
        <f>SUM(F242,G242)/2</f>
        <v>4.5</v>
      </c>
    </row>
    <row r="243" s="18" customFormat="1" ht="14.399999999999999" customHeight="1">
      <c r="A243" s="10" t="s">
        <v>2234</v>
      </c>
      <c r="B243" s="10" t="s">
        <v>2235</v>
      </c>
      <c r="C243" s="10" t="n">
        <v>25</v>
      </c>
      <c r="D243" s="10" t="n">
        <v>41</v>
      </c>
      <c r="E243" s="6" t="n">
        <f>SUM(C243,D243)/2</f>
        <v>33</v>
      </c>
      <c r="F243" s="18" t="n">
        <v>0</v>
      </c>
      <c r="G243" s="18" t="n">
        <v>0</v>
      </c>
      <c r="H243" s="6" t="n">
        <f>SUM(F243,G243)/2</f>
        <v>0</v>
      </c>
    </row>
    <row r="244" s="18" customFormat="1" ht="14.399999999999999" customHeight="1">
      <c r="A244" s="10" t="s">
        <v>164</v>
      </c>
      <c r="B244" s="10" t="s">
        <v>165</v>
      </c>
      <c r="C244" s="13" t="n">
        <v>6398</v>
      </c>
      <c r="D244" s="13" t="n">
        <v>10218</v>
      </c>
      <c r="E244" s="6" t="n">
        <f>SUM(C244,D244)/2</f>
        <v>8308</v>
      </c>
      <c r="F244" s="18" t="n">
        <v>1102</v>
      </c>
      <c r="G244" s="18" t="n">
        <v>1847</v>
      </c>
      <c r="H244" s="6" t="n">
        <f>SUM(F244,G244)/2</f>
        <v>1474.5</v>
      </c>
    </row>
    <row r="245" s="18" customFormat="1" ht="14.399999999999999" customHeight="1">
      <c r="A245" s="10" t="s">
        <v>5631</v>
      </c>
      <c r="B245" s="10" t="s">
        <v>5632</v>
      </c>
      <c r="C245" s="10" t="n">
        <v>423</v>
      </c>
      <c r="D245" s="10" t="n">
        <v>675</v>
      </c>
      <c r="E245" s="6" t="n">
        <f>SUM(C245,D245)/2</f>
        <v>549</v>
      </c>
      <c r="F245" s="18" t="n">
        <v>85</v>
      </c>
      <c r="G245" s="18" t="n">
        <v>135</v>
      </c>
      <c r="H245" s="6" t="n">
        <f>SUM(F245,G245)/2</f>
        <v>110</v>
      </c>
    </row>
    <row r="246" s="18" customFormat="1" ht="14.399999999999999" customHeight="1">
      <c r="A246" s="10" t="s">
        <v>2294</v>
      </c>
      <c r="B246" s="10" t="s">
        <v>2295</v>
      </c>
      <c r="C246" s="10" t="n">
        <v>3</v>
      </c>
      <c r="D246" s="10" t="n">
        <v>5</v>
      </c>
      <c r="E246" s="6" t="n">
        <f>SUM(C246,D246)/2</f>
        <v>4</v>
      </c>
      <c r="F246" s="18" t="n">
        <v>4</v>
      </c>
      <c r="G246" s="18" t="n">
        <v>6</v>
      </c>
      <c r="H246" s="6" t="n">
        <f>SUM(F246,G246)/2</f>
        <v>5</v>
      </c>
    </row>
    <row r="247" s="18" customFormat="1" ht="14.399999999999999" customHeight="1">
      <c r="A247" s="10" t="s">
        <v>2264</v>
      </c>
      <c r="B247" s="10" t="s">
        <v>2265</v>
      </c>
      <c r="C247" s="10" t="n">
        <v>5</v>
      </c>
      <c r="D247" s="10" t="n">
        <v>7</v>
      </c>
      <c r="E247" s="6" t="n">
        <f>SUM(C247,D247)/2</f>
        <v>6</v>
      </c>
      <c r="F247" s="18" t="n">
        <v>4</v>
      </c>
      <c r="G247" s="18" t="n">
        <v>6</v>
      </c>
      <c r="H247" s="6" t="n">
        <f>SUM(F247,G247)/2</f>
        <v>5</v>
      </c>
    </row>
    <row r="248" s="18" customFormat="1" ht="14.399999999999999" customHeight="1">
      <c r="A248" s="10" t="s">
        <v>2837</v>
      </c>
      <c r="B248" s="10" t="s">
        <v>2838</v>
      </c>
      <c r="C248" s="10" t="n">
        <v>0</v>
      </c>
      <c r="D248" s="10" t="n">
        <v>0</v>
      </c>
      <c r="E248" s="6" t="n">
        <f>SUM(C248,D248)/2</f>
        <v>0</v>
      </c>
      <c r="F248" s="18" t="n">
        <v>0</v>
      </c>
      <c r="G248" s="18" t="n">
        <v>0</v>
      </c>
      <c r="H248" s="6" t="n">
        <f>SUM(F248,G248)/2</f>
        <v>0</v>
      </c>
    </row>
    <row r="249" s="18" customFormat="1" ht="14.399999999999999" customHeight="1">
      <c r="A249" s="10" t="s">
        <v>5255</v>
      </c>
      <c r="B249" s="10" t="s">
        <v>5256</v>
      </c>
      <c r="C249" s="13" t="n">
        <v>1528</v>
      </c>
      <c r="D249" s="13" t="n">
        <v>2441</v>
      </c>
      <c r="E249" s="6" t="n">
        <f>SUM(C249,D249)/2</f>
        <v>1984.5</v>
      </c>
      <c r="F249" s="18" t="n">
        <v>726</v>
      </c>
      <c r="G249" s="18" t="n">
        <v>946</v>
      </c>
      <c r="H249" s="6" t="n">
        <f>SUM(F249,G249)/2</f>
        <v>836</v>
      </c>
    </row>
    <row r="250" s="18" customFormat="1" ht="14.399999999999999" customHeight="1">
      <c r="A250" s="10" t="s">
        <v>3933</v>
      </c>
      <c r="B250" s="10" t="s">
        <v>3934</v>
      </c>
      <c r="C250" s="13" t="n">
        <v>92078</v>
      </c>
      <c r="D250" s="13" t="n">
        <v>147086</v>
      </c>
      <c r="E250" s="6" t="n">
        <f>SUM(C250,D250)/2</f>
        <v>119582</v>
      </c>
      <c r="F250" s="18" t="n">
        <v>430</v>
      </c>
      <c r="G250" s="18" t="n">
        <v>566</v>
      </c>
      <c r="H250" s="6" t="n">
        <f>SUM(F250,G250)/2</f>
        <v>498</v>
      </c>
    </row>
    <row r="251" s="18" customFormat="1" ht="14.399999999999999" customHeight="1">
      <c r="A251" s="10" t="s">
        <v>4897</v>
      </c>
      <c r="B251" s="10" t="s">
        <v>4898</v>
      </c>
      <c r="C251" s="13" t="n">
        <v>30152</v>
      </c>
      <c r="D251" s="13" t="n">
        <v>48164</v>
      </c>
      <c r="E251" s="6" t="n">
        <f>SUM(C251,D251)/2</f>
        <v>39158</v>
      </c>
      <c r="F251" s="18" t="n">
        <v>2126</v>
      </c>
      <c r="G251" s="18" t="n">
        <v>3027</v>
      </c>
      <c r="H251" s="6" t="n">
        <f>SUM(F251,G251)/2</f>
        <v>2576.5</v>
      </c>
    </row>
    <row r="252" s="18" customFormat="1" ht="14.399999999999999" customHeight="1">
      <c r="A252" s="10" t="s">
        <v>5177</v>
      </c>
      <c r="B252" s="10" t="s">
        <v>5178</v>
      </c>
      <c r="C252" s="13" t="n">
        <v>14814</v>
      </c>
      <c r="D252" s="13" t="n">
        <v>23666</v>
      </c>
      <c r="E252" s="6" t="n">
        <f>SUM(C252,D252)/2</f>
        <v>19240</v>
      </c>
      <c r="F252" s="18" t="n">
        <v>1044</v>
      </c>
      <c r="G252" s="18" t="n">
        <v>4128</v>
      </c>
      <c r="H252" s="6" t="n">
        <f>SUM(F252,G252)/2</f>
        <v>2586</v>
      </c>
    </row>
    <row r="253" s="18" customFormat="1" ht="14.399999999999999" customHeight="1">
      <c r="A253" s="10" t="s">
        <v>3237</v>
      </c>
      <c r="B253" s="10" t="s">
        <v>3238</v>
      </c>
      <c r="C253" s="13" t="n">
        <v>107874</v>
      </c>
      <c r="D253" s="13" t="n">
        <v>172320</v>
      </c>
      <c r="E253" s="6" t="n">
        <f>SUM(C253,D253)/2</f>
        <v>140097</v>
      </c>
      <c r="F253" s="12" t="n">
        <v>17260</v>
      </c>
      <c r="G253" s="12" t="n">
        <v>38667</v>
      </c>
      <c r="H253" s="6" t="n">
        <f>SUM(F253,G253)/2</f>
        <v>27963.5</v>
      </c>
    </row>
    <row r="254" s="18" customFormat="1" ht="14.399999999999999" customHeight="1">
      <c r="A254" s="10" t="s">
        <v>2839</v>
      </c>
      <c r="B254" s="10" t="s">
        <v>2840</v>
      </c>
      <c r="C254" s="10" t="n">
        <v>0</v>
      </c>
      <c r="D254" s="10" t="n">
        <v>0</v>
      </c>
      <c r="E254" s="6" t="n">
        <f>SUM(C254,D254)/2</f>
        <v>0</v>
      </c>
      <c r="F254" s="18" t="n">
        <v>0</v>
      </c>
      <c r="G254" s="18" t="n">
        <v>0</v>
      </c>
      <c r="H254" s="6" t="n">
        <f>SUM(F254,G254)/2</f>
        <v>0</v>
      </c>
    </row>
    <row r="255" s="18" customFormat="1" ht="14.399999999999999" customHeight="1">
      <c r="A255" s="10" t="s">
        <v>5633</v>
      </c>
      <c r="B255" s="10" t="s">
        <v>5634</v>
      </c>
      <c r="C255" s="10" t="n">
        <v>95</v>
      </c>
      <c r="D255" s="10" t="n">
        <v>153</v>
      </c>
      <c r="E255" s="6" t="n">
        <f>SUM(C255,D255)/2</f>
        <v>124</v>
      </c>
      <c r="F255" s="18" t="n">
        <v>38</v>
      </c>
      <c r="G255" s="18" t="n">
        <v>48</v>
      </c>
      <c r="H255" s="6" t="n">
        <f>SUM(F255,G255)/2</f>
        <v>43</v>
      </c>
    </row>
    <row r="256" s="18" customFormat="1" ht="14.399999999999999" customHeight="1">
      <c r="A256" s="10" t="s">
        <v>3709</v>
      </c>
      <c r="B256" s="10" t="s">
        <v>3710</v>
      </c>
      <c r="C256" s="13" t="n">
        <v>59841</v>
      </c>
      <c r="D256" s="13" t="n">
        <v>95593</v>
      </c>
      <c r="E256" s="6" t="n">
        <f>SUM(C256,D256)/2</f>
        <v>77717</v>
      </c>
      <c r="F256" s="12" t="n">
        <v>13830</v>
      </c>
      <c r="G256" s="12" t="n">
        <v>20228</v>
      </c>
      <c r="H256" s="6" t="n">
        <f>SUM(F256,G256)/2</f>
        <v>17029</v>
      </c>
    </row>
    <row r="257" s="18" customFormat="1" ht="14.399999999999999" customHeight="1">
      <c r="A257" s="10" t="s">
        <v>5199</v>
      </c>
      <c r="B257" s="10" t="s">
        <v>5200</v>
      </c>
      <c r="C257" s="13" t="n">
        <v>12445</v>
      </c>
      <c r="D257" s="13" t="n">
        <v>19877</v>
      </c>
      <c r="E257" s="6" t="n">
        <f>SUM(C257,D257)/2</f>
        <v>16161</v>
      </c>
      <c r="F257" s="18" t="n">
        <v>2006</v>
      </c>
      <c r="G257" s="18" t="n">
        <v>2909</v>
      </c>
      <c r="H257" s="6" t="n">
        <f>SUM(F257,G257)/2</f>
        <v>2457.5</v>
      </c>
    </row>
    <row r="258" s="18" customFormat="1" ht="14.399999999999999" customHeight="1">
      <c r="A258" s="10" t="s">
        <v>66</v>
      </c>
      <c r="B258" s="10" t="s">
        <v>67</v>
      </c>
      <c r="C258" s="13" t="n">
        <v>2317784</v>
      </c>
      <c r="D258" s="13" t="n">
        <v>3702436</v>
      </c>
      <c r="E258" s="6" t="n">
        <f>SUM(C258,D258)/2</f>
        <v>3010110</v>
      </c>
      <c r="F258" s="12" t="n">
        <v>455295</v>
      </c>
      <c r="G258" s="12" t="n">
        <v>866425</v>
      </c>
      <c r="H258" s="6" t="n">
        <f>SUM(F258,G258)/2</f>
        <v>660860</v>
      </c>
    </row>
    <row r="259" s="18" customFormat="1" ht="14.399999999999999" customHeight="1">
      <c r="A259" s="10" t="s">
        <v>5031</v>
      </c>
      <c r="B259" s="10" t="s">
        <v>5032</v>
      </c>
      <c r="C259" s="13" t="n">
        <v>13795</v>
      </c>
      <c r="D259" s="13" t="n">
        <v>22037</v>
      </c>
      <c r="E259" s="6" t="n">
        <f>SUM(C259,D259)/2</f>
        <v>17916</v>
      </c>
      <c r="F259" s="12" t="n">
        <v>4809</v>
      </c>
      <c r="G259" s="12" t="n">
        <v>6252</v>
      </c>
      <c r="H259" s="6" t="n">
        <f>SUM(F259,G259)/2</f>
        <v>5530.5</v>
      </c>
    </row>
    <row r="260" s="18" customFormat="1" ht="14.399999999999999" customHeight="1">
      <c r="A260" s="10" t="s">
        <v>2841</v>
      </c>
      <c r="B260" s="10" t="s">
        <v>2842</v>
      </c>
      <c r="C260" s="10" t="n">
        <v>0</v>
      </c>
      <c r="D260" s="10" t="n">
        <v>0</v>
      </c>
      <c r="E260" s="6" t="n">
        <f>SUM(C260,D260)/2</f>
        <v>0</v>
      </c>
      <c r="F260" s="18" t="n">
        <v>0</v>
      </c>
      <c r="G260" s="18" t="n">
        <v>0</v>
      </c>
      <c r="H260" s="6" t="n">
        <f>SUM(F260,G260)/2</f>
        <v>0</v>
      </c>
    </row>
    <row r="261" s="18" customFormat="1" ht="14.399999999999999" customHeight="1">
      <c r="A261" s="10" t="s">
        <v>1791</v>
      </c>
      <c r="B261" s="10" t="s">
        <v>1792</v>
      </c>
      <c r="C261" s="10" t="n">
        <v>44</v>
      </c>
      <c r="D261" s="10" t="n">
        <v>70</v>
      </c>
      <c r="E261" s="6" t="n">
        <f>SUM(C261,D261)/2</f>
        <v>57</v>
      </c>
      <c r="F261" s="18" t="n">
        <v>9</v>
      </c>
      <c r="G261" s="18" t="n">
        <v>13</v>
      </c>
      <c r="H261" s="6" t="n">
        <f>SUM(F261,G261)/2</f>
        <v>11</v>
      </c>
    </row>
    <row r="262" s="18" customFormat="1" ht="14.399999999999999" customHeight="1">
      <c r="A262" s="10" t="s">
        <v>5243</v>
      </c>
      <c r="B262" s="10" t="s">
        <v>5244</v>
      </c>
      <c r="C262" s="13" t="n">
        <v>4090</v>
      </c>
      <c r="D262" s="13" t="n">
        <v>6532</v>
      </c>
      <c r="E262" s="6" t="n">
        <f>SUM(C262,D262)/2</f>
        <v>5311</v>
      </c>
      <c r="F262" s="18" t="n">
        <v>815</v>
      </c>
      <c r="G262" s="12" t="n">
        <v>1376</v>
      </c>
      <c r="H262" s="6" t="n">
        <f>SUM(F262,G262)/2</f>
        <v>1095.5</v>
      </c>
    </row>
    <row r="263" s="18" customFormat="1" ht="14.399999999999999" customHeight="1">
      <c r="A263" s="10" t="s">
        <v>5635</v>
      </c>
      <c r="B263" s="10" t="s">
        <v>5636</v>
      </c>
      <c r="C263" s="10" t="n">
        <v>124</v>
      </c>
      <c r="D263" s="10" t="n">
        <v>200</v>
      </c>
      <c r="E263" s="6" t="n">
        <f>SUM(C263,D263)/2</f>
        <v>162</v>
      </c>
      <c r="F263" s="18" t="n">
        <v>23</v>
      </c>
      <c r="G263" s="18" t="n">
        <v>33</v>
      </c>
      <c r="H263" s="6" t="n">
        <f>SUM(F263,G263)/2</f>
        <v>28</v>
      </c>
    </row>
    <row r="264" s="18" customFormat="1" ht="14.399999999999999" customHeight="1">
      <c r="A264" s="10" t="s">
        <v>4759</v>
      </c>
      <c r="B264" s="10" t="s">
        <v>4760</v>
      </c>
      <c r="C264" s="13" t="n">
        <v>16157</v>
      </c>
      <c r="D264" s="13" t="n">
        <v>25809</v>
      </c>
      <c r="E264" s="6" t="n">
        <f>SUM(C264,D264)/2</f>
        <v>20983</v>
      </c>
      <c r="F264" s="12" t="n">
        <v>7222</v>
      </c>
      <c r="G264" s="12" t="n">
        <v>8313</v>
      </c>
      <c r="H264" s="6" t="n">
        <f>SUM(F264,G264)/2</f>
        <v>7767.5</v>
      </c>
    </row>
    <row r="265" s="18" customFormat="1" ht="14.399999999999999" customHeight="1">
      <c r="A265" s="10" t="s">
        <v>5039</v>
      </c>
      <c r="B265" s="10" t="s">
        <v>5040</v>
      </c>
      <c r="C265" s="13" t="n">
        <v>10370</v>
      </c>
      <c r="D265" s="13" t="n">
        <v>16560</v>
      </c>
      <c r="E265" s="6" t="n">
        <f>SUM(C265,D265)/2</f>
        <v>13465</v>
      </c>
      <c r="F265" s="12" t="n">
        <v>5763</v>
      </c>
      <c r="G265" s="12" t="n">
        <v>7074</v>
      </c>
      <c r="H265" s="6" t="n">
        <f>SUM(F265,G265)/2</f>
        <v>6418.5</v>
      </c>
    </row>
    <row r="266" s="18" customFormat="1" ht="14.399999999999999" customHeight="1">
      <c r="A266" s="10" t="s">
        <v>5306</v>
      </c>
      <c r="B266" s="10" t="s">
        <v>5307</v>
      </c>
      <c r="C266" s="13" t="n">
        <v>1041</v>
      </c>
      <c r="D266" s="13" t="n">
        <v>1661</v>
      </c>
      <c r="E266" s="6" t="n">
        <f>SUM(C266,D266)/2</f>
        <v>1351</v>
      </c>
      <c r="F266" s="18" t="n">
        <v>287</v>
      </c>
      <c r="G266" s="18" t="n">
        <v>551</v>
      </c>
      <c r="H266" s="6" t="n">
        <f>SUM(F266,G266)/2</f>
        <v>419</v>
      </c>
    </row>
    <row r="267" s="18" customFormat="1" ht="14.399999999999999" customHeight="1">
      <c r="A267" s="10" t="s">
        <v>2552</v>
      </c>
      <c r="B267" s="10" t="s">
        <v>2553</v>
      </c>
      <c r="C267" s="10" t="n">
        <v>8</v>
      </c>
      <c r="D267" s="10" t="n">
        <v>14</v>
      </c>
      <c r="E267" s="6" t="n">
        <f>SUM(C267,D267)/2</f>
        <v>11</v>
      </c>
      <c r="F267" s="18" t="n">
        <v>0</v>
      </c>
      <c r="G267" s="18" t="n">
        <v>0</v>
      </c>
      <c r="H267" s="6" t="n">
        <f>SUM(F267,G267)/2</f>
        <v>0</v>
      </c>
    </row>
    <row r="268" s="18" customFormat="1" ht="14.399999999999999" customHeight="1">
      <c r="A268" s="10" t="s">
        <v>2787</v>
      </c>
      <c r="B268" s="10" t="s">
        <v>2788</v>
      </c>
      <c r="C268" s="10" t="n">
        <v>1</v>
      </c>
      <c r="D268" s="10" t="n">
        <v>1</v>
      </c>
      <c r="E268" s="6" t="n">
        <f>SUM(C268,D268)/2</f>
        <v>1</v>
      </c>
      <c r="F268" s="18" t="n">
        <v>0</v>
      </c>
      <c r="G268" s="18" t="n">
        <v>0</v>
      </c>
      <c r="H268" s="6" t="n">
        <f>SUM(F268,G268)/2</f>
        <v>0</v>
      </c>
    </row>
    <row r="269" s="18" customFormat="1" ht="14.399999999999999" customHeight="1">
      <c r="A269" s="10" t="s">
        <v>2843</v>
      </c>
      <c r="B269" s="10" t="s">
        <v>2844</v>
      </c>
      <c r="C269" s="10" t="n">
        <v>0</v>
      </c>
      <c r="D269" s="10" t="n">
        <v>0</v>
      </c>
      <c r="E269" s="6" t="n">
        <f>SUM(C269,D269)/2</f>
        <v>0</v>
      </c>
      <c r="F269" s="18" t="n">
        <v>0</v>
      </c>
      <c r="G269" s="18" t="n">
        <v>0</v>
      </c>
      <c r="H269" s="6" t="n">
        <f>SUM(F269,G269)/2</f>
        <v>0</v>
      </c>
    </row>
    <row r="270" s="18" customFormat="1" ht="14.399999999999999" customHeight="1">
      <c r="A270" s="10" t="s">
        <v>5637</v>
      </c>
      <c r="B270" s="10" t="s">
        <v>5638</v>
      </c>
      <c r="C270" s="13" t="n">
        <v>10549</v>
      </c>
      <c r="D270" s="13" t="n">
        <v>16851</v>
      </c>
      <c r="E270" s="6" t="n">
        <f>SUM(C270,D270)/2</f>
        <v>13700</v>
      </c>
      <c r="F270" s="12" t="n">
        <v>4242</v>
      </c>
      <c r="G270" s="12" t="n">
        <v>6723</v>
      </c>
      <c r="H270" s="6" t="n">
        <f>SUM(F270,G270)/2</f>
        <v>5482.5</v>
      </c>
    </row>
    <row r="271" s="18" customFormat="1" ht="14.399999999999999" customHeight="1">
      <c r="A271" s="10" t="s">
        <v>1974</v>
      </c>
      <c r="B271" s="10" t="s">
        <v>1975</v>
      </c>
      <c r="C271" s="10" t="n">
        <v>37</v>
      </c>
      <c r="D271" s="10" t="n">
        <v>59</v>
      </c>
      <c r="E271" s="6" t="n">
        <f>SUM(C271,D271)/2</f>
        <v>48</v>
      </c>
      <c r="F271" s="18" t="n">
        <v>3</v>
      </c>
      <c r="G271" s="18" t="n">
        <v>3</v>
      </c>
      <c r="H271" s="6" t="n">
        <f>SUM(F271,G271)/2</f>
        <v>3</v>
      </c>
    </row>
    <row r="272" s="18" customFormat="1" ht="14.399999999999999" customHeight="1">
      <c r="A272" s="10" t="s">
        <v>4359</v>
      </c>
      <c r="B272" s="10" t="s">
        <v>4360</v>
      </c>
      <c r="C272" s="13" t="n">
        <v>24660</v>
      </c>
      <c r="D272" s="13" t="n">
        <v>39394</v>
      </c>
      <c r="E272" s="6" t="n">
        <f>SUM(C272,D272)/2</f>
        <v>32027</v>
      </c>
      <c r="F272" s="12" t="n">
        <v>8362</v>
      </c>
      <c r="G272" s="12" t="n">
        <v>12609</v>
      </c>
      <c r="H272" s="6" t="n">
        <f>SUM(F272,G272)/2</f>
        <v>10485.5</v>
      </c>
    </row>
    <row r="273" s="18" customFormat="1" ht="14.399999999999999" customHeight="1">
      <c r="A273" s="10" t="s">
        <v>5639</v>
      </c>
      <c r="B273" s="10" t="s">
        <v>5640</v>
      </c>
      <c r="C273" s="10"/>
      <c r="D273" s="10"/>
      <c r="E273" s="6" t="n">
        <f>SUM(C273,D273)/2</f>
        <v>0</v>
      </c>
      <c r="F273" s="12" t="n">
        <v>33723</v>
      </c>
      <c r="G273" s="12" t="n">
        <v>110439</v>
      </c>
      <c r="H273" s="6" t="n">
        <f>SUM(F273,G273)/2</f>
        <v>72081</v>
      </c>
    </row>
    <row r="274" s="18" customFormat="1" ht="14.399999999999999" customHeight="1">
      <c r="A274" s="10" t="s">
        <v>1773</v>
      </c>
      <c r="B274" s="10" t="s">
        <v>1774</v>
      </c>
      <c r="C274" s="10" t="n">
        <v>23</v>
      </c>
      <c r="D274" s="10" t="n">
        <v>37</v>
      </c>
      <c r="E274" s="6" t="n">
        <f>SUM(C274,D274)/2</f>
        <v>30</v>
      </c>
      <c r="F274" s="18" t="n">
        <v>14</v>
      </c>
      <c r="G274" s="18" t="n">
        <v>22</v>
      </c>
      <c r="H274" s="6" t="n">
        <f>SUM(F274,G274)/2</f>
        <v>18</v>
      </c>
    </row>
    <row r="275" s="18" customFormat="1" ht="14.399999999999999" customHeight="1">
      <c r="A275" s="10" t="s">
        <v>1743</v>
      </c>
      <c r="B275" s="10" t="s">
        <v>1744</v>
      </c>
      <c r="C275" s="10" t="n">
        <v>63</v>
      </c>
      <c r="D275" s="10" t="n">
        <v>99</v>
      </c>
      <c r="E275" s="6" t="n">
        <f>SUM(C275,D275)/2</f>
        <v>81</v>
      </c>
      <c r="F275" s="18" t="n">
        <v>8</v>
      </c>
      <c r="G275" s="18" t="n">
        <v>12</v>
      </c>
      <c r="H275" s="6" t="n">
        <f>SUM(F275,G275)/2</f>
        <v>10</v>
      </c>
    </row>
    <row r="276" s="18" customFormat="1" ht="14.399999999999999" customHeight="1">
      <c r="A276" s="10" t="s">
        <v>3273</v>
      </c>
      <c r="B276" s="10" t="s">
        <v>3274</v>
      </c>
      <c r="C276" s="13" t="n">
        <v>51738</v>
      </c>
      <c r="D276" s="13" t="n">
        <v>82644</v>
      </c>
      <c r="E276" s="6" t="n">
        <f>SUM(C276,D276)/2</f>
        <v>67191</v>
      </c>
      <c r="F276" s="12" t="n">
        <v>37190</v>
      </c>
      <c r="G276" s="12" t="n">
        <v>45476</v>
      </c>
      <c r="H276" s="6" t="n">
        <f>SUM(F276,G276)/2</f>
        <v>41333</v>
      </c>
    </row>
    <row r="277" s="18" customFormat="1" ht="14.399999999999999" customHeight="1">
      <c r="A277" s="10" t="s">
        <v>4901</v>
      </c>
      <c r="B277" s="10" t="s">
        <v>4902</v>
      </c>
      <c r="C277" s="13" t="n">
        <v>11589</v>
      </c>
      <c r="D277" s="13" t="n">
        <v>18515</v>
      </c>
      <c r="E277" s="6" t="n">
        <f>SUM(C277,D277)/2</f>
        <v>15052</v>
      </c>
      <c r="F277" s="12" t="n">
        <v>6323</v>
      </c>
      <c r="G277" s="12" t="n">
        <v>8946</v>
      </c>
      <c r="H277" s="6" t="n">
        <f>SUM(F277,G277)/2</f>
        <v>7634.5</v>
      </c>
    </row>
    <row r="278" s="18" customFormat="1" ht="14.399999999999999" customHeight="1">
      <c r="A278" s="10" t="s">
        <v>1190</v>
      </c>
      <c r="B278" s="10" t="s">
        <v>1191</v>
      </c>
      <c r="C278" s="13" t="n">
        <v>41835</v>
      </c>
      <c r="D278" s="13" t="n">
        <v>66827</v>
      </c>
      <c r="E278" s="6" t="n">
        <f>SUM(C278,D278)/2</f>
        <v>54331</v>
      </c>
      <c r="F278" s="12" t="n">
        <v>76549</v>
      </c>
      <c r="G278" s="12" t="n">
        <v>115036</v>
      </c>
      <c r="H278" s="6" t="n">
        <f>SUM(F278,G278)/2</f>
        <v>95792.5</v>
      </c>
    </row>
    <row r="279" s="18" customFormat="1" ht="14.399999999999999" customHeight="1">
      <c r="A279" s="10" t="s">
        <v>4745</v>
      </c>
      <c r="B279" s="10" t="s">
        <v>4746</v>
      </c>
      <c r="C279" s="13" t="n">
        <v>21206</v>
      </c>
      <c r="D279" s="13" t="n">
        <v>33877</v>
      </c>
      <c r="E279" s="6" t="n">
        <f>SUM(C279,D279)/2</f>
        <v>27541.5</v>
      </c>
      <c r="F279" s="12" t="n">
        <v>5072</v>
      </c>
      <c r="G279" s="12" t="n">
        <v>7933</v>
      </c>
      <c r="H279" s="6" t="n">
        <f>SUM(F279,G279)/2</f>
        <v>6502.5</v>
      </c>
    </row>
    <row r="280" s="18" customFormat="1" ht="14.399999999999999" customHeight="1">
      <c r="A280" s="10" t="s">
        <v>1705</v>
      </c>
      <c r="B280" s="10" t="s">
        <v>1706</v>
      </c>
      <c r="C280" s="10" t="n">
        <v>101</v>
      </c>
      <c r="D280" s="10" t="n">
        <v>161</v>
      </c>
      <c r="E280" s="6" t="n">
        <f>SUM(C280,D280)/2</f>
        <v>131</v>
      </c>
      <c r="F280" s="18" t="n">
        <v>4</v>
      </c>
      <c r="G280" s="18" t="n">
        <v>7</v>
      </c>
      <c r="H280" s="6" t="n">
        <f>SUM(F280,G280)/2</f>
        <v>5.5</v>
      </c>
    </row>
    <row r="281" s="18" customFormat="1" ht="14.399999999999999" customHeight="1">
      <c r="A281" s="10" t="s">
        <v>2634</v>
      </c>
      <c r="B281" s="10" t="s">
        <v>2635</v>
      </c>
      <c r="C281" s="10" t="n">
        <v>1</v>
      </c>
      <c r="D281" s="10" t="n">
        <v>1</v>
      </c>
      <c r="E281" s="6" t="n">
        <f>SUM(C281,D281)/2</f>
        <v>1</v>
      </c>
      <c r="F281" s="18" t="n">
        <v>1</v>
      </c>
      <c r="G281" s="18" t="n">
        <v>1</v>
      </c>
      <c r="H281" s="6" t="n">
        <f>SUM(F281,G281)/2</f>
        <v>1</v>
      </c>
    </row>
    <row r="282" s="18" customFormat="1" ht="14.399999999999999" customHeight="1">
      <c r="A282" s="10" t="s">
        <v>4585</v>
      </c>
      <c r="B282" s="10" t="s">
        <v>4586</v>
      </c>
      <c r="C282" s="13" t="n">
        <v>28582</v>
      </c>
      <c r="D282" s="13" t="n">
        <v>45656</v>
      </c>
      <c r="E282" s="6" t="n">
        <f>SUM(C282,D282)/2</f>
        <v>37119</v>
      </c>
      <c r="F282" s="12" t="n">
        <v>5145</v>
      </c>
      <c r="G282" s="12" t="n">
        <v>7876</v>
      </c>
      <c r="H282" s="6" t="n">
        <f>SUM(F282,G282)/2</f>
        <v>6510.5</v>
      </c>
    </row>
    <row r="283" s="18" customFormat="1" ht="14.399999999999999" customHeight="1">
      <c r="A283" s="10" t="s">
        <v>3433</v>
      </c>
      <c r="B283" s="10" t="s">
        <v>3434</v>
      </c>
      <c r="C283" s="13" t="n">
        <v>106111</v>
      </c>
      <c r="D283" s="13" t="n">
        <v>169502</v>
      </c>
      <c r="E283" s="6" t="n">
        <f>SUM(C283,D283)/2</f>
        <v>137806.5</v>
      </c>
      <c r="F283" s="12" t="n">
        <v>12669</v>
      </c>
      <c r="G283" s="12" t="n">
        <v>19411</v>
      </c>
      <c r="H283" s="6" t="n">
        <f>SUM(F283,G283)/2</f>
        <v>16040</v>
      </c>
    </row>
    <row r="284" s="18" customFormat="1" ht="14.399999999999999" customHeight="1">
      <c r="A284" s="10" t="s">
        <v>5641</v>
      </c>
      <c r="B284" s="10" t="s">
        <v>5642</v>
      </c>
      <c r="C284" s="10" t="n">
        <v>2</v>
      </c>
      <c r="D284" s="10" t="n">
        <v>2</v>
      </c>
      <c r="E284" s="6" t="n">
        <f>SUM(C284,D284)/2</f>
        <v>2</v>
      </c>
      <c r="F284" s="18" t="n">
        <v>2</v>
      </c>
      <c r="G284" s="18" t="n">
        <v>3</v>
      </c>
      <c r="H284" s="6" t="n">
        <f>SUM(F284,G284)/2</f>
        <v>2.5</v>
      </c>
    </row>
    <row r="285" s="18" customFormat="1" ht="14.399999999999999" customHeight="1">
      <c r="A285" s="10" t="s">
        <v>5643</v>
      </c>
      <c r="B285" s="10" t="s">
        <v>5644</v>
      </c>
      <c r="C285" s="10" t="n">
        <v>271</v>
      </c>
      <c r="D285" s="10" t="n">
        <v>431</v>
      </c>
      <c r="E285" s="6" t="n">
        <f>SUM(C285,D285)/2</f>
        <v>351</v>
      </c>
      <c r="F285" s="18" t="n">
        <v>36</v>
      </c>
      <c r="G285" s="18" t="n">
        <v>57</v>
      </c>
      <c r="H285" s="6" t="n">
        <f>SUM(F285,G285)/2</f>
        <v>46.5</v>
      </c>
    </row>
    <row r="286" s="18" customFormat="1" ht="14.399999999999999" customHeight="1">
      <c r="A286" s="10" t="s">
        <v>4591</v>
      </c>
      <c r="B286" s="10" t="s">
        <v>4592</v>
      </c>
      <c r="C286" s="13" t="n">
        <v>19758</v>
      </c>
      <c r="D286" s="13" t="n">
        <v>31560</v>
      </c>
      <c r="E286" s="6" t="n">
        <f>SUM(C286,D286)/2</f>
        <v>25659</v>
      </c>
      <c r="F286" s="12" t="n">
        <v>6590</v>
      </c>
      <c r="G286" s="12" t="n">
        <v>11087</v>
      </c>
      <c r="H286" s="6" t="n">
        <f>SUM(F286,G286)/2</f>
        <v>8838.5</v>
      </c>
    </row>
    <row r="287" s="18" customFormat="1" ht="14.399999999999999" customHeight="1">
      <c r="A287" s="10" t="s">
        <v>4285</v>
      </c>
      <c r="B287" s="10" t="s">
        <v>4286</v>
      </c>
      <c r="C287" s="13" t="n">
        <v>31697</v>
      </c>
      <c r="D287" s="13" t="n">
        <v>50635</v>
      </c>
      <c r="E287" s="6" t="n">
        <f>SUM(C287,D287)/2</f>
        <v>41166</v>
      </c>
      <c r="F287" s="12" t="n">
        <v>7998</v>
      </c>
      <c r="G287" s="12" t="n">
        <v>11926</v>
      </c>
      <c r="H287" s="6" t="n">
        <f>SUM(F287,G287)/2</f>
        <v>9962</v>
      </c>
    </row>
    <row r="288" s="18" customFormat="1" ht="14.399999999999999" customHeight="1">
      <c r="A288" s="10" t="s">
        <v>4279</v>
      </c>
      <c r="B288" s="10" t="s">
        <v>4280</v>
      </c>
      <c r="C288" s="13" t="n">
        <v>27770</v>
      </c>
      <c r="D288" s="13" t="n">
        <v>44360</v>
      </c>
      <c r="E288" s="6" t="n">
        <f>SUM(C288,D288)/2</f>
        <v>36065</v>
      </c>
      <c r="F288" s="12" t="n">
        <v>9646</v>
      </c>
      <c r="G288" s="12" t="n">
        <v>12569</v>
      </c>
      <c r="H288" s="6" t="n">
        <f>SUM(F288,G288)/2</f>
        <v>11107.5</v>
      </c>
    </row>
    <row r="289" s="18" customFormat="1" ht="14.399999999999999" customHeight="1">
      <c r="A289" s="10" t="s">
        <v>1354</v>
      </c>
      <c r="B289" s="10" t="s">
        <v>1355</v>
      </c>
      <c r="C289" s="10" t="n">
        <v>29</v>
      </c>
      <c r="D289" s="10" t="n">
        <v>47</v>
      </c>
      <c r="E289" s="6" t="n">
        <f>SUM(C289,D289)/2</f>
        <v>38</v>
      </c>
      <c r="F289" s="18" t="n">
        <v>50</v>
      </c>
      <c r="G289" s="18" t="n">
        <v>60</v>
      </c>
      <c r="H289" s="6" t="n">
        <f>SUM(F289,G289)/2</f>
        <v>55</v>
      </c>
    </row>
    <row r="290" s="18" customFormat="1" ht="14.399999999999999" customHeight="1">
      <c r="A290" s="10" t="s">
        <v>694</v>
      </c>
      <c r="B290" s="10" t="s">
        <v>695</v>
      </c>
      <c r="C290" s="13" t="n">
        <v>3701017</v>
      </c>
      <c r="D290" s="13" t="n">
        <v>5912015</v>
      </c>
      <c r="E290" s="6" t="n">
        <f>SUM(C290,D290)/2</f>
        <v>4806516</v>
      </c>
      <c r="F290" s="12" t="n">
        <v>547462</v>
      </c>
      <c r="G290" s="12" t="n">
        <v>785772</v>
      </c>
      <c r="H290" s="6" t="n">
        <f>SUM(F290,G290)/2</f>
        <v>666617</v>
      </c>
    </row>
    <row r="291" s="18" customFormat="1" ht="14.399999999999999" customHeight="1">
      <c r="A291" s="10" t="s">
        <v>5645</v>
      </c>
      <c r="B291" s="10" t="s">
        <v>5646</v>
      </c>
      <c r="C291" s="10" t="n">
        <v>164</v>
      </c>
      <c r="D291" s="10" t="n">
        <v>262</v>
      </c>
      <c r="E291" s="6" t="n">
        <f>SUM(C291,D291)/2</f>
        <v>213</v>
      </c>
      <c r="F291" s="18" t="n">
        <v>31</v>
      </c>
      <c r="G291" s="18" t="n">
        <v>48</v>
      </c>
      <c r="H291" s="6" t="n">
        <f>SUM(F291,G291)/2</f>
        <v>39.5</v>
      </c>
    </row>
    <row r="292" s="18" customFormat="1" ht="14.399999999999999" customHeight="1">
      <c r="A292" s="10" t="s">
        <v>266</v>
      </c>
      <c r="B292" s="10" t="s">
        <v>267</v>
      </c>
      <c r="C292" s="13" t="n">
        <v>1078</v>
      </c>
      <c r="D292" s="13" t="n">
        <v>1720</v>
      </c>
      <c r="E292" s="6" t="n">
        <f>SUM(C292,D292)/2</f>
        <v>1399</v>
      </c>
      <c r="F292" s="18" t="n">
        <v>59</v>
      </c>
      <c r="G292" s="18" t="n">
        <v>100</v>
      </c>
      <c r="H292" s="6" t="n">
        <f>SUM(F292,G292)/2</f>
        <v>79.5</v>
      </c>
    </row>
    <row r="293" s="18" customFormat="1" ht="14.399999999999999" customHeight="1">
      <c r="A293" s="10" t="s">
        <v>1659</v>
      </c>
      <c r="B293" s="10" t="s">
        <v>1660</v>
      </c>
      <c r="C293" s="10" t="n">
        <v>95</v>
      </c>
      <c r="D293" s="10" t="n">
        <v>153</v>
      </c>
      <c r="E293" s="6" t="n">
        <f>SUM(C293,D293)/2</f>
        <v>124</v>
      </c>
      <c r="F293" s="18" t="n">
        <v>10</v>
      </c>
      <c r="G293" s="18" t="n">
        <v>22</v>
      </c>
      <c r="H293" s="6" t="n">
        <f>SUM(F293,G293)/2</f>
        <v>16</v>
      </c>
    </row>
    <row r="294" s="18" customFormat="1" ht="14.399999999999999" customHeight="1">
      <c r="A294" s="10" t="s">
        <v>3327</v>
      </c>
      <c r="B294" s="10" t="s">
        <v>3328</v>
      </c>
      <c r="C294" s="13" t="n">
        <v>64020</v>
      </c>
      <c r="D294" s="13" t="n">
        <v>102266</v>
      </c>
      <c r="E294" s="6" t="n">
        <f>SUM(C294,D294)/2</f>
        <v>83143</v>
      </c>
      <c r="F294" s="12" t="n">
        <v>28610</v>
      </c>
      <c r="G294" s="12" t="n">
        <v>37563</v>
      </c>
      <c r="H294" s="6" t="n">
        <f>SUM(F294,G294)/2</f>
        <v>33086.5</v>
      </c>
    </row>
    <row r="295" s="18" customFormat="1" ht="14.399999999999999" customHeight="1">
      <c r="A295" s="10" t="s">
        <v>5169</v>
      </c>
      <c r="B295" s="10" t="s">
        <v>5170</v>
      </c>
      <c r="C295" s="13" t="n">
        <v>6649</v>
      </c>
      <c r="D295" s="13" t="n">
        <v>10623</v>
      </c>
      <c r="E295" s="6" t="n">
        <f>SUM(C295,D295)/2</f>
        <v>8636</v>
      </c>
      <c r="F295" s="12" t="n">
        <v>3851</v>
      </c>
      <c r="G295" s="12" t="n">
        <v>5993</v>
      </c>
      <c r="H295" s="6" t="n">
        <f>SUM(F295,G295)/2</f>
        <v>4922</v>
      </c>
    </row>
    <row r="296" s="18" customFormat="1" ht="14.399999999999999" customHeight="1">
      <c r="A296" s="10" t="s">
        <v>204</v>
      </c>
      <c r="B296" s="10" t="s">
        <v>205</v>
      </c>
      <c r="C296" s="10"/>
      <c r="D296" s="10"/>
      <c r="E296" s="6" t="n">
        <f>SUM(C296,D296)/2</f>
        <v>0</v>
      </c>
      <c r="F296" s="13" t="n">
        <v>2419100</v>
      </c>
      <c r="G296" s="12" t="n">
        <v>3368074</v>
      </c>
      <c r="H296" s="6" t="n">
        <f>SUM(F296,G296)/2</f>
        <v>2893587</v>
      </c>
    </row>
    <row r="297" s="18" customFormat="1" ht="14.399999999999999" customHeight="1">
      <c r="A297" s="10" t="s">
        <v>5647</v>
      </c>
      <c r="B297" s="10" t="s">
        <v>5648</v>
      </c>
      <c r="C297" s="13" t="n">
        <v>5431</v>
      </c>
      <c r="D297" s="13" t="n">
        <v>8677</v>
      </c>
      <c r="E297" s="6" t="n">
        <f>SUM(C297,D297)/2</f>
        <v>7054</v>
      </c>
      <c r="F297" s="12" t="n">
        <v>5565</v>
      </c>
      <c r="G297" s="12" t="n">
        <v>8336</v>
      </c>
      <c r="H297" s="6" t="n">
        <f>SUM(F297,G297)/2</f>
        <v>6950.5</v>
      </c>
    </row>
    <row r="298" s="18" customFormat="1" ht="14.399999999999999" customHeight="1">
      <c r="A298" s="10" t="s">
        <v>3845</v>
      </c>
      <c r="B298" s="10" t="s">
        <v>3846</v>
      </c>
      <c r="C298" s="13" t="n">
        <v>20002</v>
      </c>
      <c r="D298" s="13" t="n">
        <v>31952</v>
      </c>
      <c r="E298" s="6" t="n">
        <f>SUM(C298,D298)/2</f>
        <v>25977</v>
      </c>
      <c r="F298" s="12" t="n">
        <v>20195</v>
      </c>
      <c r="G298" s="12" t="n">
        <v>25671</v>
      </c>
      <c r="H298" s="6" t="n">
        <f>SUM(F298,G298)/2</f>
        <v>22933</v>
      </c>
    </row>
    <row r="299" s="18" customFormat="1" ht="14.399999999999999" customHeight="1">
      <c r="A299" s="10" t="s">
        <v>4175</v>
      </c>
      <c r="B299" s="10" t="s">
        <v>4176</v>
      </c>
      <c r="C299" s="13" t="n">
        <v>25432</v>
      </c>
      <c r="D299" s="13" t="n">
        <v>40626</v>
      </c>
      <c r="E299" s="6" t="n">
        <f>SUM(C299,D299)/2</f>
        <v>33029</v>
      </c>
      <c r="F299" s="12" t="n">
        <v>10470</v>
      </c>
      <c r="G299" s="12" t="n">
        <v>16949</v>
      </c>
      <c r="H299" s="6" t="n">
        <f>SUM(F299,G299)/2</f>
        <v>13709.5</v>
      </c>
    </row>
    <row r="300" s="18" customFormat="1" ht="14.399999999999999" customHeight="1">
      <c r="A300" s="10" t="s">
        <v>5113</v>
      </c>
      <c r="B300" s="10" t="s">
        <v>5114</v>
      </c>
      <c r="C300" s="13" t="n">
        <v>2642</v>
      </c>
      <c r="D300" s="13" t="n">
        <v>4222</v>
      </c>
      <c r="E300" s="6" t="n">
        <f>SUM(C300,D300)/2</f>
        <v>3432</v>
      </c>
      <c r="F300" s="12" t="n">
        <v>5446</v>
      </c>
      <c r="G300" s="12" t="n">
        <v>8870</v>
      </c>
      <c r="H300" s="6" t="n">
        <f>SUM(F300,G300)/2</f>
        <v>7158</v>
      </c>
    </row>
    <row r="301" s="18" customFormat="1" ht="14.399999999999999" customHeight="1">
      <c r="A301" s="10" t="s">
        <v>2</v>
      </c>
      <c r="B301" s="10" t="s">
        <v>3</v>
      </c>
      <c r="C301" s="10"/>
      <c r="D301" s="10"/>
      <c r="E301" s="6" t="n">
        <f>SUM(C301,D301)/2</f>
        <v>0</v>
      </c>
      <c r="F301" s="13" t="n">
        <v>119665456</v>
      </c>
      <c r="G301" s="12" t="n">
        <v>177051487</v>
      </c>
      <c r="H301" s="6" t="n">
        <f>SUM(F301,G301)/2</f>
        <v>148358471.5</v>
      </c>
    </row>
    <row r="302" s="18" customFormat="1" ht="14.399999999999999" customHeight="1">
      <c r="A302" s="10" t="s">
        <v>957</v>
      </c>
      <c r="B302" s="10" t="s">
        <v>958</v>
      </c>
      <c r="C302" s="13" t="n">
        <v>869983</v>
      </c>
      <c r="D302" s="13" t="n">
        <v>1389715</v>
      </c>
      <c r="E302" s="6" t="n">
        <f>SUM(C302,D302)/2</f>
        <v>1129849</v>
      </c>
      <c r="F302" s="12" t="n">
        <v>34054</v>
      </c>
      <c r="G302" s="12" t="n">
        <v>74508</v>
      </c>
      <c r="H302" s="6" t="n">
        <f>SUM(F302,G302)/2</f>
        <v>54281</v>
      </c>
    </row>
    <row r="303" s="18" customFormat="1" ht="14.399999999999999" customHeight="1">
      <c r="A303" s="10" t="s">
        <v>2268</v>
      </c>
      <c r="B303" s="10" t="s">
        <v>2269</v>
      </c>
      <c r="C303" s="10" t="n">
        <v>9</v>
      </c>
      <c r="D303" s="10" t="n">
        <v>15</v>
      </c>
      <c r="E303" s="6" t="n">
        <f>SUM(C303,D303)/2</f>
        <v>12</v>
      </c>
      <c r="F303" s="18" t="n">
        <v>3</v>
      </c>
      <c r="G303" s="18" t="n">
        <v>4</v>
      </c>
      <c r="H303" s="6" t="n">
        <f>SUM(F303,G303)/2</f>
        <v>3.5</v>
      </c>
    </row>
    <row r="304" s="18" customFormat="1" ht="14.399999999999999" customHeight="1">
      <c r="A304" s="10" t="s">
        <v>5649</v>
      </c>
      <c r="B304" s="10" t="s">
        <v>5650</v>
      </c>
      <c r="C304" s="10"/>
      <c r="D304" s="10"/>
      <c r="E304" s="6" t="n">
        <f>SUM(C304,D304)/2</f>
        <v>0</v>
      </c>
      <c r="F304" s="13" t="n">
        <v>28563706</v>
      </c>
      <c r="G304" s="12" t="n">
        <v>40516775</v>
      </c>
      <c r="H304" s="6" t="n">
        <f>SUM(F304,G304)/2</f>
        <v>34540240.5</v>
      </c>
    </row>
    <row r="305" s="18" customFormat="1" ht="14.399999999999999" customHeight="1">
      <c r="A305" s="10" t="s">
        <v>196</v>
      </c>
      <c r="B305" s="10" t="s">
        <v>197</v>
      </c>
      <c r="C305" s="10"/>
      <c r="D305" s="10"/>
      <c r="E305" s="6" t="n">
        <f>SUM(C305,D305)/2</f>
        <v>0</v>
      </c>
      <c r="F305" s="13" t="n">
        <v>27483221</v>
      </c>
      <c r="G305" s="12" t="n">
        <v>32825411</v>
      </c>
      <c r="H305" s="6" t="n">
        <f>SUM(F305,G305)/2</f>
        <v>30154316</v>
      </c>
    </row>
    <row r="306" s="18" customFormat="1" ht="14.399999999999999" customHeight="1">
      <c r="A306" s="10" t="s">
        <v>3815</v>
      </c>
      <c r="B306" s="10" t="s">
        <v>3816</v>
      </c>
      <c r="C306" s="13" t="n">
        <v>83063</v>
      </c>
      <c r="D306" s="13" t="n">
        <v>132685</v>
      </c>
      <c r="E306" s="6" t="n">
        <f>SUM(C306,D306)/2</f>
        <v>107874</v>
      </c>
      <c r="F306" s="12" t="n">
        <v>3682</v>
      </c>
      <c r="G306" s="12" t="n">
        <v>9620</v>
      </c>
      <c r="H306" s="6" t="n">
        <f>SUM(F306,G306)/2</f>
        <v>6651</v>
      </c>
    </row>
    <row r="307" s="18" customFormat="1" ht="14.399999999999999" customHeight="1">
      <c r="A307" s="10" t="s">
        <v>3287</v>
      </c>
      <c r="B307" s="10" t="s">
        <v>3288</v>
      </c>
      <c r="C307" s="13" t="n">
        <v>75378</v>
      </c>
      <c r="D307" s="13" t="n">
        <v>120410</v>
      </c>
      <c r="E307" s="6" t="n">
        <f>SUM(C307,D307)/2</f>
        <v>97894</v>
      </c>
      <c r="F307" s="12" t="n">
        <v>28853</v>
      </c>
      <c r="G307" s="12" t="n">
        <v>38513</v>
      </c>
      <c r="H307" s="6" t="n">
        <f>SUM(F307,G307)/2</f>
        <v>33683</v>
      </c>
    </row>
    <row r="308" s="18" customFormat="1" ht="14.399999999999999" customHeight="1">
      <c r="A308" s="10" t="s">
        <v>702</v>
      </c>
      <c r="B308" s="10" t="s">
        <v>703</v>
      </c>
      <c r="C308" s="13" t="n">
        <v>5320652</v>
      </c>
      <c r="D308" s="13" t="n">
        <v>8499224</v>
      </c>
      <c r="E308" s="6" t="n">
        <f>SUM(C308,D308)/2</f>
        <v>6909938</v>
      </c>
      <c r="F308" s="12" t="n">
        <v>16263</v>
      </c>
      <c r="G308" s="12" t="n">
        <v>22467</v>
      </c>
      <c r="H308" s="6" t="n">
        <f>SUM(F308,G308)/2</f>
        <v>19365</v>
      </c>
    </row>
    <row r="309" s="18" customFormat="1" ht="14.399999999999999" customHeight="1">
      <c r="A309" s="10" t="s">
        <v>4839</v>
      </c>
      <c r="B309" s="10" t="s">
        <v>4840</v>
      </c>
      <c r="C309" s="13" t="n">
        <v>6761</v>
      </c>
      <c r="D309" s="13" t="n">
        <v>10799</v>
      </c>
      <c r="E309" s="6" t="n">
        <f>SUM(C309,D309)/2</f>
        <v>8780</v>
      </c>
      <c r="F309" s="12" t="n">
        <v>7413</v>
      </c>
      <c r="G309" s="12" t="n">
        <v>11753</v>
      </c>
      <c r="H309" s="6" t="n">
        <f>SUM(F309,G309)/2</f>
        <v>9583</v>
      </c>
    </row>
    <row r="310" s="18" customFormat="1" ht="14.399999999999999" customHeight="1">
      <c r="A310" s="10" t="s">
        <v>5651</v>
      </c>
      <c r="B310" s="10" t="s">
        <v>5652</v>
      </c>
      <c r="C310" s="10"/>
      <c r="D310" s="10"/>
      <c r="E310" s="6" t="n">
        <f>SUM(C310,D310)/2</f>
        <v>0</v>
      </c>
      <c r="F310" s="12" t="n">
        <v>28684</v>
      </c>
      <c r="G310" s="12" t="n">
        <v>38567</v>
      </c>
      <c r="H310" s="6" t="n">
        <f>SUM(F310,G310)/2</f>
        <v>33625.5</v>
      </c>
    </row>
    <row r="311" s="18" customFormat="1" ht="14.399999999999999" customHeight="1">
      <c r="A311" s="10" t="s">
        <v>1302</v>
      </c>
      <c r="B311" s="10" t="s">
        <v>1303</v>
      </c>
      <c r="C311" s="13" t="n">
        <v>72342</v>
      </c>
      <c r="D311" s="13" t="n">
        <v>115558</v>
      </c>
      <c r="E311" s="6" t="n">
        <f>SUM(C311,D311)/2</f>
        <v>93950</v>
      </c>
      <c r="F311" s="12" t="n">
        <v>46551</v>
      </c>
      <c r="G311" s="12" t="n">
        <v>61838</v>
      </c>
      <c r="H311" s="6" t="n">
        <f>SUM(F311,G311)/2</f>
        <v>54194.5</v>
      </c>
    </row>
    <row r="312" s="18" customFormat="1" ht="14.399999999999999" customHeight="1">
      <c r="A312" s="10" t="s">
        <v>3941</v>
      </c>
      <c r="B312" s="10" t="s">
        <v>3942</v>
      </c>
      <c r="C312" s="13" t="n">
        <v>41165</v>
      </c>
      <c r="D312" s="13" t="n">
        <v>65757</v>
      </c>
      <c r="E312" s="6" t="n">
        <f>SUM(C312,D312)/2</f>
        <v>53461</v>
      </c>
      <c r="F312" s="12" t="n">
        <v>11582</v>
      </c>
      <c r="G312" s="12" t="n">
        <v>17450</v>
      </c>
      <c r="H312" s="6" t="n">
        <f>SUM(F312,G312)/2</f>
        <v>14516</v>
      </c>
    </row>
    <row r="313" s="18" customFormat="1" ht="14.399999999999999" customHeight="1">
      <c r="A313" s="10" t="s">
        <v>2532</v>
      </c>
      <c r="B313" s="10" t="s">
        <v>2533</v>
      </c>
      <c r="C313" s="10" t="n">
        <v>1</v>
      </c>
      <c r="D313" s="10" t="n">
        <v>1</v>
      </c>
      <c r="E313" s="6" t="n">
        <f>SUM(C313,D313)/2</f>
        <v>1</v>
      </c>
      <c r="F313" s="18" t="n">
        <v>2</v>
      </c>
      <c r="G313" s="18" t="n">
        <v>3</v>
      </c>
      <c r="H313" s="6" t="n">
        <f>SUM(F313,G313)/2</f>
        <v>2.5</v>
      </c>
    </row>
    <row r="314" s="18" customFormat="1" ht="14.399999999999999" customHeight="1">
      <c r="A314" s="10" t="s">
        <v>5653</v>
      </c>
      <c r="B314" s="10" t="s">
        <v>5654</v>
      </c>
      <c r="C314" s="13" t="n">
        <v>46954</v>
      </c>
      <c r="D314" s="13" t="n">
        <v>75006</v>
      </c>
      <c r="E314" s="6" t="n">
        <f>SUM(C314,D314)/2</f>
        <v>60980</v>
      </c>
      <c r="F314" s="12" t="n">
        <v>10819</v>
      </c>
      <c r="G314" s="12" t="n">
        <v>16051</v>
      </c>
      <c r="H314" s="6" t="n">
        <f>SUM(F314,G314)/2</f>
        <v>13435</v>
      </c>
    </row>
    <row r="315" s="18" customFormat="1" ht="14.399999999999999" customHeight="1">
      <c r="A315" s="10" t="s">
        <v>3719</v>
      </c>
      <c r="B315" s="10" t="s">
        <v>3720</v>
      </c>
      <c r="C315" s="13" t="n">
        <v>57356</v>
      </c>
      <c r="D315" s="13" t="n">
        <v>91618</v>
      </c>
      <c r="E315" s="6" t="n">
        <f>SUM(C315,D315)/2</f>
        <v>74487</v>
      </c>
      <c r="F315" s="12" t="n">
        <v>14479</v>
      </c>
      <c r="G315" s="12" t="n">
        <v>20191</v>
      </c>
      <c r="H315" s="6" t="n">
        <f>SUM(F315,G315)/2</f>
        <v>17335</v>
      </c>
    </row>
    <row r="316" s="18" customFormat="1" ht="14.399999999999999" customHeight="1">
      <c r="A316" s="10" t="s">
        <v>1101</v>
      </c>
      <c r="B316" s="10" t="s">
        <v>1102</v>
      </c>
      <c r="C316" s="13" t="n">
        <v>688288</v>
      </c>
      <c r="D316" s="13" t="n">
        <v>1099476</v>
      </c>
      <c r="E316" s="6" t="n">
        <f>SUM(C316,D316)/2</f>
        <v>893882</v>
      </c>
      <c r="F316" s="18" t="n">
        <v>437</v>
      </c>
      <c r="G316" s="18" t="n">
        <v>710</v>
      </c>
      <c r="H316" s="6" t="n">
        <f>SUM(F316,G316)/2</f>
        <v>573.5</v>
      </c>
    </row>
    <row r="317" s="18" customFormat="1" ht="14.399999999999999" customHeight="1">
      <c r="A317" s="10" t="s">
        <v>5655</v>
      </c>
      <c r="B317" s="10" t="s">
        <v>5656</v>
      </c>
      <c r="C317" s="13" t="n">
        <v>85798</v>
      </c>
      <c r="D317" s="13" t="n">
        <v>137054</v>
      </c>
      <c r="E317" s="6" t="n">
        <f>SUM(C317,D317)/2</f>
        <v>111426</v>
      </c>
      <c r="F317" s="12" t="n">
        <v>20200</v>
      </c>
      <c r="G317" s="12" t="n">
        <v>27910</v>
      </c>
      <c r="H317" s="6" t="n">
        <f>SUM(F317,G317)/2</f>
        <v>24055</v>
      </c>
    </row>
    <row r="318" s="18" customFormat="1" ht="14.399999999999999" customHeight="1">
      <c r="A318" s="10" t="s">
        <v>1089</v>
      </c>
      <c r="B318" s="10" t="s">
        <v>1090</v>
      </c>
      <c r="C318" s="13" t="n">
        <v>105151</v>
      </c>
      <c r="D318" s="13" t="n">
        <v>167969</v>
      </c>
      <c r="E318" s="6" t="n">
        <f>SUM(C318,D318)/2</f>
        <v>136560</v>
      </c>
      <c r="F318" s="12" t="n">
        <v>138088</v>
      </c>
      <c r="G318" s="12" t="n">
        <v>201462</v>
      </c>
      <c r="H318" s="6" t="n">
        <f>SUM(F318,G318)/2</f>
        <v>169775</v>
      </c>
    </row>
    <row r="319" s="18" customFormat="1" ht="14.399999999999999" customHeight="1">
      <c r="A319" s="10" t="s">
        <v>4559</v>
      </c>
      <c r="B319" s="10" t="s">
        <v>4560</v>
      </c>
      <c r="C319" s="13" t="n">
        <v>26780</v>
      </c>
      <c r="D319" s="13" t="n">
        <v>42780</v>
      </c>
      <c r="E319" s="6" t="n">
        <f>SUM(C319,D319)/2</f>
        <v>34780</v>
      </c>
      <c r="F319" s="12" t="n">
        <v>5769</v>
      </c>
      <c r="G319" s="12" t="n">
        <v>8616</v>
      </c>
      <c r="H319" s="6" t="n">
        <f>SUM(F319,G319)/2</f>
        <v>7192.5</v>
      </c>
    </row>
    <row r="320" s="18" customFormat="1" ht="14.399999999999999" customHeight="1">
      <c r="A320" s="10" t="s">
        <v>3991</v>
      </c>
      <c r="B320" s="10" t="s">
        <v>3992</v>
      </c>
      <c r="C320" s="13" t="n">
        <v>12268</v>
      </c>
      <c r="D320" s="13" t="n">
        <v>19596</v>
      </c>
      <c r="E320" s="6" t="n">
        <f>SUM(C320,D320)/2</f>
        <v>15932</v>
      </c>
      <c r="F320" s="12" t="n">
        <v>17053</v>
      </c>
      <c r="G320" s="12" t="n">
        <v>26418</v>
      </c>
      <c r="H320" s="6" t="n">
        <f>SUM(F320,G320)/2</f>
        <v>21735.5</v>
      </c>
    </row>
    <row r="321" s="18" customFormat="1" ht="14.399999999999999" customHeight="1">
      <c r="A321" s="10" t="s">
        <v>1332</v>
      </c>
      <c r="B321" s="10" t="s">
        <v>1333</v>
      </c>
      <c r="C321" s="10" t="n">
        <v>238</v>
      </c>
      <c r="D321" s="10" t="n">
        <v>378</v>
      </c>
      <c r="E321" s="6" t="n">
        <f>SUM(C321,D321)/2</f>
        <v>308</v>
      </c>
      <c r="F321" s="18" t="n">
        <v>18</v>
      </c>
      <c r="G321" s="18" t="n">
        <v>26</v>
      </c>
      <c r="H321" s="6" t="n">
        <f>SUM(F321,G321)/2</f>
        <v>22</v>
      </c>
    </row>
    <row r="322" s="18" customFormat="1" ht="14.399999999999999" customHeight="1">
      <c r="A322" s="10" t="s">
        <v>5029</v>
      </c>
      <c r="B322" s="10" t="s">
        <v>5030</v>
      </c>
      <c r="C322" s="13" t="n">
        <v>12540</v>
      </c>
      <c r="D322" s="13" t="n">
        <v>20030</v>
      </c>
      <c r="E322" s="6" t="n">
        <f>SUM(C322,D322)/2</f>
        <v>16285</v>
      </c>
      <c r="F322" s="12" t="n">
        <v>4994</v>
      </c>
      <c r="G322" s="12" t="n">
        <v>6767</v>
      </c>
      <c r="H322" s="6" t="n">
        <f>SUM(F322,G322)/2</f>
        <v>5880.5</v>
      </c>
    </row>
    <row r="323" s="18" customFormat="1" ht="14.399999999999999" customHeight="1">
      <c r="A323" s="10" t="s">
        <v>4829</v>
      </c>
      <c r="B323" s="10" t="s">
        <v>4830</v>
      </c>
      <c r="C323" s="13" t="n">
        <v>8136</v>
      </c>
      <c r="D323" s="13" t="n">
        <v>12994</v>
      </c>
      <c r="E323" s="6" t="n">
        <f>SUM(C323,D323)/2</f>
        <v>10565</v>
      </c>
      <c r="F323" s="12" t="n">
        <v>7486</v>
      </c>
      <c r="G323" s="12" t="n">
        <v>11066</v>
      </c>
      <c r="H323" s="6" t="n">
        <f>SUM(F323,G323)/2</f>
        <v>9276</v>
      </c>
    </row>
    <row r="324" s="18" customFormat="1" ht="14.399999999999999" customHeight="1">
      <c r="A324" s="10" t="s">
        <v>3053</v>
      </c>
      <c r="B324" s="10" t="s">
        <v>3054</v>
      </c>
      <c r="C324" s="13" t="n">
        <v>109233</v>
      </c>
      <c r="D324" s="13" t="n">
        <v>174489</v>
      </c>
      <c r="E324" s="6" t="n">
        <f>SUM(C324,D324)/2</f>
        <v>141861</v>
      </c>
      <c r="F324" s="12" t="n">
        <v>37243</v>
      </c>
      <c r="G324" s="12" t="n">
        <v>44473</v>
      </c>
      <c r="H324" s="6" t="n">
        <f>SUM(F324,G324)/2</f>
        <v>40858</v>
      </c>
    </row>
    <row r="325" s="18" customFormat="1" ht="14.399999999999999" customHeight="1">
      <c r="A325" s="10" t="s">
        <v>5657</v>
      </c>
      <c r="B325" s="10" t="s">
        <v>5658</v>
      </c>
      <c r="C325" s="10" t="n">
        <v>7</v>
      </c>
      <c r="D325" s="10" t="n">
        <v>11</v>
      </c>
      <c r="E325" s="6" t="n">
        <f>SUM(C325,D325)/2</f>
        <v>9</v>
      </c>
      <c r="F325" s="18" t="n">
        <v>56</v>
      </c>
      <c r="G325" s="18" t="n">
        <v>68</v>
      </c>
      <c r="H325" s="6" t="n">
        <f>SUM(F325,G325)/2</f>
        <v>62</v>
      </c>
    </row>
    <row r="326" s="18" customFormat="1" ht="14.399999999999999" customHeight="1">
      <c r="A326" s="10" t="s">
        <v>3645</v>
      </c>
      <c r="B326" s="10" t="s">
        <v>3646</v>
      </c>
      <c r="C326" s="13" t="n">
        <v>55240</v>
      </c>
      <c r="D326" s="13" t="n">
        <v>88238</v>
      </c>
      <c r="E326" s="6" t="n">
        <f>SUM(C326,D326)/2</f>
        <v>71739</v>
      </c>
      <c r="F326" s="12" t="n">
        <v>15782</v>
      </c>
      <c r="G326" s="12" t="n">
        <v>25886</v>
      </c>
      <c r="H326" s="6" t="n">
        <f>SUM(F326,G326)/2</f>
        <v>20834</v>
      </c>
    </row>
    <row r="327" s="18" customFormat="1" ht="14.399999999999999" customHeight="1">
      <c r="A327" s="10" t="s">
        <v>3485</v>
      </c>
      <c r="B327" s="10" t="s">
        <v>3486</v>
      </c>
      <c r="C327" s="13" t="n">
        <v>62803</v>
      </c>
      <c r="D327" s="13" t="n">
        <v>100323</v>
      </c>
      <c r="E327" s="6" t="n">
        <f>SUM(C327,D327)/2</f>
        <v>81563</v>
      </c>
      <c r="F327" s="12" t="n">
        <v>22703</v>
      </c>
      <c r="G327" s="12" t="n">
        <v>28977</v>
      </c>
      <c r="H327" s="6" t="n">
        <f>SUM(F327,G327)/2</f>
        <v>25840</v>
      </c>
    </row>
    <row r="328" s="18" customFormat="1" ht="14.399999999999999" customHeight="1">
      <c r="A328" s="10" t="s">
        <v>4181</v>
      </c>
      <c r="B328" s="10" t="s">
        <v>4182</v>
      </c>
      <c r="C328" s="13" t="n">
        <v>44430</v>
      </c>
      <c r="D328" s="13" t="n">
        <v>70974</v>
      </c>
      <c r="E328" s="6" t="n">
        <f>SUM(C328,D328)/2</f>
        <v>57702</v>
      </c>
      <c r="F328" s="12" t="n">
        <v>6929</v>
      </c>
      <c r="G328" s="12" t="n">
        <v>9756</v>
      </c>
      <c r="H328" s="6" t="n">
        <f>SUM(F328,G328)/2</f>
        <v>8342.5</v>
      </c>
    </row>
    <row r="329" s="18" customFormat="1" ht="14.399999999999999" customHeight="1">
      <c r="A329" s="10" t="s">
        <v>5057</v>
      </c>
      <c r="B329" s="10" t="s">
        <v>5058</v>
      </c>
      <c r="C329" s="13" t="n">
        <v>7740</v>
      </c>
      <c r="D329" s="13" t="n">
        <v>12366</v>
      </c>
      <c r="E329" s="6" t="n">
        <f>SUM(C329,D329)/2</f>
        <v>10053</v>
      </c>
      <c r="F329" s="12" t="n">
        <v>5027</v>
      </c>
      <c r="G329" s="12" t="n">
        <v>8521</v>
      </c>
      <c r="H329" s="6" t="n">
        <f>SUM(F329,G329)/2</f>
        <v>6774</v>
      </c>
    </row>
    <row r="330" s="18" customFormat="1" ht="14.399999999999999" customHeight="1">
      <c r="A330" s="10" t="s">
        <v>3877</v>
      </c>
      <c r="B330" s="10" t="s">
        <v>3878</v>
      </c>
      <c r="C330" s="13" t="n">
        <v>27273</v>
      </c>
      <c r="D330" s="13" t="n">
        <v>43565</v>
      </c>
      <c r="E330" s="6" t="n">
        <f>SUM(C330,D330)/2</f>
        <v>35419</v>
      </c>
      <c r="F330" s="12" t="n">
        <v>16452</v>
      </c>
      <c r="G330" s="12" t="n">
        <v>23808</v>
      </c>
      <c r="H330" s="6" t="n">
        <f>SUM(F330,G330)/2</f>
        <v>20130</v>
      </c>
    </row>
    <row r="331" s="18" customFormat="1" ht="14.399999999999999" customHeight="1">
      <c r="A331" s="10" t="s">
        <v>1009</v>
      </c>
      <c r="B331" s="10" t="s">
        <v>1010</v>
      </c>
      <c r="C331" s="10" t="n">
        <v>378</v>
      </c>
      <c r="D331" s="10" t="n">
        <v>602</v>
      </c>
      <c r="E331" s="6" t="n">
        <f>SUM(C331,D331)/2</f>
        <v>490</v>
      </c>
      <c r="F331" s="18" t="n">
        <v>191</v>
      </c>
      <c r="G331" s="18" t="n">
        <v>265</v>
      </c>
      <c r="H331" s="6" t="n">
        <f>SUM(F331,G331)/2</f>
        <v>228</v>
      </c>
    </row>
    <row r="332" s="18" customFormat="1" ht="14.399999999999999" customHeight="1">
      <c r="A332" s="10" t="s">
        <v>2789</v>
      </c>
      <c r="B332" s="10" t="s">
        <v>2790</v>
      </c>
      <c r="C332" s="10" t="n">
        <v>1</v>
      </c>
      <c r="D332" s="10" t="n">
        <v>1</v>
      </c>
      <c r="E332" s="6" t="n">
        <f>SUM(C332,D332)/2</f>
        <v>1</v>
      </c>
      <c r="F332" s="18" t="n">
        <v>0</v>
      </c>
      <c r="G332" s="18" t="n">
        <v>0</v>
      </c>
      <c r="H332" s="6" t="n">
        <f>SUM(F332,G332)/2</f>
        <v>0</v>
      </c>
    </row>
    <row r="333" s="18" customFormat="1" ht="14.399999999999999" customHeight="1">
      <c r="A333" s="10" t="s">
        <v>4395</v>
      </c>
      <c r="B333" s="10" t="s">
        <v>4396</v>
      </c>
      <c r="C333" s="13" t="n">
        <v>9931</v>
      </c>
      <c r="D333" s="13" t="n">
        <v>15865</v>
      </c>
      <c r="E333" s="6" t="n">
        <f>SUM(C333,D333)/2</f>
        <v>12898</v>
      </c>
      <c r="F333" s="12" t="n">
        <v>11694</v>
      </c>
      <c r="G333" s="12" t="n">
        <v>16465</v>
      </c>
      <c r="H333" s="6" t="n">
        <f>SUM(F333,G333)/2</f>
        <v>14079.5</v>
      </c>
    </row>
    <row r="334" s="18" customFormat="1" ht="14.399999999999999" customHeight="1">
      <c r="A334" s="10" t="s">
        <v>5659</v>
      </c>
      <c r="B334" s="10" t="s">
        <v>5660</v>
      </c>
      <c r="C334" s="13" t="n">
        <v>4951</v>
      </c>
      <c r="D334" s="13" t="n">
        <v>7909</v>
      </c>
      <c r="E334" s="6" t="n">
        <f>SUM(C334,D334)/2</f>
        <v>6430</v>
      </c>
      <c r="F334" s="18" t="n">
        <v>1258</v>
      </c>
      <c r="G334" s="18" t="n">
        <v>1470</v>
      </c>
      <c r="H334" s="6" t="n">
        <f>SUM(F334,G334)/2</f>
        <v>1364</v>
      </c>
    </row>
    <row r="335" s="18" customFormat="1" ht="14.399999999999999" customHeight="1">
      <c r="A335" s="10" t="s">
        <v>54</v>
      </c>
      <c r="B335" s="10" t="s">
        <v>55</v>
      </c>
      <c r="C335" s="13" t="n">
        <v>2979823</v>
      </c>
      <c r="D335" s="13" t="n">
        <v>4759975</v>
      </c>
      <c r="E335" s="6" t="n">
        <f>SUM(C335,D335)/2</f>
        <v>3869899</v>
      </c>
      <c r="F335" s="12" t="n">
        <v>757270</v>
      </c>
      <c r="G335" s="12" t="n">
        <v>1094057</v>
      </c>
      <c r="H335" s="6" t="n">
        <f>SUM(F335,G335)/2</f>
        <v>925663.5</v>
      </c>
    </row>
    <row r="336" s="18" customFormat="1" ht="14.399999999999999" customHeight="1">
      <c r="A336" s="10" t="s">
        <v>5661</v>
      </c>
      <c r="B336" s="10" t="s">
        <v>5662</v>
      </c>
      <c r="C336" s="13" t="n">
        <v>31999</v>
      </c>
      <c r="D336" s="13" t="n">
        <v>51117</v>
      </c>
      <c r="E336" s="6" t="n">
        <f>SUM(C336,D336)/2</f>
        <v>41558</v>
      </c>
      <c r="F336" s="12" t="n">
        <v>4516</v>
      </c>
      <c r="G336" s="12" t="n">
        <v>7111</v>
      </c>
      <c r="H336" s="6" t="n">
        <f>SUM(F336,G336)/2</f>
        <v>5813.5</v>
      </c>
    </row>
    <row r="337" s="18" customFormat="1" ht="14.399999999999999" customHeight="1">
      <c r="A337" s="10" t="s">
        <v>2202</v>
      </c>
      <c r="B337" s="10" t="s">
        <v>2203</v>
      </c>
      <c r="C337" s="10" t="n">
        <v>23</v>
      </c>
      <c r="D337" s="10" t="n">
        <v>37</v>
      </c>
      <c r="E337" s="6" t="n">
        <f>SUM(C337,D337)/2</f>
        <v>30</v>
      </c>
      <c r="F337" s="18" t="n">
        <v>1</v>
      </c>
      <c r="G337" s="18" t="n">
        <v>1</v>
      </c>
      <c r="H337" s="6" t="n">
        <f>SUM(F337,G337)/2</f>
        <v>1</v>
      </c>
    </row>
    <row r="338" s="18" customFormat="1" ht="14.399999999999999" customHeight="1">
      <c r="A338" s="10" t="s">
        <v>2676</v>
      </c>
      <c r="B338" s="10" t="s">
        <v>2677</v>
      </c>
      <c r="C338" s="10" t="n">
        <v>0</v>
      </c>
      <c r="D338" s="10" t="n">
        <v>0</v>
      </c>
      <c r="E338" s="6" t="n">
        <f>SUM(C338,D338)/2</f>
        <v>0</v>
      </c>
      <c r="F338" s="18" t="n">
        <v>1</v>
      </c>
      <c r="G338" s="18" t="n">
        <v>1</v>
      </c>
      <c r="H338" s="6" t="n">
        <f>SUM(F338,G338)/2</f>
        <v>1</v>
      </c>
    </row>
    <row r="339" s="18" customFormat="1" ht="14.399999999999999" customHeight="1">
      <c r="A339" s="10" t="s">
        <v>3081</v>
      </c>
      <c r="B339" s="10" t="s">
        <v>3082</v>
      </c>
      <c r="C339" s="13" t="n">
        <v>66474</v>
      </c>
      <c r="D339" s="13" t="n">
        <v>106187</v>
      </c>
      <c r="E339" s="6" t="n">
        <f>SUM(C339,D339)/2</f>
        <v>86330.5</v>
      </c>
      <c r="F339" s="12" t="n">
        <v>44159</v>
      </c>
      <c r="G339" s="12" t="n">
        <v>55379</v>
      </c>
      <c r="H339" s="6" t="n">
        <f>SUM(F339,G339)/2</f>
        <v>49769</v>
      </c>
    </row>
    <row r="340" s="18" customFormat="1" ht="14.399999999999999" customHeight="1">
      <c r="A340" s="10" t="s">
        <v>5663</v>
      </c>
      <c r="B340" s="10" t="s">
        <v>5664</v>
      </c>
      <c r="C340" s="10" t="n">
        <v>0</v>
      </c>
      <c r="D340" s="10" t="n">
        <v>0</v>
      </c>
      <c r="E340" s="6" t="n">
        <f>SUM(C340,D340)/2</f>
        <v>0</v>
      </c>
      <c r="F340" s="18" t="n">
        <v>3</v>
      </c>
      <c r="G340" s="18" t="n">
        <v>4</v>
      </c>
      <c r="H340" s="6" t="n">
        <f>SUM(F340,G340)/2</f>
        <v>3.5</v>
      </c>
    </row>
    <row r="341" s="18" customFormat="1" ht="14.399999999999999" customHeight="1">
      <c r="A341" s="10" t="s">
        <v>3523</v>
      </c>
      <c r="B341" s="10" t="s">
        <v>3524</v>
      </c>
      <c r="C341" s="13" t="n">
        <v>45793</v>
      </c>
      <c r="D341" s="13" t="n">
        <v>73149</v>
      </c>
      <c r="E341" s="6" t="n">
        <f>SUM(C341,D341)/2</f>
        <v>59471</v>
      </c>
      <c r="F341" s="12" t="n">
        <v>23394</v>
      </c>
      <c r="G341" s="12" t="n">
        <v>33918</v>
      </c>
      <c r="H341" s="6" t="n">
        <f>SUM(F341,G341)/2</f>
        <v>28656</v>
      </c>
    </row>
    <row r="342" s="18" customFormat="1" ht="14.399999999999999" customHeight="1">
      <c r="A342" s="10" t="s">
        <v>656</v>
      </c>
      <c r="B342" s="10" t="s">
        <v>657</v>
      </c>
      <c r="C342" s="10" t="n">
        <v>479</v>
      </c>
      <c r="D342" s="10" t="n">
        <v>765</v>
      </c>
      <c r="E342" s="6" t="n">
        <f>SUM(C342,D342)/2</f>
        <v>622</v>
      </c>
      <c r="F342" s="18" t="n">
        <v>208</v>
      </c>
      <c r="G342" s="18" t="n">
        <v>319</v>
      </c>
      <c r="H342" s="6" t="n">
        <f>SUM(F342,G342)/2</f>
        <v>263.5</v>
      </c>
    </row>
    <row r="343" s="18" customFormat="1" ht="14.399999999999999" customHeight="1">
      <c r="A343" s="10" t="s">
        <v>1653</v>
      </c>
      <c r="B343" s="10" t="s">
        <v>1654</v>
      </c>
      <c r="C343" s="10" t="n">
        <v>130</v>
      </c>
      <c r="D343" s="10" t="n">
        <v>210</v>
      </c>
      <c r="E343" s="6" t="n">
        <f>SUM(C343,D343)/2</f>
        <v>170</v>
      </c>
      <c r="F343" s="18" t="n">
        <v>6</v>
      </c>
      <c r="G343" s="18" t="n">
        <v>8</v>
      </c>
      <c r="H343" s="6" t="n">
        <f>SUM(F343,G343)/2</f>
        <v>7</v>
      </c>
    </row>
    <row r="344" s="18" customFormat="1" ht="14.399999999999999" customHeight="1">
      <c r="A344" s="10" t="s">
        <v>5665</v>
      </c>
      <c r="B344" s="10" t="s">
        <v>5666</v>
      </c>
      <c r="C344" s="10" t="n">
        <v>7</v>
      </c>
      <c r="D344" s="10" t="n">
        <v>11</v>
      </c>
      <c r="E344" s="6" t="n">
        <f>SUM(C344,D344)/2</f>
        <v>9</v>
      </c>
      <c r="F344" s="18" t="n">
        <v>2</v>
      </c>
      <c r="G344" s="18" t="n">
        <v>2</v>
      </c>
      <c r="H344" s="6" t="n">
        <f>SUM(F344,G344)/2</f>
        <v>2</v>
      </c>
    </row>
    <row r="345" s="18" customFormat="1" ht="14.399999999999999" customHeight="1">
      <c r="A345" s="10" t="s">
        <v>3743</v>
      </c>
      <c r="B345" s="10" t="s">
        <v>3744</v>
      </c>
      <c r="C345" s="13" t="n">
        <v>37467</v>
      </c>
      <c r="D345" s="13" t="n">
        <v>59851</v>
      </c>
      <c r="E345" s="6" t="n">
        <f>SUM(C345,D345)/2</f>
        <v>48659</v>
      </c>
      <c r="F345" s="12" t="n">
        <v>18270</v>
      </c>
      <c r="G345" s="12" t="n">
        <v>25704</v>
      </c>
      <c r="H345" s="6" t="n">
        <f>SUM(F345,G345)/2</f>
        <v>21987</v>
      </c>
    </row>
    <row r="346" s="18" customFormat="1" ht="14.399999999999999" customHeight="1">
      <c r="A346" s="10" t="s">
        <v>4077</v>
      </c>
      <c r="B346" s="10" t="s">
        <v>4078</v>
      </c>
      <c r="C346" s="13" t="n">
        <v>21959</v>
      </c>
      <c r="D346" s="13" t="n">
        <v>35081</v>
      </c>
      <c r="E346" s="6" t="n">
        <f>SUM(C346,D346)/2</f>
        <v>28520</v>
      </c>
      <c r="F346" s="12" t="n">
        <v>12679</v>
      </c>
      <c r="G346" s="12" t="n">
        <v>20695</v>
      </c>
      <c r="H346" s="6" t="n">
        <f>SUM(F346,G346)/2</f>
        <v>16687</v>
      </c>
    </row>
    <row r="347" s="18" customFormat="1" ht="14.399999999999999" customHeight="1">
      <c r="A347" s="10" t="s">
        <v>3721</v>
      </c>
      <c r="B347" s="10" t="s">
        <v>3722</v>
      </c>
      <c r="C347" s="13" t="n">
        <v>24737</v>
      </c>
      <c r="D347" s="13" t="n">
        <v>39513</v>
      </c>
      <c r="E347" s="6" t="n">
        <f>SUM(C347,D347)/2</f>
        <v>32125</v>
      </c>
      <c r="F347" s="12" t="n">
        <v>22035</v>
      </c>
      <c r="G347" s="12" t="n">
        <v>30589</v>
      </c>
      <c r="H347" s="6" t="n">
        <f>SUM(F347,G347)/2</f>
        <v>26312</v>
      </c>
    </row>
    <row r="348" s="18" customFormat="1" ht="14.399999999999999" customHeight="1">
      <c r="A348" s="10" t="s">
        <v>5667</v>
      </c>
      <c r="B348" s="10" t="s">
        <v>5668</v>
      </c>
      <c r="C348" s="10" t="n">
        <v>60</v>
      </c>
      <c r="D348" s="10" t="n">
        <v>94</v>
      </c>
      <c r="E348" s="6" t="n">
        <f>SUM(C348,D348)/2</f>
        <v>77</v>
      </c>
      <c r="F348" s="18" t="n">
        <v>99</v>
      </c>
      <c r="G348" s="18" t="n">
        <v>118</v>
      </c>
      <c r="H348" s="6" t="n">
        <f>SUM(F348,G348)/2</f>
        <v>108.5</v>
      </c>
    </row>
    <row r="349" s="18" customFormat="1" ht="14.399999999999999" customHeight="1">
      <c r="A349" s="10" t="s">
        <v>2178</v>
      </c>
      <c r="B349" s="10" t="s">
        <v>2179</v>
      </c>
      <c r="C349" s="10" t="n">
        <v>3</v>
      </c>
      <c r="D349" s="10" t="n">
        <v>5</v>
      </c>
      <c r="E349" s="6" t="n">
        <f>SUM(C349,D349)/2</f>
        <v>4</v>
      </c>
      <c r="F349" s="18" t="n">
        <v>6</v>
      </c>
      <c r="G349" s="18" t="n">
        <v>8</v>
      </c>
      <c r="H349" s="6" t="n">
        <f>SUM(F349,G349)/2</f>
        <v>7</v>
      </c>
    </row>
    <row r="350" s="18" customFormat="1" ht="14.399999999999999" customHeight="1">
      <c r="A350" s="10" t="s">
        <v>372</v>
      </c>
      <c r="B350" s="10" t="s">
        <v>373</v>
      </c>
      <c r="C350" s="13" t="n">
        <v>1017</v>
      </c>
      <c r="D350" s="13" t="n">
        <v>1625</v>
      </c>
      <c r="E350" s="6" t="n">
        <f>SUM(C350,D350)/2</f>
        <v>1321</v>
      </c>
      <c r="F350" s="18" t="n">
        <v>212</v>
      </c>
      <c r="G350" s="18" t="n">
        <v>275</v>
      </c>
      <c r="H350" s="6" t="n">
        <f>SUM(F350,G350)/2</f>
        <v>243.5</v>
      </c>
    </row>
    <row r="351" s="18" customFormat="1" ht="14.399999999999999" customHeight="1">
      <c r="A351" s="10" t="s">
        <v>4531</v>
      </c>
      <c r="B351" s="10" t="s">
        <v>4532</v>
      </c>
      <c r="C351" s="13" t="n">
        <v>24136</v>
      </c>
      <c r="D351" s="13" t="n">
        <v>38558</v>
      </c>
      <c r="E351" s="6" t="n">
        <f>SUM(C351,D351)/2</f>
        <v>31347</v>
      </c>
      <c r="F351" s="12" t="n">
        <v>6273</v>
      </c>
      <c r="G351" s="12" t="n">
        <v>10234</v>
      </c>
      <c r="H351" s="6" t="n">
        <f>SUM(F351,G351)/2</f>
        <v>8253.5</v>
      </c>
    </row>
    <row r="352" s="18" customFormat="1" ht="14.399999999999999" customHeight="1">
      <c r="A352" s="10" t="s">
        <v>2791</v>
      </c>
      <c r="B352" s="10" t="s">
        <v>2792</v>
      </c>
      <c r="C352" s="10" t="n">
        <v>1</v>
      </c>
      <c r="D352" s="10" t="n">
        <v>1</v>
      </c>
      <c r="E352" s="6" t="n">
        <f>SUM(C352,D352)/2</f>
        <v>1</v>
      </c>
      <c r="F352" s="18" t="n">
        <v>0</v>
      </c>
      <c r="G352" s="18" t="n">
        <v>0</v>
      </c>
      <c r="H352" s="6" t="n">
        <f>SUM(F352,G352)/2</f>
        <v>0</v>
      </c>
    </row>
    <row r="353" s="18" customFormat="1" ht="14.399999999999999" customHeight="1">
      <c r="A353" s="10" t="s">
        <v>5669</v>
      </c>
      <c r="B353" s="10" t="s">
        <v>11</v>
      </c>
      <c r="C353" s="13" t="n">
        <v>12628522</v>
      </c>
      <c r="D353" s="13" t="n">
        <v>20172832</v>
      </c>
      <c r="E353" s="6" t="n">
        <f>SUM(C353,D353)/2</f>
        <v>16400677</v>
      </c>
      <c r="F353" s="13" t="n">
        <v>7005861</v>
      </c>
      <c r="G353" s="12" t="n">
        <v>10483851</v>
      </c>
      <c r="H353" s="6" t="n">
        <f>SUM(F353,G353)/2</f>
        <v>8744856</v>
      </c>
    </row>
    <row r="354" s="18" customFormat="1" ht="14.399999999999999" customHeight="1">
      <c r="A354" s="10" t="s">
        <v>52</v>
      </c>
      <c r="B354" s="10" t="s">
        <v>53</v>
      </c>
      <c r="C354" s="13" t="n">
        <v>3925738</v>
      </c>
      <c r="D354" s="13" t="n">
        <v>6270986</v>
      </c>
      <c r="E354" s="6" t="n">
        <f>SUM(C354,D354)/2</f>
        <v>5098362</v>
      </c>
      <c r="F354" s="12" t="n">
        <v>360751</v>
      </c>
      <c r="G354" s="12" t="n">
        <v>981177</v>
      </c>
      <c r="H354" s="6" t="n">
        <f>SUM(F354,G354)/2</f>
        <v>670964</v>
      </c>
    </row>
    <row r="355" s="18" customFormat="1" ht="14.399999999999999" customHeight="1">
      <c r="A355" s="10" t="s">
        <v>2598</v>
      </c>
      <c r="B355" s="10" t="s">
        <v>2599</v>
      </c>
      <c r="C355" s="10" t="n">
        <v>7</v>
      </c>
      <c r="D355" s="10" t="n">
        <v>11</v>
      </c>
      <c r="E355" s="6" t="n">
        <f>SUM(C355,D355)/2</f>
        <v>9</v>
      </c>
      <c r="F355" s="18" t="n">
        <v>0</v>
      </c>
      <c r="G355" s="18" t="n">
        <v>0</v>
      </c>
      <c r="H355" s="6" t="n">
        <f>SUM(F355,G355)/2</f>
        <v>0</v>
      </c>
    </row>
    <row r="356" s="18" customFormat="1" ht="14.399999999999999" customHeight="1">
      <c r="A356" s="10" t="s">
        <v>4515</v>
      </c>
      <c r="B356" s="10" t="s">
        <v>4516</v>
      </c>
      <c r="C356" s="13" t="n">
        <v>26327</v>
      </c>
      <c r="D356" s="13" t="n">
        <v>42056</v>
      </c>
      <c r="E356" s="6" t="n">
        <f>SUM(C356,D356)/2</f>
        <v>34191.5</v>
      </c>
      <c r="F356" s="12" t="n">
        <v>6224</v>
      </c>
      <c r="G356" s="12" t="n">
        <v>9511</v>
      </c>
      <c r="H356" s="6" t="n">
        <f>SUM(F356,G356)/2</f>
        <v>7867.5</v>
      </c>
    </row>
    <row r="357" s="18" customFormat="1" ht="14.399999999999999" customHeight="1">
      <c r="A357" s="10" t="s">
        <v>3961</v>
      </c>
      <c r="B357" s="10" t="s">
        <v>3962</v>
      </c>
      <c r="C357" s="13" t="n">
        <v>40115</v>
      </c>
      <c r="D357" s="13" t="n">
        <v>64081</v>
      </c>
      <c r="E357" s="6" t="n">
        <f>SUM(C357,D357)/2</f>
        <v>52098</v>
      </c>
      <c r="F357" s="12" t="n">
        <v>12763</v>
      </c>
      <c r="G357" s="12" t="n">
        <v>16246</v>
      </c>
      <c r="H357" s="6" t="n">
        <f>SUM(F357,G357)/2</f>
        <v>14504.5</v>
      </c>
    </row>
    <row r="358" s="18" customFormat="1" ht="14.399999999999999" customHeight="1">
      <c r="A358" s="10" t="s">
        <v>1031</v>
      </c>
      <c r="B358" s="10" t="s">
        <v>173</v>
      </c>
      <c r="C358" s="13" t="n">
        <v>5771</v>
      </c>
      <c r="D358" s="13" t="n">
        <v>9217</v>
      </c>
      <c r="E358" s="6" t="n">
        <f>SUM(C358,D358)/2</f>
        <v>7494</v>
      </c>
      <c r="F358" s="18" t="n">
        <v>1565</v>
      </c>
      <c r="G358" s="18" t="n">
        <v>2055</v>
      </c>
      <c r="H358" s="6" t="n">
        <f>SUM(F358,G358)/2</f>
        <v>1810</v>
      </c>
    </row>
    <row r="359" s="18" customFormat="1" ht="14.399999999999999" customHeight="1">
      <c r="A359" s="10" t="s">
        <v>3395</v>
      </c>
      <c r="B359" s="10" t="s">
        <v>3396</v>
      </c>
      <c r="C359" s="13" t="n">
        <v>88517</v>
      </c>
      <c r="D359" s="13" t="n">
        <v>141397</v>
      </c>
      <c r="E359" s="6" t="n">
        <f>SUM(C359,D359)/2</f>
        <v>114957</v>
      </c>
      <c r="F359" s="12" t="n">
        <v>20276</v>
      </c>
      <c r="G359" s="12" t="n">
        <v>24315</v>
      </c>
      <c r="H359" s="6" t="n">
        <f>SUM(F359,G359)/2</f>
        <v>22295.5</v>
      </c>
    </row>
    <row r="360" s="18" customFormat="1" ht="14.399999999999999" customHeight="1">
      <c r="A360" s="10" t="s">
        <v>4085</v>
      </c>
      <c r="B360" s="10" t="s">
        <v>4086</v>
      </c>
      <c r="C360" s="13" t="n">
        <v>32854</v>
      </c>
      <c r="D360" s="13" t="n">
        <v>52482</v>
      </c>
      <c r="E360" s="6" t="n">
        <f>SUM(C360,D360)/2</f>
        <v>42668</v>
      </c>
      <c r="F360" s="12" t="n">
        <v>11411</v>
      </c>
      <c r="G360" s="12" t="n">
        <v>15821</v>
      </c>
      <c r="H360" s="6" t="n">
        <f>SUM(F360,G360)/2</f>
        <v>13616</v>
      </c>
    </row>
    <row r="361" s="18" customFormat="1" ht="14.399999999999999" customHeight="1">
      <c r="A361" s="10" t="s">
        <v>5670</v>
      </c>
      <c r="B361" s="10" t="s">
        <v>5671</v>
      </c>
      <c r="C361" s="13" t="n">
        <v>5238</v>
      </c>
      <c r="D361" s="13" t="n">
        <v>8368</v>
      </c>
      <c r="E361" s="6" t="n">
        <f>SUM(C361,D361)/2</f>
        <v>6803</v>
      </c>
      <c r="F361" s="12" t="n">
        <v>5404</v>
      </c>
      <c r="G361" s="12" t="n">
        <v>8154</v>
      </c>
      <c r="H361" s="6" t="n">
        <f>SUM(F361,G361)/2</f>
        <v>6779</v>
      </c>
    </row>
    <row r="362" s="18" customFormat="1" ht="14.399999999999999" customHeight="1">
      <c r="A362" s="10" t="s">
        <v>5672</v>
      </c>
      <c r="B362" s="10" t="s">
        <v>5673</v>
      </c>
      <c r="C362" s="10" t="n">
        <v>138</v>
      </c>
      <c r="D362" s="10" t="n">
        <v>220</v>
      </c>
      <c r="E362" s="6" t="n">
        <f>SUM(C362,D362)/2</f>
        <v>179</v>
      </c>
      <c r="F362" s="18" t="n">
        <v>63</v>
      </c>
      <c r="G362" s="18" t="n">
        <v>91</v>
      </c>
      <c r="H362" s="6" t="n">
        <f>SUM(F362,G362)/2</f>
        <v>77</v>
      </c>
    </row>
    <row r="363" s="18" customFormat="1" ht="14.399999999999999" customHeight="1">
      <c r="A363" s="10" t="s">
        <v>5674</v>
      </c>
      <c r="B363" s="10" t="s">
        <v>5675</v>
      </c>
      <c r="C363" s="13" t="n">
        <v>48918</v>
      </c>
      <c r="D363" s="13" t="n">
        <v>78142</v>
      </c>
      <c r="E363" s="6" t="n">
        <f>SUM(C363,D363)/2</f>
        <v>63530</v>
      </c>
      <c r="F363" s="12" t="n">
        <v>18283</v>
      </c>
      <c r="G363" s="12" t="n">
        <v>28097</v>
      </c>
      <c r="H363" s="6" t="n">
        <f>SUM(F363,G363)/2</f>
        <v>23190</v>
      </c>
    </row>
    <row r="364" s="18" customFormat="1" ht="14.399999999999999" customHeight="1">
      <c r="A364" s="10" t="s">
        <v>5280</v>
      </c>
      <c r="B364" s="10" t="s">
        <v>5281</v>
      </c>
      <c r="C364" s="13" t="n">
        <v>236852</v>
      </c>
      <c r="D364" s="13" t="n">
        <v>378350</v>
      </c>
      <c r="E364" s="6" t="n">
        <f>SUM(C364,D364)/2</f>
        <v>307601</v>
      </c>
      <c r="F364" s="12" t="n">
        <v>132065</v>
      </c>
      <c r="G364" s="12" t="n">
        <v>192119</v>
      </c>
      <c r="H364" s="6" t="n">
        <f>SUM(F364,G364)/2</f>
        <v>162092</v>
      </c>
    </row>
    <row r="365" s="18" customFormat="1" ht="14.399999999999999" customHeight="1">
      <c r="A365" s="10" t="s">
        <v>3987</v>
      </c>
      <c r="B365" s="10" t="s">
        <v>3988</v>
      </c>
      <c r="C365" s="13" t="n">
        <v>41747</v>
      </c>
      <c r="D365" s="13" t="n">
        <v>66685</v>
      </c>
      <c r="E365" s="6" t="n">
        <f>SUM(C365,D365)/2</f>
        <v>54216</v>
      </c>
      <c r="F365" s="12" t="n">
        <v>11776</v>
      </c>
      <c r="G365" s="12" t="n">
        <v>15659</v>
      </c>
      <c r="H365" s="6" t="n">
        <f>SUM(F365,G365)/2</f>
        <v>13717.5</v>
      </c>
    </row>
    <row r="366" s="18" customFormat="1" ht="14.399999999999999" customHeight="1">
      <c r="A366" s="10" t="s">
        <v>3445</v>
      </c>
      <c r="B366" s="10" t="s">
        <v>3446</v>
      </c>
      <c r="C366" s="13" t="n">
        <v>101176</v>
      </c>
      <c r="D366" s="13" t="n">
        <v>161618</v>
      </c>
      <c r="E366" s="6" t="n">
        <f>SUM(C366,D366)/2</f>
        <v>131397</v>
      </c>
      <c r="F366" s="12" t="n">
        <v>13347</v>
      </c>
      <c r="G366" s="12" t="n">
        <v>19984</v>
      </c>
      <c r="H366" s="6" t="n">
        <f>SUM(F366,G366)/2</f>
        <v>16665.5</v>
      </c>
    </row>
    <row r="367" s="18" customFormat="1" ht="14.399999999999999" customHeight="1">
      <c r="A367" s="10" t="s">
        <v>1703</v>
      </c>
      <c r="B367" s="10" t="s">
        <v>1704</v>
      </c>
      <c r="C367" s="10" t="n">
        <v>39</v>
      </c>
      <c r="D367" s="10" t="n">
        <v>63</v>
      </c>
      <c r="E367" s="6" t="n">
        <f>SUM(C367,D367)/2</f>
        <v>51</v>
      </c>
      <c r="F367" s="18" t="n">
        <v>18</v>
      </c>
      <c r="G367" s="18" t="n">
        <v>28</v>
      </c>
      <c r="H367" s="6" t="n">
        <f>SUM(F367,G367)/2</f>
        <v>23</v>
      </c>
    </row>
    <row r="368" s="18" customFormat="1" ht="14.399999999999999" customHeight="1">
      <c r="A368" s="10" t="s">
        <v>1809</v>
      </c>
      <c r="B368" s="10" t="s">
        <v>1810</v>
      </c>
      <c r="C368" s="10" t="n">
        <v>63</v>
      </c>
      <c r="D368" s="10" t="n">
        <v>99</v>
      </c>
      <c r="E368" s="6" t="n">
        <f>SUM(C368,D368)/2</f>
        <v>81</v>
      </c>
      <c r="F368" s="18" t="n">
        <v>4</v>
      </c>
      <c r="G368" s="18" t="n">
        <v>5</v>
      </c>
      <c r="H368" s="6" t="n">
        <f>SUM(F368,G368)/2</f>
        <v>4.5</v>
      </c>
    </row>
    <row r="369" s="18" customFormat="1" ht="14.399999999999999" customHeight="1">
      <c r="A369" s="10" t="s">
        <v>5676</v>
      </c>
      <c r="B369" s="10" t="s">
        <v>5677</v>
      </c>
      <c r="C369" s="13" t="n">
        <v>10024</v>
      </c>
      <c r="D369" s="13" t="n">
        <v>16014</v>
      </c>
      <c r="E369" s="6" t="n">
        <f>SUM(C369,D369)/2</f>
        <v>13019</v>
      </c>
      <c r="F369" s="12" t="n">
        <v>6527</v>
      </c>
      <c r="G369" s="12" t="n">
        <v>9297</v>
      </c>
      <c r="H369" s="6" t="n">
        <f>SUM(F369,G369)/2</f>
        <v>7912</v>
      </c>
    </row>
    <row r="370" s="18" customFormat="1" ht="14.399999999999999" customHeight="1">
      <c r="A370" s="10" t="s">
        <v>2793</v>
      </c>
      <c r="B370" s="10" t="s">
        <v>2794</v>
      </c>
      <c r="C370" s="10" t="n">
        <v>1</v>
      </c>
      <c r="D370" s="10" t="n">
        <v>1</v>
      </c>
      <c r="E370" s="6" t="n">
        <f>SUM(C370,D370)/2</f>
        <v>1</v>
      </c>
      <c r="F370" s="18" t="n">
        <v>0</v>
      </c>
      <c r="G370" s="18" t="n">
        <v>0</v>
      </c>
      <c r="H370" s="6" t="n">
        <f>SUM(F370,G370)/2</f>
        <v>0</v>
      </c>
    </row>
    <row r="371" s="18" customFormat="1" ht="14.399999999999999" customHeight="1">
      <c r="A371" s="10" t="s">
        <v>1591</v>
      </c>
      <c r="B371" s="10" t="s">
        <v>1592</v>
      </c>
      <c r="C371" s="13" t="n">
        <v>143319</v>
      </c>
      <c r="D371" s="13" t="n">
        <v>228939</v>
      </c>
      <c r="E371" s="6" t="n">
        <f>SUM(C371,D371)/2</f>
        <v>186129</v>
      </c>
      <c r="F371" s="12" t="n">
        <v>66543</v>
      </c>
      <c r="G371" s="12" t="n">
        <v>101055</v>
      </c>
      <c r="H371" s="6" t="n">
        <f>SUM(F371,G371)/2</f>
        <v>83799</v>
      </c>
    </row>
    <row r="372" s="18" customFormat="1" ht="14.399999999999999" customHeight="1">
      <c r="A372" s="10" t="s">
        <v>696</v>
      </c>
      <c r="B372" s="10" t="s">
        <v>697</v>
      </c>
      <c r="C372" s="13" t="n">
        <v>3390088</v>
      </c>
      <c r="D372" s="13" t="n">
        <v>5415336</v>
      </c>
      <c r="E372" s="6" t="n">
        <f>SUM(C372,D372)/2</f>
        <v>4402712</v>
      </c>
      <c r="F372" s="12" t="n">
        <v>487761</v>
      </c>
      <c r="G372" s="12" t="n">
        <v>748966</v>
      </c>
      <c r="H372" s="6" t="n">
        <f>SUM(F372,G372)/2</f>
        <v>618363.5</v>
      </c>
    </row>
    <row r="373" s="18" customFormat="1" ht="14.399999999999999" customHeight="1">
      <c r="A373" s="10" t="s">
        <v>1469</v>
      </c>
      <c r="B373" s="10" t="s">
        <v>1470</v>
      </c>
      <c r="C373" s="10" t="n">
        <v>196</v>
      </c>
      <c r="D373" s="10" t="n">
        <v>314</v>
      </c>
      <c r="E373" s="6" t="n">
        <f>SUM(C373,D373)/2</f>
        <v>255</v>
      </c>
      <c r="F373" s="18" t="n">
        <v>2</v>
      </c>
      <c r="G373" s="18" t="n">
        <v>2</v>
      </c>
      <c r="H373" s="6" t="n">
        <f>SUM(F373,G373)/2</f>
        <v>2</v>
      </c>
    </row>
    <row r="374" s="18" customFormat="1" ht="14.399999999999999" customHeight="1">
      <c r="A374" s="10" t="s">
        <v>3211</v>
      </c>
      <c r="B374" s="10" t="s">
        <v>3212</v>
      </c>
      <c r="C374" s="10"/>
      <c r="D374" s="10"/>
      <c r="E374" s="6" t="n">
        <f>SUM(C374,D374)/2</f>
        <v>0</v>
      </c>
      <c r="F374" s="12" t="n">
        <v>24742</v>
      </c>
      <c r="G374" s="12" t="n">
        <v>33923</v>
      </c>
      <c r="H374" s="6" t="n">
        <f>SUM(F374,G374)/2</f>
        <v>29332.5</v>
      </c>
    </row>
    <row r="375" s="18" customFormat="1" ht="14.399999999999999" customHeight="1">
      <c r="A375" s="10" t="s">
        <v>5107</v>
      </c>
      <c r="B375" s="10" t="s">
        <v>5108</v>
      </c>
      <c r="C375" s="13" t="n">
        <v>5356</v>
      </c>
      <c r="D375" s="13" t="n">
        <v>8554</v>
      </c>
      <c r="E375" s="6" t="n">
        <f>SUM(C375,D375)/2</f>
        <v>6955</v>
      </c>
      <c r="F375" s="12" t="n">
        <v>5284</v>
      </c>
      <c r="G375" s="12" t="n">
        <v>7856</v>
      </c>
      <c r="H375" s="6" t="n">
        <f>SUM(F375,G375)/2</f>
        <v>6570</v>
      </c>
    </row>
    <row r="376" s="18" customFormat="1" ht="14.399999999999999" customHeight="1">
      <c r="A376" s="10" t="s">
        <v>520</v>
      </c>
      <c r="B376" s="10" t="s">
        <v>521</v>
      </c>
      <c r="C376" s="10" t="n">
        <v>857</v>
      </c>
      <c r="D376" s="13" t="n">
        <v>1369</v>
      </c>
      <c r="E376" s="6" t="n">
        <f>SUM(C376,D376)/2</f>
        <v>1113</v>
      </c>
      <c r="F376" s="18" t="n">
        <v>453</v>
      </c>
      <c r="G376" s="18" t="n">
        <v>638</v>
      </c>
      <c r="H376" s="6" t="n">
        <f>SUM(F376,G376)/2</f>
        <v>545.5</v>
      </c>
    </row>
    <row r="377" s="18" customFormat="1" ht="14.399999999999999" customHeight="1">
      <c r="A377" s="10" t="s">
        <v>2554</v>
      </c>
      <c r="B377" s="10" t="s">
        <v>2555</v>
      </c>
      <c r="C377" s="10" t="n">
        <v>8</v>
      </c>
      <c r="D377" s="10" t="n">
        <v>14</v>
      </c>
      <c r="E377" s="6" t="n">
        <f>SUM(C377,D377)/2</f>
        <v>11</v>
      </c>
      <c r="F377" s="18" t="n">
        <v>0</v>
      </c>
      <c r="G377" s="18" t="n">
        <v>0</v>
      </c>
      <c r="H377" s="6" t="n">
        <f>SUM(F377,G377)/2</f>
        <v>0</v>
      </c>
    </row>
    <row r="378" s="18" customFormat="1" ht="14.399999999999999" customHeight="1">
      <c r="A378" s="10" t="s">
        <v>3525</v>
      </c>
      <c r="B378" s="10" t="s">
        <v>3526</v>
      </c>
      <c r="C378" s="13" t="n">
        <v>39314</v>
      </c>
      <c r="D378" s="13" t="n">
        <v>62800</v>
      </c>
      <c r="E378" s="6" t="n">
        <f>SUM(C378,D378)/2</f>
        <v>51057</v>
      </c>
      <c r="F378" s="12" t="n">
        <v>25414</v>
      </c>
      <c r="G378" s="12" t="n">
        <v>35476</v>
      </c>
      <c r="H378" s="6" t="n">
        <f>SUM(F378,G378)/2</f>
        <v>30445</v>
      </c>
    </row>
    <row r="379" s="18" customFormat="1" ht="14.399999999999999" customHeight="1">
      <c r="A379" s="10" t="s">
        <v>3897</v>
      </c>
      <c r="B379" s="10" t="s">
        <v>3898</v>
      </c>
      <c r="C379" s="13" t="n">
        <v>48294</v>
      </c>
      <c r="D379" s="13" t="n">
        <v>77144</v>
      </c>
      <c r="E379" s="6" t="n">
        <f>SUM(C379,D379)/2</f>
        <v>62719</v>
      </c>
      <c r="F379" s="12" t="n">
        <v>11016</v>
      </c>
      <c r="G379" s="12" t="n">
        <v>16335</v>
      </c>
      <c r="H379" s="6" t="n">
        <f>SUM(F379,G379)/2</f>
        <v>13675.5</v>
      </c>
    </row>
    <row r="380" s="18" customFormat="1" ht="14.399999999999999" customHeight="1">
      <c r="A380" s="10" t="s">
        <v>5193</v>
      </c>
      <c r="B380" s="10" t="s">
        <v>5194</v>
      </c>
      <c r="C380" s="13" t="n">
        <v>1481</v>
      </c>
      <c r="D380" s="13" t="n">
        <v>2367</v>
      </c>
      <c r="E380" s="6" t="n">
        <f>SUM(C380,D380)/2</f>
        <v>1924</v>
      </c>
      <c r="F380" s="12" t="n">
        <v>4517</v>
      </c>
      <c r="G380" s="12" t="n">
        <v>6861</v>
      </c>
      <c r="H380" s="6" t="n">
        <f>SUM(F380,G380)/2</f>
        <v>5689</v>
      </c>
    </row>
    <row r="381" s="18" customFormat="1" ht="14.399999999999999" customHeight="1">
      <c r="A381" s="10" t="s">
        <v>1759</v>
      </c>
      <c r="B381" s="10" t="s">
        <v>1760</v>
      </c>
      <c r="C381" s="10" t="n">
        <v>17</v>
      </c>
      <c r="D381" s="10" t="n">
        <v>29</v>
      </c>
      <c r="E381" s="6" t="n">
        <f>SUM(C381,D381)/2</f>
        <v>23</v>
      </c>
      <c r="F381" s="18" t="n">
        <v>16</v>
      </c>
      <c r="G381" s="18" t="n">
        <v>25</v>
      </c>
      <c r="H381" s="6" t="n">
        <f>SUM(F381,G381)/2</f>
        <v>20.5</v>
      </c>
    </row>
    <row r="382" s="18" customFormat="1" ht="14.399999999999999" customHeight="1">
      <c r="A382" s="10" t="s">
        <v>1091</v>
      </c>
      <c r="B382" s="10" t="s">
        <v>1092</v>
      </c>
      <c r="C382" s="13" t="n">
        <v>427987</v>
      </c>
      <c r="D382" s="13" t="n">
        <v>683667</v>
      </c>
      <c r="E382" s="6" t="n">
        <f>SUM(C382,D382)/2</f>
        <v>555827</v>
      </c>
      <c r="F382" s="12" t="n">
        <v>68422</v>
      </c>
      <c r="G382" s="12" t="n">
        <v>91373</v>
      </c>
      <c r="H382" s="6" t="n">
        <f>SUM(F382,G382)/2</f>
        <v>79897.5</v>
      </c>
    </row>
    <row r="383" s="18" customFormat="1" ht="14.399999999999999" customHeight="1">
      <c r="A383" s="10" t="s">
        <v>911</v>
      </c>
      <c r="B383" s="10" t="s">
        <v>912</v>
      </c>
      <c r="C383" s="13" t="n">
        <v>787068</v>
      </c>
      <c r="D383" s="13" t="n">
        <v>1257266</v>
      </c>
      <c r="E383" s="6" t="n">
        <f>SUM(C383,D383)/2</f>
        <v>1022167</v>
      </c>
      <c r="F383" s="12" t="n">
        <v>106016</v>
      </c>
      <c r="G383" s="12" t="n">
        <v>153695</v>
      </c>
      <c r="H383" s="6" t="n">
        <f>SUM(F383,G383)/2</f>
        <v>129855.5</v>
      </c>
    </row>
    <row r="384" s="18" customFormat="1" ht="14.399999999999999" customHeight="1">
      <c r="A384" s="10" t="s">
        <v>833</v>
      </c>
      <c r="B384" s="10" t="s">
        <v>834</v>
      </c>
      <c r="C384" s="13" t="n">
        <v>462051</v>
      </c>
      <c r="D384" s="13" t="n">
        <v>738083</v>
      </c>
      <c r="E384" s="6" t="n">
        <f>SUM(C384,D384)/2</f>
        <v>600067</v>
      </c>
      <c r="F384" s="12" t="n">
        <v>328233</v>
      </c>
      <c r="G384" s="12" t="n">
        <v>458800</v>
      </c>
      <c r="H384" s="6" t="n">
        <f>SUM(F384,G384)/2</f>
        <v>393516.5</v>
      </c>
    </row>
    <row r="385" s="18" customFormat="1" ht="14.399999999999999" customHeight="1">
      <c r="A385" s="10" t="s">
        <v>3829</v>
      </c>
      <c r="B385" s="10" t="s">
        <v>3830</v>
      </c>
      <c r="C385" s="13" t="n">
        <v>42888</v>
      </c>
      <c r="D385" s="13" t="n">
        <v>68508</v>
      </c>
      <c r="E385" s="6" t="n">
        <f>SUM(C385,D385)/2</f>
        <v>55698</v>
      </c>
      <c r="F385" s="12" t="n">
        <v>14175</v>
      </c>
      <c r="G385" s="12" t="n">
        <v>20366</v>
      </c>
      <c r="H385" s="6" t="n">
        <f>SUM(F385,G385)/2</f>
        <v>17270.5</v>
      </c>
    </row>
    <row r="386" s="18" customFormat="1" ht="14.399999999999999" customHeight="1">
      <c r="A386" s="10" t="s">
        <v>5678</v>
      </c>
      <c r="B386" s="10" t="s">
        <v>5679</v>
      </c>
      <c r="C386" s="13" t="n">
        <v>3584</v>
      </c>
      <c r="D386" s="13" t="n">
        <v>5724</v>
      </c>
      <c r="E386" s="6" t="n">
        <f>SUM(C386,D386)/2</f>
        <v>4654</v>
      </c>
      <c r="F386" s="12" t="n">
        <v>2981</v>
      </c>
      <c r="G386" s="12" t="n">
        <v>4322</v>
      </c>
      <c r="H386" s="6" t="n">
        <f>SUM(F386,G386)/2</f>
        <v>3651.5</v>
      </c>
    </row>
    <row r="387" s="18" customFormat="1" ht="14.399999999999999" customHeight="1">
      <c r="A387" s="10" t="s">
        <v>4105</v>
      </c>
      <c r="B387" s="10" t="s">
        <v>4106</v>
      </c>
      <c r="C387" s="13" t="n">
        <v>28864</v>
      </c>
      <c r="D387" s="13" t="n">
        <v>46108</v>
      </c>
      <c r="E387" s="6" t="n">
        <f>SUM(C387,D387)/2</f>
        <v>37486</v>
      </c>
      <c r="F387" s="12" t="n">
        <v>11024</v>
      </c>
      <c r="G387" s="12" t="n">
        <v>17069</v>
      </c>
      <c r="H387" s="6" t="n">
        <f>SUM(F387,G387)/2</f>
        <v>14046.5</v>
      </c>
    </row>
    <row r="388" s="18" customFormat="1" ht="14.399999999999999" customHeight="1">
      <c r="A388" s="10" t="s">
        <v>2735</v>
      </c>
      <c r="B388" s="10" t="s">
        <v>2736</v>
      </c>
      <c r="C388" s="10" t="n">
        <v>3</v>
      </c>
      <c r="D388" s="10" t="n">
        <v>3</v>
      </c>
      <c r="E388" s="6" t="n">
        <f>SUM(C388,D388)/2</f>
        <v>3</v>
      </c>
      <c r="F388" s="18" t="n">
        <v>0</v>
      </c>
      <c r="G388" s="18" t="n">
        <v>0</v>
      </c>
      <c r="H388" s="6" t="n">
        <f>SUM(F388,G388)/2</f>
        <v>0</v>
      </c>
    </row>
    <row r="389" s="18" customFormat="1" ht="14.399999999999999" customHeight="1">
      <c r="A389" s="10" t="s">
        <v>2678</v>
      </c>
      <c r="B389" s="10" t="s">
        <v>2679</v>
      </c>
      <c r="C389" s="10" t="n">
        <v>0</v>
      </c>
      <c r="D389" s="10" t="n">
        <v>0</v>
      </c>
      <c r="E389" s="6" t="n">
        <f>SUM(C389,D389)/2</f>
        <v>0</v>
      </c>
      <c r="F389" s="18" t="n">
        <v>1</v>
      </c>
      <c r="G389" s="18" t="n">
        <v>1</v>
      </c>
      <c r="H389" s="6" t="n">
        <f>SUM(F389,G389)/2</f>
        <v>1</v>
      </c>
    </row>
    <row r="390" s="18" customFormat="1" ht="14.399999999999999" customHeight="1">
      <c r="A390" s="10" t="s">
        <v>264</v>
      </c>
      <c r="B390" s="10" t="s">
        <v>5680</v>
      </c>
      <c r="C390" s="10" t="n">
        <v>381</v>
      </c>
      <c r="D390" s="10" t="n">
        <v>607</v>
      </c>
      <c r="E390" s="6" t="n">
        <f>SUM(C390,D390)/2</f>
        <v>494</v>
      </c>
      <c r="F390" s="18" t="n">
        <v>0</v>
      </c>
      <c r="G390" s="18" t="n">
        <v>0</v>
      </c>
      <c r="H390" s="6" t="n">
        <f>SUM(F390,G390)/2</f>
        <v>0</v>
      </c>
    </row>
    <row r="391" s="18" customFormat="1" ht="14.399999999999999" customHeight="1">
      <c r="A391" s="10" t="s">
        <v>4301</v>
      </c>
      <c r="B391" s="10" t="s">
        <v>4302</v>
      </c>
      <c r="C391" s="13" t="n">
        <v>45599</v>
      </c>
      <c r="D391" s="13" t="n">
        <v>72841</v>
      </c>
      <c r="E391" s="6" t="n">
        <f>SUM(C391,D391)/2</f>
        <v>59220</v>
      </c>
      <c r="F391" s="12" t="n">
        <v>4931</v>
      </c>
      <c r="G391" s="12" t="n">
        <v>6776</v>
      </c>
      <c r="H391" s="6" t="n">
        <f>SUM(F391,G391)/2</f>
        <v>5853.5</v>
      </c>
    </row>
    <row r="392" s="18" customFormat="1" ht="14.399999999999999" customHeight="1">
      <c r="A392" s="10" t="s">
        <v>1765</v>
      </c>
      <c r="B392" s="10" t="s">
        <v>1766</v>
      </c>
      <c r="C392" s="10" t="n">
        <v>33</v>
      </c>
      <c r="D392" s="10" t="n">
        <v>57</v>
      </c>
      <c r="E392" s="6" t="n">
        <f>SUM(C392,D392)/2</f>
        <v>45</v>
      </c>
      <c r="F392" s="18" t="n">
        <v>12</v>
      </c>
      <c r="G392" s="18" t="n">
        <v>18</v>
      </c>
      <c r="H392" s="6" t="n">
        <f>SUM(F392,G392)/2</f>
        <v>15</v>
      </c>
    </row>
    <row r="393" s="18" customFormat="1" ht="14.399999999999999" customHeight="1">
      <c r="A393" s="10" t="s">
        <v>5681</v>
      </c>
      <c r="B393" s="10" t="s">
        <v>5682</v>
      </c>
      <c r="C393" s="10" t="n">
        <v>0</v>
      </c>
      <c r="D393" s="10" t="n">
        <v>0</v>
      </c>
      <c r="E393" s="6" t="n">
        <f>SUM(C393,D393)/2</f>
        <v>0</v>
      </c>
      <c r="F393" s="18" t="n">
        <v>0</v>
      </c>
      <c r="G393" s="18" t="n">
        <v>0</v>
      </c>
      <c r="H393" s="6" t="n">
        <f>SUM(F393,G393)/2</f>
        <v>0</v>
      </c>
    </row>
    <row r="394" s="18" customFormat="1" ht="14.399999999999999" customHeight="1">
      <c r="A394" s="10" t="s">
        <v>2706</v>
      </c>
      <c r="B394" s="10" t="s">
        <v>2707</v>
      </c>
      <c r="C394" s="10" t="n">
        <v>3</v>
      </c>
      <c r="D394" s="10" t="n">
        <v>5</v>
      </c>
      <c r="E394" s="6" t="n">
        <f>SUM(C394,D394)/2</f>
        <v>4</v>
      </c>
      <c r="F394" s="18" t="n">
        <v>0</v>
      </c>
      <c r="G394" s="18" t="n">
        <v>0</v>
      </c>
      <c r="H394" s="6" t="n">
        <f>SUM(F394,G394)/2</f>
        <v>0</v>
      </c>
    </row>
    <row r="395" s="18" customFormat="1" ht="14.399999999999999" customHeight="1">
      <c r="A395" s="10" t="s">
        <v>2232</v>
      </c>
      <c r="B395" s="10" t="s">
        <v>2233</v>
      </c>
      <c r="C395" s="10" t="n">
        <v>18</v>
      </c>
      <c r="D395" s="10" t="n">
        <v>30</v>
      </c>
      <c r="E395" s="6" t="n">
        <f>SUM(C395,D395)/2</f>
        <v>24</v>
      </c>
      <c r="F395" s="18" t="n">
        <v>2</v>
      </c>
      <c r="G395" s="18" t="n">
        <v>2</v>
      </c>
      <c r="H395" s="6" t="n">
        <f>SUM(F395,G395)/2</f>
        <v>2</v>
      </c>
    </row>
    <row r="396" s="18" customFormat="1" ht="14.399999999999999" customHeight="1">
      <c r="A396" s="10" t="s">
        <v>1256</v>
      </c>
      <c r="B396" s="10" t="s">
        <v>1257</v>
      </c>
      <c r="C396" s="13" t="n">
        <v>202345</v>
      </c>
      <c r="D396" s="13" t="n">
        <v>323223</v>
      </c>
      <c r="E396" s="6" t="n">
        <f>SUM(C396,D396)/2</f>
        <v>262784</v>
      </c>
      <c r="F396" s="12" t="n">
        <v>20077</v>
      </c>
      <c r="G396" s="12" t="n">
        <v>34567</v>
      </c>
      <c r="H396" s="6" t="n">
        <f>SUM(F396,G396)/2</f>
        <v>27322</v>
      </c>
    </row>
    <row r="397" s="18" customFormat="1" ht="14.399999999999999" customHeight="1">
      <c r="A397" s="10" t="s">
        <v>5121</v>
      </c>
      <c r="B397" s="10" t="s">
        <v>5122</v>
      </c>
      <c r="C397" s="13" t="n">
        <v>1547</v>
      </c>
      <c r="D397" s="13" t="n">
        <v>2471</v>
      </c>
      <c r="E397" s="6" t="n">
        <f>SUM(C397,D397)/2</f>
        <v>2009</v>
      </c>
      <c r="F397" s="12" t="n">
        <v>5974</v>
      </c>
      <c r="G397" s="12" t="n">
        <v>8732</v>
      </c>
      <c r="H397" s="6" t="n">
        <f>SUM(F397,G397)/2</f>
        <v>7353</v>
      </c>
    </row>
    <row r="398" s="18" customFormat="1" ht="14.399999999999999" customHeight="1">
      <c r="A398" s="10" t="s">
        <v>2636</v>
      </c>
      <c r="B398" s="10" t="s">
        <v>2637</v>
      </c>
      <c r="C398" s="10" t="n">
        <v>1</v>
      </c>
      <c r="D398" s="10" t="n">
        <v>1</v>
      </c>
      <c r="E398" s="6" t="n">
        <f>SUM(C398,D398)/2</f>
        <v>1</v>
      </c>
      <c r="F398" s="18" t="n">
        <v>1</v>
      </c>
      <c r="G398" s="18" t="n">
        <v>1</v>
      </c>
      <c r="H398" s="6" t="n">
        <f>SUM(F398,G398)/2</f>
        <v>1</v>
      </c>
    </row>
    <row r="399" s="18" customFormat="1" ht="14.399999999999999" customHeight="1">
      <c r="A399" s="10" t="s">
        <v>5683</v>
      </c>
      <c r="B399" s="10" t="s">
        <v>5684</v>
      </c>
      <c r="C399" s="13" t="n">
        <v>43093</v>
      </c>
      <c r="D399" s="13" t="n">
        <v>68839</v>
      </c>
      <c r="E399" s="6" t="n">
        <f>SUM(C399,D399)/2</f>
        <v>55966</v>
      </c>
      <c r="F399" s="12" t="n">
        <v>7269</v>
      </c>
      <c r="G399" s="12" t="n">
        <v>10746</v>
      </c>
      <c r="H399" s="6" t="n">
        <f>SUM(F399,G399)/2</f>
        <v>9007.5</v>
      </c>
    </row>
    <row r="400" s="18" customFormat="1" ht="14.399999999999999" customHeight="1">
      <c r="A400" s="10" t="s">
        <v>3729</v>
      </c>
      <c r="B400" s="10" t="s">
        <v>3730</v>
      </c>
      <c r="C400" s="13" t="n">
        <v>27840</v>
      </c>
      <c r="D400" s="13" t="n">
        <v>44472</v>
      </c>
      <c r="E400" s="6" t="n">
        <f>SUM(C400,D400)/2</f>
        <v>36156</v>
      </c>
      <c r="F400" s="12" t="n">
        <v>21023</v>
      </c>
      <c r="G400" s="12" t="n">
        <v>29524</v>
      </c>
      <c r="H400" s="6" t="n">
        <f>SUM(F400,G400)/2</f>
        <v>25273.5</v>
      </c>
    </row>
    <row r="401" s="18" customFormat="1" ht="14.399999999999999" customHeight="1">
      <c r="A401" s="10" t="s">
        <v>5685</v>
      </c>
      <c r="B401" s="10" t="s">
        <v>5686</v>
      </c>
      <c r="C401" s="13" t="n">
        <v>6691</v>
      </c>
      <c r="D401" s="13" t="n">
        <v>10687</v>
      </c>
      <c r="E401" s="6" t="n">
        <f>SUM(C401,D401)/2</f>
        <v>8689</v>
      </c>
      <c r="F401" s="12" t="n">
        <v>2459</v>
      </c>
      <c r="G401" s="12" t="n">
        <v>3521</v>
      </c>
      <c r="H401" s="6" t="n">
        <f>SUM(F401,G401)/2</f>
        <v>2990</v>
      </c>
    </row>
    <row r="402" s="18" customFormat="1" ht="14.399999999999999" customHeight="1">
      <c r="A402" s="10" t="s">
        <v>835</v>
      </c>
      <c r="B402" s="10" t="s">
        <v>836</v>
      </c>
      <c r="C402" s="13" t="n">
        <v>1488898</v>
      </c>
      <c r="D402" s="13" t="n">
        <v>2378370</v>
      </c>
      <c r="E402" s="6" t="n">
        <f>SUM(C402,D402)/2</f>
        <v>1933634</v>
      </c>
      <c r="F402" s="12" t="n">
        <v>71374</v>
      </c>
      <c r="G402" s="12" t="n">
        <v>142636</v>
      </c>
      <c r="H402" s="6" t="n">
        <f>SUM(F402,G402)/2</f>
        <v>107005</v>
      </c>
    </row>
    <row r="403" s="18" customFormat="1" ht="14.399999999999999" customHeight="1">
      <c r="A403" s="10" t="s">
        <v>5687</v>
      </c>
      <c r="B403" s="10" t="s">
        <v>5688</v>
      </c>
      <c r="C403" s="13" t="n">
        <v>3724</v>
      </c>
      <c r="D403" s="13" t="n">
        <v>5948</v>
      </c>
      <c r="E403" s="6" t="n">
        <f>SUM(C403,D403)/2</f>
        <v>4836</v>
      </c>
      <c r="F403" s="12" t="n">
        <v>1290</v>
      </c>
      <c r="G403" s="12" t="n">
        <v>1843</v>
      </c>
      <c r="H403" s="6" t="n">
        <f>SUM(F403,G403)/2</f>
        <v>1566.5</v>
      </c>
    </row>
    <row r="404" s="18" customFormat="1" ht="14.399999999999999" customHeight="1">
      <c r="A404" s="10" t="s">
        <v>4991</v>
      </c>
      <c r="B404" s="10" t="s">
        <v>4992</v>
      </c>
      <c r="C404" s="13" t="n">
        <v>16178</v>
      </c>
      <c r="D404" s="13" t="n">
        <v>25844</v>
      </c>
      <c r="E404" s="6" t="n">
        <f>SUM(C404,D404)/2</f>
        <v>21011</v>
      </c>
      <c r="F404" s="12" t="n">
        <v>4067</v>
      </c>
      <c r="G404" s="12" t="n">
        <v>6594</v>
      </c>
      <c r="H404" s="6" t="n">
        <f>SUM(F404,G404)/2</f>
        <v>5330.5</v>
      </c>
    </row>
    <row r="405" s="18" customFormat="1" ht="14.399999999999999" customHeight="1">
      <c r="A405" s="10" t="s">
        <v>5689</v>
      </c>
      <c r="B405" s="10" t="s">
        <v>5690</v>
      </c>
      <c r="C405" s="10" t="n">
        <v>115</v>
      </c>
      <c r="D405" s="10" t="n">
        <v>183</v>
      </c>
      <c r="E405" s="6" t="n">
        <f>SUM(C405,D405)/2</f>
        <v>149</v>
      </c>
      <c r="F405" s="18" t="n">
        <v>8</v>
      </c>
      <c r="G405" s="18" t="n">
        <v>12</v>
      </c>
      <c r="H405" s="6" t="n">
        <f>SUM(F405,G405)/2</f>
        <v>10</v>
      </c>
    </row>
    <row r="406" s="18" customFormat="1" ht="14.399999999999999" customHeight="1">
      <c r="A406" s="10" t="s">
        <v>1007</v>
      </c>
      <c r="B406" s="10" t="s">
        <v>1008</v>
      </c>
      <c r="C406" s="13" t="n">
        <v>63735</v>
      </c>
      <c r="D406" s="13" t="n">
        <v>101810</v>
      </c>
      <c r="E406" s="6" t="n">
        <f>SUM(C406,D406)/2</f>
        <v>82772.5</v>
      </c>
      <c r="F406" s="12" t="n">
        <v>6754</v>
      </c>
      <c r="G406" s="12" t="n">
        <v>15402</v>
      </c>
      <c r="H406" s="6" t="n">
        <f>SUM(F406,G406)/2</f>
        <v>11078</v>
      </c>
    </row>
    <row r="407" s="18" customFormat="1" ht="14.399999999999999" customHeight="1">
      <c r="A407" s="10" t="s">
        <v>4271</v>
      </c>
      <c r="B407" s="10" t="s">
        <v>4272</v>
      </c>
      <c r="C407" s="13" t="n">
        <v>27876</v>
      </c>
      <c r="D407" s="13" t="n">
        <v>44526</v>
      </c>
      <c r="E407" s="6" t="n">
        <f>SUM(C407,D407)/2</f>
        <v>36201</v>
      </c>
      <c r="F407" s="12" t="n">
        <v>9206</v>
      </c>
      <c r="G407" s="12" t="n">
        <v>13292</v>
      </c>
      <c r="H407" s="6" t="n">
        <f>SUM(F407,G407)/2</f>
        <v>11249</v>
      </c>
    </row>
    <row r="408" s="18" customFormat="1" ht="14.399999999999999" customHeight="1">
      <c r="A408" s="10" t="s">
        <v>1633</v>
      </c>
      <c r="B408" s="10" t="s">
        <v>1634</v>
      </c>
      <c r="C408" s="10" t="n">
        <v>70</v>
      </c>
      <c r="D408" s="10" t="n">
        <v>110</v>
      </c>
      <c r="E408" s="6" t="n">
        <f>SUM(C408,D408)/2</f>
        <v>90</v>
      </c>
      <c r="F408" s="18" t="n">
        <v>22</v>
      </c>
      <c r="G408" s="18" t="n">
        <v>30</v>
      </c>
      <c r="H408" s="6" t="n">
        <f>SUM(F408,G408)/2</f>
        <v>26</v>
      </c>
    </row>
    <row r="409" s="18" customFormat="1" ht="14.399999999999999" customHeight="1">
      <c r="A409" s="10" t="s">
        <v>2845</v>
      </c>
      <c r="B409" s="10" t="s">
        <v>2846</v>
      </c>
      <c r="C409" s="10" t="n">
        <v>0</v>
      </c>
      <c r="D409" s="10" t="n">
        <v>0</v>
      </c>
      <c r="E409" s="6" t="n">
        <f>SUM(C409,D409)/2</f>
        <v>0</v>
      </c>
      <c r="F409" s="18" t="n">
        <v>0</v>
      </c>
      <c r="G409" s="18" t="n">
        <v>0</v>
      </c>
      <c r="H409" s="6" t="n">
        <f>SUM(F409,G409)/2</f>
        <v>0</v>
      </c>
    </row>
    <row r="410" s="18" customFormat="1" ht="14.399999999999999" customHeight="1">
      <c r="A410" s="10" t="s">
        <v>4191</v>
      </c>
      <c r="B410" s="10" t="s">
        <v>4192</v>
      </c>
      <c r="C410" s="13" t="n">
        <v>31510</v>
      </c>
      <c r="D410" s="13" t="n">
        <v>50332</v>
      </c>
      <c r="E410" s="6" t="n">
        <f>SUM(C410,D410)/2</f>
        <v>40921</v>
      </c>
      <c r="F410" s="12" t="n">
        <v>9571</v>
      </c>
      <c r="G410" s="12" t="n">
        <v>13613</v>
      </c>
      <c r="H410" s="6" t="n">
        <f>SUM(F410,G410)/2</f>
        <v>11592</v>
      </c>
    </row>
    <row r="411" s="18" customFormat="1" ht="14.399999999999999" customHeight="1">
      <c r="A411" s="10" t="s">
        <v>5691</v>
      </c>
      <c r="B411" s="10" t="s">
        <v>5692</v>
      </c>
      <c r="C411" s="10" t="n">
        <v>334</v>
      </c>
      <c r="D411" s="10" t="n">
        <v>536</v>
      </c>
      <c r="E411" s="6" t="n">
        <f>SUM(C411,D411)/2</f>
        <v>435</v>
      </c>
      <c r="F411" s="18" t="n">
        <v>33</v>
      </c>
      <c r="G411" s="18" t="n">
        <v>47</v>
      </c>
      <c r="H411" s="6" t="n">
        <f>SUM(F411,G411)/2</f>
        <v>40</v>
      </c>
    </row>
    <row r="412" s="18" customFormat="1" ht="14.399999999999999" customHeight="1">
      <c r="A412" s="10" t="s">
        <v>582</v>
      </c>
      <c r="B412" s="10" t="s">
        <v>583</v>
      </c>
      <c r="C412" s="13" t="n">
        <v>1681</v>
      </c>
      <c r="D412" s="13" t="n">
        <v>2685</v>
      </c>
      <c r="E412" s="6" t="n">
        <f>SUM(C412,D412)/2</f>
        <v>2183</v>
      </c>
      <c r="F412" s="18" t="n">
        <v>2</v>
      </c>
      <c r="G412" s="18" t="n">
        <v>3</v>
      </c>
      <c r="H412" s="6" t="n">
        <f>SUM(F412,G412)/2</f>
        <v>2.5</v>
      </c>
    </row>
    <row r="413" s="18" customFormat="1" ht="14.399999999999999" customHeight="1">
      <c r="A413" s="10" t="s">
        <v>488</v>
      </c>
      <c r="B413" s="10" t="s">
        <v>489</v>
      </c>
      <c r="C413" s="13" t="n">
        <v>1047</v>
      </c>
      <c r="D413" s="13" t="n">
        <v>1677</v>
      </c>
      <c r="E413" s="6" t="n">
        <f>SUM(C413,D413)/2</f>
        <v>1362</v>
      </c>
      <c r="F413" s="18" t="n">
        <v>15</v>
      </c>
      <c r="G413" s="18" t="n">
        <v>21</v>
      </c>
      <c r="H413" s="6" t="n">
        <f>SUM(F413,G413)/2</f>
        <v>18</v>
      </c>
    </row>
    <row r="414" s="18" customFormat="1" ht="14.399999999999999" customHeight="1">
      <c r="A414" s="10" t="s">
        <v>4961</v>
      </c>
      <c r="B414" s="10" t="s">
        <v>4962</v>
      </c>
      <c r="C414" s="13" t="n">
        <v>17517</v>
      </c>
      <c r="D414" s="13" t="n">
        <v>27985</v>
      </c>
      <c r="E414" s="6" t="n">
        <f>SUM(C414,D414)/2</f>
        <v>22751</v>
      </c>
      <c r="F414" s="12" t="n">
        <v>4248</v>
      </c>
      <c r="G414" s="12" t="n">
        <v>6210</v>
      </c>
      <c r="H414" s="6" t="n">
        <f>SUM(F414,G414)/2</f>
        <v>5229</v>
      </c>
    </row>
    <row r="415" s="18" customFormat="1" ht="14.399999999999999" customHeight="1">
      <c r="A415" s="10" t="s">
        <v>5456</v>
      </c>
      <c r="B415" s="10" t="s">
        <v>5457</v>
      </c>
      <c r="C415" s="13" t="n">
        <v>152515</v>
      </c>
      <c r="D415" s="13" t="n">
        <v>243628</v>
      </c>
      <c r="E415" s="6" t="n">
        <f>SUM(C415,D415)/2</f>
        <v>198071.5</v>
      </c>
      <c r="F415" s="12" t="n">
        <v>44786</v>
      </c>
      <c r="G415" s="12" t="n">
        <v>71366</v>
      </c>
      <c r="H415" s="6" t="n">
        <f>SUM(F415,G415)/2</f>
        <v>58076</v>
      </c>
    </row>
    <row r="416" s="18" customFormat="1" ht="14.399999999999999" customHeight="1">
      <c r="A416" s="10" t="s">
        <v>3857</v>
      </c>
      <c r="B416" s="10" t="s">
        <v>3858</v>
      </c>
      <c r="C416" s="13" t="n">
        <v>35071</v>
      </c>
      <c r="D416" s="13" t="n">
        <v>56025</v>
      </c>
      <c r="E416" s="6" t="n">
        <f>SUM(C416,D416)/2</f>
        <v>45548</v>
      </c>
      <c r="F416" s="12" t="n">
        <v>16760</v>
      </c>
      <c r="G416" s="12" t="n">
        <v>20140</v>
      </c>
      <c r="H416" s="6" t="n">
        <f>SUM(F416,G416)/2</f>
        <v>18450</v>
      </c>
    </row>
    <row r="417" s="18" customFormat="1" ht="14.399999999999999" customHeight="1">
      <c r="A417" s="10" t="s">
        <v>3673</v>
      </c>
      <c r="B417" s="10" t="s">
        <v>3674</v>
      </c>
      <c r="C417" s="13" t="n">
        <v>58304</v>
      </c>
      <c r="D417" s="13" t="n">
        <v>93132</v>
      </c>
      <c r="E417" s="6" t="n">
        <f>SUM(C417,D417)/2</f>
        <v>75718</v>
      </c>
      <c r="F417" s="12" t="n">
        <v>16565</v>
      </c>
      <c r="G417" s="12" t="n">
        <v>21917</v>
      </c>
      <c r="H417" s="6" t="n">
        <f>SUM(F417,G417)/2</f>
        <v>19241</v>
      </c>
    </row>
    <row r="418" s="18" customFormat="1" ht="14.399999999999999" customHeight="1">
      <c r="A418" s="10" t="s">
        <v>2564</v>
      </c>
      <c r="B418" s="10" t="s">
        <v>2565</v>
      </c>
      <c r="C418" s="10" t="n">
        <v>1</v>
      </c>
      <c r="D418" s="10" t="n">
        <v>1</v>
      </c>
      <c r="E418" s="6" t="n">
        <f>SUM(C418,D418)/2</f>
        <v>1</v>
      </c>
      <c r="F418" s="18" t="n">
        <v>2</v>
      </c>
      <c r="G418" s="18" t="n">
        <v>2</v>
      </c>
      <c r="H418" s="6" t="n">
        <f>SUM(F418,G418)/2</f>
        <v>2</v>
      </c>
    </row>
    <row r="419" s="18" customFormat="1" ht="14.399999999999999" customHeight="1">
      <c r="A419" s="10" t="s">
        <v>410</v>
      </c>
      <c r="B419" s="10" t="s">
        <v>411</v>
      </c>
      <c r="C419" s="13" t="n">
        <v>1486</v>
      </c>
      <c r="D419" s="13" t="n">
        <v>2372</v>
      </c>
      <c r="E419" s="6" t="n">
        <f>SUM(C419,D419)/2</f>
        <v>1929</v>
      </c>
      <c r="F419" s="18" t="n">
        <v>45</v>
      </c>
      <c r="G419" s="18" t="n">
        <v>72</v>
      </c>
      <c r="H419" s="6" t="n">
        <f>SUM(F419,G419)/2</f>
        <v>58.5</v>
      </c>
    </row>
    <row r="420" s="18" customFormat="1" ht="14.399999999999999" customHeight="1">
      <c r="A420" s="10" t="s">
        <v>5693</v>
      </c>
      <c r="B420" s="10" t="s">
        <v>5694</v>
      </c>
      <c r="C420" s="13" t="n">
        <v>9359</v>
      </c>
      <c r="D420" s="13" t="n">
        <v>14951</v>
      </c>
      <c r="E420" s="6" t="n">
        <f>SUM(C420,D420)/2</f>
        <v>12155</v>
      </c>
      <c r="F420" s="12" t="n">
        <v>8883</v>
      </c>
      <c r="G420" s="12" t="n">
        <v>12528</v>
      </c>
      <c r="H420" s="6" t="n">
        <f>SUM(F420,G420)/2</f>
        <v>10705.5</v>
      </c>
    </row>
    <row r="421" s="18" customFormat="1" ht="14.399999999999999" customHeight="1">
      <c r="A421" s="10" t="s">
        <v>3821</v>
      </c>
      <c r="B421" s="10" t="s">
        <v>3822</v>
      </c>
      <c r="C421" s="13" t="n">
        <v>53253</v>
      </c>
      <c r="D421" s="13" t="n">
        <v>85067</v>
      </c>
      <c r="E421" s="6" t="n">
        <f>SUM(C421,D421)/2</f>
        <v>69160</v>
      </c>
      <c r="F421" s="12" t="n">
        <v>11318</v>
      </c>
      <c r="G421" s="12" t="n">
        <v>18047</v>
      </c>
      <c r="H421" s="6" t="n">
        <f>SUM(F421,G421)/2</f>
        <v>14682.5</v>
      </c>
    </row>
    <row r="422" s="18" customFormat="1" ht="14.399999999999999" customHeight="1">
      <c r="A422" s="10" t="s">
        <v>3923</v>
      </c>
      <c r="B422" s="10" t="s">
        <v>3924</v>
      </c>
      <c r="C422" s="13" t="n">
        <v>72402</v>
      </c>
      <c r="D422" s="13" t="n">
        <v>115658</v>
      </c>
      <c r="E422" s="6" t="n">
        <f>SUM(C422,D422)/2</f>
        <v>94030</v>
      </c>
      <c r="F422" s="12" t="n">
        <v>3672</v>
      </c>
      <c r="G422" s="12" t="n">
        <v>8692</v>
      </c>
      <c r="H422" s="6" t="n">
        <f>SUM(F422,G422)/2</f>
        <v>6182</v>
      </c>
    </row>
    <row r="423" s="18" customFormat="1" ht="14.399999999999999" customHeight="1">
      <c r="A423" s="10" t="s">
        <v>4653</v>
      </c>
      <c r="B423" s="10" t="s">
        <v>4654</v>
      </c>
      <c r="C423" s="13" t="n">
        <v>20859</v>
      </c>
      <c r="D423" s="13" t="n">
        <v>33322</v>
      </c>
      <c r="E423" s="6" t="n">
        <f>SUM(C423,D423)/2</f>
        <v>27090.5</v>
      </c>
      <c r="F423" s="12" t="n">
        <v>6238</v>
      </c>
      <c r="G423" s="12" t="n">
        <v>9190</v>
      </c>
      <c r="H423" s="6" t="n">
        <f>SUM(F423,G423)/2</f>
        <v>7714</v>
      </c>
    </row>
    <row r="424" s="18" customFormat="1" ht="14.399999999999999" customHeight="1">
      <c r="A424" s="10" t="s">
        <v>5695</v>
      </c>
      <c r="B424" s="10" t="s">
        <v>5696</v>
      </c>
      <c r="C424" s="13" t="n">
        <v>13210</v>
      </c>
      <c r="D424" s="13" t="n">
        <v>21104</v>
      </c>
      <c r="E424" s="6" t="n">
        <f>SUM(C424,D424)/2</f>
        <v>17157</v>
      </c>
      <c r="F424" s="12" t="n">
        <v>10314</v>
      </c>
      <c r="G424" s="12" t="n">
        <v>12334</v>
      </c>
      <c r="H424" s="6" t="n">
        <f>SUM(F424,G424)/2</f>
        <v>11324</v>
      </c>
    </row>
    <row r="425" s="18" customFormat="1" ht="14.399999999999999" customHeight="1">
      <c r="A425" s="10" t="s">
        <v>4613</v>
      </c>
      <c r="B425" s="10" t="s">
        <v>4614</v>
      </c>
      <c r="C425" s="13" t="n">
        <v>15505</v>
      </c>
      <c r="D425" s="13" t="n">
        <v>24769</v>
      </c>
      <c r="E425" s="6" t="n">
        <f>SUM(C425,D425)/2</f>
        <v>20137</v>
      </c>
      <c r="F425" s="12" t="n">
        <v>8017</v>
      </c>
      <c r="G425" s="12" t="n">
        <v>11468</v>
      </c>
      <c r="H425" s="6" t="n">
        <f>SUM(F425,G425)/2</f>
        <v>9742.5</v>
      </c>
    </row>
    <row r="426" s="18" customFormat="1" ht="14.399999999999999" customHeight="1">
      <c r="A426" s="10" t="s">
        <v>4361</v>
      </c>
      <c r="B426" s="10" t="s">
        <v>4362</v>
      </c>
      <c r="C426" s="13" t="n">
        <v>38008</v>
      </c>
      <c r="D426" s="13" t="n">
        <v>60712</v>
      </c>
      <c r="E426" s="6" t="n">
        <f>SUM(C426,D426)/2</f>
        <v>49360</v>
      </c>
      <c r="F426" s="12" t="n">
        <v>5586</v>
      </c>
      <c r="G426" s="12" t="n">
        <v>7989</v>
      </c>
      <c r="H426" s="6" t="n">
        <f>SUM(F426,G426)/2</f>
        <v>6787.5</v>
      </c>
    </row>
    <row r="427" s="18" customFormat="1" ht="14.399999999999999" customHeight="1">
      <c r="A427" s="10" t="s">
        <v>4719</v>
      </c>
      <c r="B427" s="10" t="s">
        <v>4720</v>
      </c>
      <c r="C427" s="13" t="n">
        <v>12214</v>
      </c>
      <c r="D427" s="13" t="n">
        <v>19508</v>
      </c>
      <c r="E427" s="6" t="n">
        <f>SUM(C427,D427)/2</f>
        <v>15861</v>
      </c>
      <c r="F427" s="12" t="n">
        <v>8622</v>
      </c>
      <c r="G427" s="12" t="n">
        <v>10109</v>
      </c>
      <c r="H427" s="6" t="n">
        <f>SUM(F427,G427)/2</f>
        <v>9365.5</v>
      </c>
    </row>
    <row r="428" s="18" customFormat="1" ht="14.399999999999999" customHeight="1">
      <c r="A428" s="10" t="s">
        <v>5697</v>
      </c>
      <c r="B428" s="10" t="s">
        <v>5698</v>
      </c>
      <c r="C428" s="13" t="n">
        <v>14292</v>
      </c>
      <c r="D428" s="13" t="n">
        <v>22830</v>
      </c>
      <c r="E428" s="6" t="n">
        <f>SUM(C428,D428)/2</f>
        <v>18561</v>
      </c>
      <c r="F428" s="12" t="n">
        <v>7365</v>
      </c>
      <c r="G428" s="12" t="n">
        <v>10029</v>
      </c>
      <c r="H428" s="6" t="n">
        <f>SUM(F428,G428)/2</f>
        <v>8697</v>
      </c>
    </row>
    <row r="429" s="18" customFormat="1" ht="14.399999999999999" customHeight="1">
      <c r="A429" s="10" t="s">
        <v>5043</v>
      </c>
      <c r="B429" s="10" t="s">
        <v>5044</v>
      </c>
      <c r="C429" s="13" t="n">
        <v>10564</v>
      </c>
      <c r="D429" s="13" t="n">
        <v>16874</v>
      </c>
      <c r="E429" s="6" t="n">
        <f>SUM(C429,D429)/2</f>
        <v>13719</v>
      </c>
      <c r="F429" s="12" t="n">
        <v>5498</v>
      </c>
      <c r="G429" s="12" t="n">
        <v>7107</v>
      </c>
      <c r="H429" s="6" t="n">
        <f>SUM(F429,G429)/2</f>
        <v>6302.5</v>
      </c>
    </row>
    <row r="430" s="18" customFormat="1" ht="14.399999999999999" customHeight="1">
      <c r="A430" s="10" t="s">
        <v>2172</v>
      </c>
      <c r="B430" s="10" t="s">
        <v>2173</v>
      </c>
      <c r="C430" s="13" t="n">
        <v>214381</v>
      </c>
      <c r="D430" s="13" t="n">
        <v>342453</v>
      </c>
      <c r="E430" s="6" t="n">
        <f>SUM(C430,D430)/2</f>
        <v>278417</v>
      </c>
      <c r="F430" s="12" t="n">
        <v>32312</v>
      </c>
      <c r="G430" s="12" t="n">
        <v>45902</v>
      </c>
      <c r="H430" s="6" t="n">
        <f>SUM(F430,G430)/2</f>
        <v>39107</v>
      </c>
    </row>
    <row r="431" s="18" customFormat="1" ht="14.399999999999999" customHeight="1">
      <c r="A431" s="10" t="s">
        <v>5699</v>
      </c>
      <c r="B431" s="10" t="s">
        <v>5700</v>
      </c>
      <c r="C431" s="13" t="n">
        <v>11509</v>
      </c>
      <c r="D431" s="13" t="n">
        <v>18386</v>
      </c>
      <c r="E431" s="6" t="n">
        <f>SUM(C431,D431)/2</f>
        <v>14947.5</v>
      </c>
      <c r="F431" s="12" t="n">
        <v>4752</v>
      </c>
      <c r="G431" s="12" t="n">
        <v>6742</v>
      </c>
      <c r="H431" s="6" t="n">
        <f>SUM(F431,G431)/2</f>
        <v>5747</v>
      </c>
    </row>
    <row r="432" s="18" customFormat="1" ht="14.399999999999999" customHeight="1">
      <c r="A432" s="10" t="s">
        <v>5701</v>
      </c>
      <c r="B432" s="10" t="s">
        <v>5702</v>
      </c>
      <c r="C432" s="13" t="n">
        <v>208090</v>
      </c>
      <c r="D432" s="13" t="n">
        <v>332402</v>
      </c>
      <c r="E432" s="6" t="n">
        <f>SUM(C432,D432)/2</f>
        <v>270246</v>
      </c>
      <c r="F432" s="12" t="n">
        <v>39684</v>
      </c>
      <c r="G432" s="12" t="n">
        <v>64118</v>
      </c>
      <c r="H432" s="6" t="n">
        <f>SUM(F432,G432)/2</f>
        <v>51901</v>
      </c>
    </row>
    <row r="433" s="18" customFormat="1" ht="14.399999999999999" customHeight="1">
      <c r="A433" s="10" t="s">
        <v>3615</v>
      </c>
      <c r="B433" s="10" t="s">
        <v>3616</v>
      </c>
      <c r="C433" s="13" t="n">
        <v>78104</v>
      </c>
      <c r="D433" s="13" t="n">
        <v>124762</v>
      </c>
      <c r="E433" s="6" t="n">
        <f>SUM(C433,D433)/2</f>
        <v>101433</v>
      </c>
      <c r="F433" s="12" t="n">
        <v>13216</v>
      </c>
      <c r="G433" s="12" t="n">
        <v>17622</v>
      </c>
      <c r="H433" s="6" t="n">
        <f>SUM(F433,G433)/2</f>
        <v>15419</v>
      </c>
    </row>
    <row r="434" s="18" customFormat="1" ht="14.399999999999999" customHeight="1">
      <c r="A434" s="10" t="s">
        <v>4505</v>
      </c>
      <c r="B434" s="10" t="s">
        <v>4506</v>
      </c>
      <c r="C434" s="13" t="n">
        <v>32589</v>
      </c>
      <c r="D434" s="13" t="n">
        <v>52059</v>
      </c>
      <c r="E434" s="6" t="n">
        <f>SUM(C434,D434)/2</f>
        <v>42324</v>
      </c>
      <c r="F434" s="12" t="n">
        <v>5874</v>
      </c>
      <c r="G434" s="12" t="n">
        <v>6680</v>
      </c>
      <c r="H434" s="6" t="n">
        <f>SUM(F434,G434)/2</f>
        <v>6277</v>
      </c>
    </row>
    <row r="435" s="18" customFormat="1" ht="14.399999999999999" customHeight="1">
      <c r="A435" s="10" t="s">
        <v>5703</v>
      </c>
      <c r="B435" s="10" t="s">
        <v>5704</v>
      </c>
      <c r="C435" s="13" t="n">
        <v>41492</v>
      </c>
      <c r="D435" s="13" t="n">
        <v>66280</v>
      </c>
      <c r="E435" s="6" t="n">
        <f>SUM(C435,D435)/2</f>
        <v>53886</v>
      </c>
      <c r="F435" s="12" t="n">
        <v>7407</v>
      </c>
      <c r="G435" s="12" t="n">
        <v>11113</v>
      </c>
      <c r="H435" s="6" t="n">
        <f>SUM(F435,G435)/2</f>
        <v>9260</v>
      </c>
    </row>
    <row r="436" s="18" customFormat="1" ht="14.399999999999999" customHeight="1">
      <c r="A436" s="10" t="s">
        <v>44</v>
      </c>
      <c r="B436" s="10" t="s">
        <v>45</v>
      </c>
      <c r="C436" s="13" t="n">
        <v>3311390</v>
      </c>
      <c r="D436" s="13" t="n">
        <v>5289620</v>
      </c>
      <c r="E436" s="6" t="n">
        <f>SUM(C436,D436)/2</f>
        <v>4300505</v>
      </c>
      <c r="F436" s="12" t="n">
        <v>1064663</v>
      </c>
      <c r="G436" s="12" t="n">
        <v>1581489</v>
      </c>
      <c r="H436" s="6" t="n">
        <f>SUM(F436,G436)/2</f>
        <v>1323076</v>
      </c>
    </row>
    <row r="437" s="18" customFormat="1" ht="14.399999999999999" customHeight="1">
      <c r="A437" s="10" t="s">
        <v>2759</v>
      </c>
      <c r="B437" s="10" t="s">
        <v>2760</v>
      </c>
      <c r="C437" s="10" t="n">
        <v>2</v>
      </c>
      <c r="D437" s="10" t="n">
        <v>2</v>
      </c>
      <c r="E437" s="6" t="n">
        <f>SUM(C437,D437)/2</f>
        <v>2</v>
      </c>
      <c r="F437" s="18" t="n">
        <v>0</v>
      </c>
      <c r="G437" s="18" t="n">
        <v>0</v>
      </c>
      <c r="H437" s="6" t="n">
        <f>SUM(F437,G437)/2</f>
        <v>0</v>
      </c>
    </row>
    <row r="438" s="18" customFormat="1" ht="14.399999999999999" customHeight="1">
      <c r="A438" s="10" t="s">
        <v>4033</v>
      </c>
      <c r="B438" s="10" t="s">
        <v>4034</v>
      </c>
      <c r="C438" s="13" t="n">
        <v>16931</v>
      </c>
      <c r="D438" s="13" t="n">
        <v>27045</v>
      </c>
      <c r="E438" s="6" t="n">
        <f>SUM(C438,D438)/2</f>
        <v>21988</v>
      </c>
      <c r="F438" s="12" t="n">
        <v>17953</v>
      </c>
      <c r="G438" s="12" t="n">
        <v>21287</v>
      </c>
      <c r="H438" s="6" t="n">
        <f>SUM(F438,G438)/2</f>
        <v>19620</v>
      </c>
    </row>
    <row r="439" s="18" customFormat="1" ht="14.399999999999999" customHeight="1">
      <c r="A439" s="10" t="s">
        <v>2680</v>
      </c>
      <c r="B439" s="10" t="s">
        <v>2681</v>
      </c>
      <c r="C439" s="10" t="n">
        <v>0</v>
      </c>
      <c r="D439" s="10" t="n">
        <v>0</v>
      </c>
      <c r="E439" s="6" t="n">
        <f>SUM(C439,D439)/2</f>
        <v>0</v>
      </c>
      <c r="F439" s="18" t="n">
        <v>1</v>
      </c>
      <c r="G439" s="18" t="n">
        <v>1</v>
      </c>
      <c r="H439" s="6" t="n">
        <f>SUM(F439,G439)/2</f>
        <v>1</v>
      </c>
    </row>
    <row r="440" s="18" customFormat="1" ht="14.399999999999999" customHeight="1">
      <c r="A440" s="10" t="s">
        <v>5340</v>
      </c>
      <c r="B440" s="10" t="s">
        <v>5341</v>
      </c>
      <c r="C440" s="13" t="n">
        <v>262877</v>
      </c>
      <c r="D440" s="13" t="n">
        <v>419921</v>
      </c>
      <c r="E440" s="6" t="n">
        <f>SUM(C440,D440)/2</f>
        <v>341399</v>
      </c>
      <c r="F440" s="12" t="n">
        <v>91217</v>
      </c>
      <c r="G440" s="12" t="n">
        <v>132088</v>
      </c>
      <c r="H440" s="6" t="n">
        <f>SUM(F440,G440)/2</f>
        <v>111652.5</v>
      </c>
    </row>
    <row r="441" s="18" customFormat="1" ht="14.399999999999999" customHeight="1">
      <c r="A441" s="10" t="s">
        <v>4273</v>
      </c>
      <c r="B441" s="10" t="s">
        <v>4274</v>
      </c>
      <c r="C441" s="13" t="n">
        <v>39490</v>
      </c>
      <c r="D441" s="13" t="n">
        <v>63084</v>
      </c>
      <c r="E441" s="6" t="n">
        <f>SUM(C441,D441)/2</f>
        <v>51287</v>
      </c>
      <c r="F441" s="12" t="n">
        <v>6071</v>
      </c>
      <c r="G441" s="12" t="n">
        <v>9978</v>
      </c>
      <c r="H441" s="6" t="n">
        <f>SUM(F441,G441)/2</f>
        <v>8024.5</v>
      </c>
    </row>
    <row r="442" s="18" customFormat="1" ht="14.399999999999999" customHeight="1">
      <c r="A442" s="10" t="s">
        <v>5705</v>
      </c>
      <c r="B442" s="10" t="s">
        <v>5706</v>
      </c>
      <c r="C442" s="13" t="n">
        <v>7748</v>
      </c>
      <c r="D442" s="13" t="n">
        <v>12380</v>
      </c>
      <c r="E442" s="6" t="n">
        <f>SUM(C442,D442)/2</f>
        <v>10064</v>
      </c>
      <c r="F442" s="12" t="n">
        <v>5476</v>
      </c>
      <c r="G442" s="12" t="n">
        <v>7973</v>
      </c>
      <c r="H442" s="6" t="n">
        <f>SUM(F442,G442)/2</f>
        <v>6724.5</v>
      </c>
    </row>
    <row r="443" s="18" customFormat="1" ht="14.399999999999999" customHeight="1">
      <c r="A443" s="10" t="s">
        <v>5707</v>
      </c>
      <c r="B443" s="10" t="s">
        <v>5708</v>
      </c>
      <c r="C443" s="13" t="n">
        <v>14646</v>
      </c>
      <c r="D443" s="13" t="n">
        <v>23396</v>
      </c>
      <c r="E443" s="6" t="n">
        <f>SUM(C443,D443)/2</f>
        <v>19021</v>
      </c>
      <c r="F443" s="12" t="n">
        <v>5591</v>
      </c>
      <c r="G443" s="12" t="n">
        <v>8414</v>
      </c>
      <c r="H443" s="6" t="n">
        <f>SUM(F443,G443)/2</f>
        <v>7002.5</v>
      </c>
    </row>
    <row r="444" s="18" customFormat="1" ht="14.399999999999999" customHeight="1">
      <c r="A444" s="10" t="s">
        <v>5362</v>
      </c>
      <c r="B444" s="10" t="s">
        <v>5363</v>
      </c>
      <c r="C444" s="13" t="n">
        <v>1534</v>
      </c>
      <c r="D444" s="13" t="n">
        <v>2452</v>
      </c>
      <c r="E444" s="6" t="n">
        <f>SUM(C444,D444)/2</f>
        <v>1993</v>
      </c>
      <c r="F444" s="18" t="n">
        <v>7</v>
      </c>
      <c r="G444" s="18" t="n">
        <v>10</v>
      </c>
      <c r="H444" s="6" t="n">
        <f>SUM(F444,G444)/2</f>
        <v>8.5</v>
      </c>
    </row>
    <row r="445" s="18" customFormat="1" ht="14.399999999999999" customHeight="1">
      <c r="A445" s="10" t="s">
        <v>5709</v>
      </c>
      <c r="B445" s="10" t="s">
        <v>5710</v>
      </c>
      <c r="C445" s="10" t="n">
        <v>83</v>
      </c>
      <c r="D445" s="10" t="n">
        <v>133</v>
      </c>
      <c r="E445" s="6" t="n">
        <f>SUM(C445,D445)/2</f>
        <v>108</v>
      </c>
      <c r="F445" s="18" t="n">
        <v>43</v>
      </c>
      <c r="G445" s="18" t="n">
        <v>60</v>
      </c>
      <c r="H445" s="6" t="n">
        <f>SUM(F445,G445)/2</f>
        <v>51.5</v>
      </c>
    </row>
    <row r="446" s="18" customFormat="1" ht="14.399999999999999" customHeight="1">
      <c r="A446" s="10" t="s">
        <v>2847</v>
      </c>
      <c r="B446" s="10" t="s">
        <v>2848</v>
      </c>
      <c r="C446" s="10" t="n">
        <v>0</v>
      </c>
      <c r="D446" s="10" t="n">
        <v>0</v>
      </c>
      <c r="E446" s="6" t="n">
        <f>SUM(C446,D446)/2</f>
        <v>0</v>
      </c>
      <c r="F446" s="18" t="n">
        <v>0</v>
      </c>
      <c r="G446" s="18" t="n">
        <v>0</v>
      </c>
      <c r="H446" s="6" t="n">
        <f>SUM(F446,G446)/2</f>
        <v>0</v>
      </c>
    </row>
    <row r="447" s="18" customFormat="1" ht="14.399999999999999" customHeight="1">
      <c r="A447" s="10" t="s">
        <v>5163</v>
      </c>
      <c r="B447" s="10" t="s">
        <v>5164</v>
      </c>
      <c r="C447" s="13" t="n">
        <v>2820</v>
      </c>
      <c r="D447" s="13" t="n">
        <v>4507</v>
      </c>
      <c r="E447" s="6" t="n">
        <f>SUM(C447,D447)/2</f>
        <v>3663.5</v>
      </c>
      <c r="F447" s="12" t="n">
        <v>5089</v>
      </c>
      <c r="G447" s="12" t="n">
        <v>7096</v>
      </c>
      <c r="H447" s="6" t="n">
        <f>SUM(F447,G447)/2</f>
        <v>6092.5</v>
      </c>
    </row>
    <row r="448" s="18" customFormat="1" ht="14.399999999999999" customHeight="1">
      <c r="A448" s="10" t="s">
        <v>3613</v>
      </c>
      <c r="B448" s="10" t="s">
        <v>3614</v>
      </c>
      <c r="C448" s="13" t="n">
        <v>47522</v>
      </c>
      <c r="D448" s="13" t="n">
        <v>75913</v>
      </c>
      <c r="E448" s="6" t="n">
        <f>SUM(C448,D448)/2</f>
        <v>61717.5</v>
      </c>
      <c r="F448" s="12" t="n">
        <v>19553</v>
      </c>
      <c r="G448" s="12" t="n">
        <v>28307</v>
      </c>
      <c r="H448" s="6" t="n">
        <f>SUM(F448,G448)/2</f>
        <v>23930</v>
      </c>
    </row>
    <row r="449" s="18" customFormat="1" ht="14.399999999999999" customHeight="1">
      <c r="A449" s="10" t="s">
        <v>5326</v>
      </c>
      <c r="B449" s="10" t="s">
        <v>5327</v>
      </c>
      <c r="C449" s="13" t="n">
        <v>486006</v>
      </c>
      <c r="D449" s="13" t="n">
        <v>776348</v>
      </c>
      <c r="E449" s="6" t="n">
        <f>SUM(C449,D449)/2</f>
        <v>631177</v>
      </c>
      <c r="F449" s="12" t="n">
        <v>35151</v>
      </c>
      <c r="G449" s="12" t="n">
        <v>67971</v>
      </c>
      <c r="H449" s="6" t="n">
        <f>SUM(F449,G449)/2</f>
        <v>51561</v>
      </c>
    </row>
    <row r="450" s="18" customFormat="1" ht="14.399999999999999" customHeight="1">
      <c r="A450" s="10" t="s">
        <v>4511</v>
      </c>
      <c r="B450" s="10" t="s">
        <v>4512</v>
      </c>
      <c r="C450" s="13" t="n">
        <v>24587</v>
      </c>
      <c r="D450" s="13" t="n">
        <v>39272</v>
      </c>
      <c r="E450" s="6" t="n">
        <f>SUM(C450,D450)/2</f>
        <v>31929.5</v>
      </c>
      <c r="F450" s="12" t="n">
        <v>7181</v>
      </c>
      <c r="G450" s="12" t="n">
        <v>9667</v>
      </c>
      <c r="H450" s="6" t="n">
        <f>SUM(F450,G450)/2</f>
        <v>8424</v>
      </c>
    </row>
    <row r="451" s="18" customFormat="1" ht="14.399999999999999" customHeight="1">
      <c r="A451" s="10" t="s">
        <v>4563</v>
      </c>
      <c r="B451" s="10" t="s">
        <v>4564</v>
      </c>
      <c r="C451" s="13" t="n">
        <v>14257</v>
      </c>
      <c r="D451" s="13" t="n">
        <v>22773</v>
      </c>
      <c r="E451" s="6" t="n">
        <f>SUM(C451,D451)/2</f>
        <v>18515</v>
      </c>
      <c r="F451" s="12" t="n">
        <v>8659</v>
      </c>
      <c r="G451" s="12" t="n">
        <v>12648</v>
      </c>
      <c r="H451" s="6" t="n">
        <f>SUM(F451,G451)/2</f>
        <v>10653.5</v>
      </c>
    </row>
    <row r="452" s="18" customFormat="1" ht="14.399999999999999" customHeight="1">
      <c r="A452" s="10" t="s">
        <v>3483</v>
      </c>
      <c r="B452" s="10" t="s">
        <v>3484</v>
      </c>
      <c r="C452" s="13" t="n">
        <v>6749</v>
      </c>
      <c r="D452" s="13" t="n">
        <v>10783</v>
      </c>
      <c r="E452" s="6" t="n">
        <f>SUM(C452,D452)/2</f>
        <v>8766</v>
      </c>
      <c r="F452" s="12" t="n">
        <v>35319</v>
      </c>
      <c r="G452" s="12" t="n">
        <v>47518</v>
      </c>
      <c r="H452" s="6" t="n">
        <f>SUM(F452,G452)/2</f>
        <v>41418.5</v>
      </c>
    </row>
    <row r="453" s="18" customFormat="1" ht="14.399999999999999" customHeight="1">
      <c r="A453" s="10" t="s">
        <v>5711</v>
      </c>
      <c r="B453" s="10" t="s">
        <v>5712</v>
      </c>
      <c r="C453" s="13" t="n">
        <v>4360</v>
      </c>
      <c r="D453" s="13" t="n">
        <v>6964</v>
      </c>
      <c r="E453" s="6" t="n">
        <f>SUM(C453,D453)/2</f>
        <v>5662</v>
      </c>
      <c r="F453" s="12" t="n">
        <v>5194</v>
      </c>
      <c r="G453" s="12" t="n">
        <v>7764</v>
      </c>
      <c r="H453" s="6" t="n">
        <f>SUM(F453,G453)/2</f>
        <v>6479</v>
      </c>
    </row>
    <row r="454" s="18" customFormat="1" ht="14.399999999999999" customHeight="1">
      <c r="A454" s="10" t="s">
        <v>3219</v>
      </c>
      <c r="B454" s="10" t="s">
        <v>3220</v>
      </c>
      <c r="C454" s="13" t="n">
        <v>62227</v>
      </c>
      <c r="D454" s="13" t="n">
        <v>99401</v>
      </c>
      <c r="E454" s="6" t="n">
        <f>SUM(C454,D454)/2</f>
        <v>80814</v>
      </c>
      <c r="F454" s="12" t="n">
        <v>34377</v>
      </c>
      <c r="G454" s="12" t="n">
        <v>47926</v>
      </c>
      <c r="H454" s="6" t="n">
        <f>SUM(F454,G454)/2</f>
        <v>41151.5</v>
      </c>
    </row>
    <row r="455" s="18" customFormat="1" ht="14.399999999999999" customHeight="1">
      <c r="A455" s="10" t="s">
        <v>4169</v>
      </c>
      <c r="B455" s="10" t="s">
        <v>4170</v>
      </c>
      <c r="C455" s="13" t="n">
        <v>32634</v>
      </c>
      <c r="D455" s="13" t="n">
        <v>52128</v>
      </c>
      <c r="E455" s="6" t="n">
        <f>SUM(C455,D455)/2</f>
        <v>42381</v>
      </c>
      <c r="F455" s="12" t="n">
        <v>10387</v>
      </c>
      <c r="G455" s="12" t="n">
        <v>13129</v>
      </c>
      <c r="H455" s="6" t="n">
        <f>SUM(F455,G455)/2</f>
        <v>11758</v>
      </c>
    </row>
    <row r="456" s="18" customFormat="1" ht="14.399999999999999" customHeight="1">
      <c r="A456" s="10" t="s">
        <v>2682</v>
      </c>
      <c r="B456" s="10" t="s">
        <v>2683</v>
      </c>
      <c r="C456" s="10" t="n">
        <v>0</v>
      </c>
      <c r="D456" s="10" t="n">
        <v>0</v>
      </c>
      <c r="E456" s="6" t="n">
        <f>SUM(C456,D456)/2</f>
        <v>0</v>
      </c>
      <c r="F456" s="18" t="n">
        <v>1</v>
      </c>
      <c r="G456" s="18" t="n">
        <v>1</v>
      </c>
      <c r="H456" s="6" t="n">
        <f>SUM(F456,G456)/2</f>
        <v>1</v>
      </c>
    </row>
    <row r="457" s="18" customFormat="1" ht="14.399999999999999" customHeight="1">
      <c r="A457" s="10" t="s">
        <v>5713</v>
      </c>
      <c r="B457" s="10" t="s">
        <v>5714</v>
      </c>
      <c r="C457" s="13" t="n">
        <v>84259</v>
      </c>
      <c r="D457" s="13" t="n">
        <v>134594</v>
      </c>
      <c r="E457" s="6" t="n">
        <f>SUM(C457,D457)/2</f>
        <v>109426.5</v>
      </c>
      <c r="F457" s="12" t="n">
        <v>23896</v>
      </c>
      <c r="G457" s="12" t="n">
        <v>29939</v>
      </c>
      <c r="H457" s="6" t="n">
        <f>SUM(F457,G457)/2</f>
        <v>26917.5</v>
      </c>
    </row>
    <row r="458" s="18" customFormat="1" ht="14.399999999999999" customHeight="1">
      <c r="A458" s="10" t="s">
        <v>3903</v>
      </c>
      <c r="B458" s="10" t="s">
        <v>3904</v>
      </c>
      <c r="C458" s="13" t="n">
        <v>30953</v>
      </c>
      <c r="D458" s="13" t="n">
        <v>49442</v>
      </c>
      <c r="E458" s="6" t="n">
        <f>SUM(C458,D458)/2</f>
        <v>40197.5</v>
      </c>
      <c r="F458" s="12" t="n">
        <v>14863</v>
      </c>
      <c r="G458" s="12" t="n">
        <v>21644</v>
      </c>
      <c r="H458" s="6" t="n">
        <f>SUM(F458,G458)/2</f>
        <v>18253.5</v>
      </c>
    </row>
    <row r="459" s="18" customFormat="1" ht="14.399999999999999" customHeight="1">
      <c r="A459" s="10" t="s">
        <v>955</v>
      </c>
      <c r="B459" s="10" t="s">
        <v>956</v>
      </c>
      <c r="C459" s="13" t="n">
        <v>580029</v>
      </c>
      <c r="D459" s="13" t="n">
        <v>926543</v>
      </c>
      <c r="E459" s="6" t="n">
        <f>SUM(C459,D459)/2</f>
        <v>753286</v>
      </c>
      <c r="F459" s="12" t="n">
        <v>113618</v>
      </c>
      <c r="G459" s="12" t="n">
        <v>162988</v>
      </c>
      <c r="H459" s="6" t="n">
        <f>SUM(F459,G459)/2</f>
        <v>138303</v>
      </c>
    </row>
    <row r="460" s="18" customFormat="1" ht="14.399999999999999" customHeight="1">
      <c r="A460" s="10" t="s">
        <v>1093</v>
      </c>
      <c r="B460" s="10" t="s">
        <v>1094</v>
      </c>
      <c r="C460" s="13" t="n">
        <v>465709</v>
      </c>
      <c r="D460" s="13" t="n">
        <v>743923</v>
      </c>
      <c r="E460" s="6" t="n">
        <f>SUM(C460,D460)/2</f>
        <v>604816</v>
      </c>
      <c r="F460" s="12" t="n">
        <v>53919</v>
      </c>
      <c r="G460" s="12" t="n">
        <v>78112</v>
      </c>
      <c r="H460" s="6" t="n">
        <f>SUM(F460,G460)/2</f>
        <v>66015.5</v>
      </c>
    </row>
    <row r="461" s="18" customFormat="1" ht="14.399999999999999" customHeight="1">
      <c r="A461" s="10" t="s">
        <v>62</v>
      </c>
      <c r="B461" s="10" t="s">
        <v>63</v>
      </c>
      <c r="C461" s="13" t="n">
        <v>4146066</v>
      </c>
      <c r="D461" s="13" t="n">
        <v>6622936</v>
      </c>
      <c r="E461" s="6" t="n">
        <f>SUM(C461,D461)/2</f>
        <v>5384501</v>
      </c>
      <c r="F461" s="12" t="n">
        <v>376574</v>
      </c>
      <c r="G461" s="12" t="n">
        <v>554272</v>
      </c>
      <c r="H461" s="6" t="n">
        <f>SUM(F461,G461)/2</f>
        <v>465423</v>
      </c>
    </row>
    <row r="462" s="18" customFormat="1" ht="14.399999999999999" customHeight="1">
      <c r="A462" s="10" t="s">
        <v>4109</v>
      </c>
      <c r="B462" s="10" t="s">
        <v>4110</v>
      </c>
      <c r="C462" s="13" t="n">
        <v>19704</v>
      </c>
      <c r="D462" s="13" t="n">
        <v>31474</v>
      </c>
      <c r="E462" s="6" t="n">
        <f>SUM(C462,D462)/2</f>
        <v>25589</v>
      </c>
      <c r="F462" s="12" t="n">
        <v>13220</v>
      </c>
      <c r="G462" s="12" t="n">
        <v>19806</v>
      </c>
      <c r="H462" s="6" t="n">
        <f>SUM(F462,G462)/2</f>
        <v>16513</v>
      </c>
    </row>
    <row r="463" s="18" customFormat="1" ht="14.399999999999999" customHeight="1">
      <c r="A463" s="10" t="s">
        <v>4201</v>
      </c>
      <c r="B463" s="10" t="s">
        <v>4202</v>
      </c>
      <c r="C463" s="13" t="n">
        <v>41180</v>
      </c>
      <c r="D463" s="13" t="n">
        <v>65780</v>
      </c>
      <c r="E463" s="6" t="n">
        <f>SUM(C463,D463)/2</f>
        <v>53480</v>
      </c>
      <c r="F463" s="12" t="n">
        <v>7084</v>
      </c>
      <c r="G463" s="12" t="n">
        <v>10537</v>
      </c>
      <c r="H463" s="6" t="n">
        <f>SUM(F463,G463)/2</f>
        <v>8810.5</v>
      </c>
    </row>
    <row r="464" s="18" customFormat="1" ht="14.399999999999999" customHeight="1">
      <c r="A464" s="10" t="s">
        <v>4381</v>
      </c>
      <c r="B464" s="10" t="s">
        <v>4382</v>
      </c>
      <c r="C464" s="13" t="n">
        <v>36412</v>
      </c>
      <c r="D464" s="13" t="n">
        <v>58164</v>
      </c>
      <c r="E464" s="6" t="n">
        <f>SUM(C464,D464)/2</f>
        <v>47288</v>
      </c>
      <c r="F464" s="12" t="n">
        <v>5288</v>
      </c>
      <c r="G464" s="12" t="n">
        <v>8733</v>
      </c>
      <c r="H464" s="6" t="n">
        <f>SUM(F464,G464)/2</f>
        <v>7010.5</v>
      </c>
    </row>
    <row r="465" s="18" customFormat="1" ht="14.399999999999999" customHeight="1">
      <c r="A465" s="10" t="s">
        <v>3625</v>
      </c>
      <c r="B465" s="10" t="s">
        <v>3626</v>
      </c>
      <c r="C465" s="13" t="n">
        <v>44487</v>
      </c>
      <c r="D465" s="13" t="n">
        <v>71066</v>
      </c>
      <c r="E465" s="6" t="n">
        <f>SUM(C465,D465)/2</f>
        <v>57776.5</v>
      </c>
      <c r="F465" s="12" t="n">
        <v>19619</v>
      </c>
      <c r="G465" s="12" t="n">
        <v>29119</v>
      </c>
      <c r="H465" s="6" t="n">
        <f>SUM(F465,G465)/2</f>
        <v>24369</v>
      </c>
    </row>
    <row r="466" s="18" customFormat="1" ht="14.399999999999999" customHeight="1">
      <c r="A466" s="10" t="s">
        <v>3931</v>
      </c>
      <c r="B466" s="10" t="s">
        <v>3932</v>
      </c>
      <c r="C466" s="13" t="n">
        <v>49293</v>
      </c>
      <c r="D466" s="13" t="n">
        <v>78739</v>
      </c>
      <c r="E466" s="6" t="n">
        <f>SUM(C466,D466)/2</f>
        <v>64016</v>
      </c>
      <c r="F466" s="12" t="n">
        <v>9856</v>
      </c>
      <c r="G466" s="12" t="n">
        <v>14840</v>
      </c>
      <c r="H466" s="6" t="n">
        <f>SUM(F466,G466)/2</f>
        <v>12348</v>
      </c>
    </row>
    <row r="467" s="18" customFormat="1" ht="14.399999999999999" customHeight="1">
      <c r="A467" s="10" t="s">
        <v>5143</v>
      </c>
      <c r="B467" s="10" t="s">
        <v>5144</v>
      </c>
      <c r="C467" s="13" t="n">
        <v>4345</v>
      </c>
      <c r="D467" s="13" t="n">
        <v>6939</v>
      </c>
      <c r="E467" s="6" t="n">
        <f>SUM(C467,D467)/2</f>
        <v>5642</v>
      </c>
      <c r="F467" s="12" t="n">
        <v>4971</v>
      </c>
      <c r="G467" s="12" t="n">
        <v>7413</v>
      </c>
      <c r="H467" s="6" t="n">
        <f>SUM(F467,G467)/2</f>
        <v>6192</v>
      </c>
    </row>
    <row r="468" s="18" customFormat="1" ht="14.399999999999999" customHeight="1">
      <c r="A468" s="10" t="s">
        <v>5715</v>
      </c>
      <c r="B468" s="10" t="s">
        <v>5716</v>
      </c>
      <c r="C468" s="10" t="n">
        <v>2</v>
      </c>
      <c r="D468" s="10" t="n">
        <v>2</v>
      </c>
      <c r="E468" s="6" t="n">
        <f>SUM(C468,D468)/2</f>
        <v>2</v>
      </c>
      <c r="F468" s="18" t="n">
        <v>19</v>
      </c>
      <c r="G468" s="18" t="n">
        <v>74</v>
      </c>
      <c r="H468" s="6" t="n">
        <f>SUM(F468,G468)/2</f>
        <v>46.5</v>
      </c>
    </row>
    <row r="469" s="18" customFormat="1" ht="14.399999999999999" customHeight="1">
      <c r="A469" s="10" t="s">
        <v>5717</v>
      </c>
      <c r="B469" s="10" t="s">
        <v>5718</v>
      </c>
      <c r="C469" s="13" t="n">
        <v>28184</v>
      </c>
      <c r="D469" s="13" t="n">
        <v>45020</v>
      </c>
      <c r="E469" s="6" t="n">
        <f>SUM(C469,D469)/2</f>
        <v>36602</v>
      </c>
      <c r="F469" s="12" t="n">
        <v>7095</v>
      </c>
      <c r="G469" s="12" t="n">
        <v>11133</v>
      </c>
      <c r="H469" s="6" t="n">
        <f>SUM(F469,G469)/2</f>
        <v>9114</v>
      </c>
    </row>
    <row r="470" s="18" customFormat="1" ht="14.399999999999999" customHeight="1">
      <c r="A470" s="10" t="s">
        <v>5719</v>
      </c>
      <c r="B470" s="10" t="s">
        <v>5720</v>
      </c>
      <c r="C470" s="13" t="n">
        <v>17182</v>
      </c>
      <c r="D470" s="13" t="n">
        <v>27448</v>
      </c>
      <c r="E470" s="6" t="n">
        <f>SUM(C470,D470)/2</f>
        <v>22315</v>
      </c>
      <c r="F470" s="12" t="n">
        <v>5161</v>
      </c>
      <c r="G470" s="12" t="n">
        <v>6635</v>
      </c>
      <c r="H470" s="6" t="n">
        <f>SUM(F470,G470)/2</f>
        <v>5898</v>
      </c>
    </row>
    <row r="471" s="18" customFormat="1" ht="14.399999999999999" customHeight="1">
      <c r="A471" s="10" t="s">
        <v>1501</v>
      </c>
      <c r="B471" s="10" t="s">
        <v>1502</v>
      </c>
      <c r="C471" s="13" t="n">
        <v>99682</v>
      </c>
      <c r="D471" s="13" t="n">
        <v>159232</v>
      </c>
      <c r="E471" s="6" t="n">
        <f>SUM(C471,D471)/2</f>
        <v>129457</v>
      </c>
      <c r="F471" s="12" t="n">
        <v>97053</v>
      </c>
      <c r="G471" s="12" t="n">
        <v>136761</v>
      </c>
      <c r="H471" s="6" t="n">
        <f>SUM(F471,G471)/2</f>
        <v>116907</v>
      </c>
    </row>
    <row r="472" s="18" customFormat="1" ht="14.399999999999999" customHeight="1">
      <c r="A472" s="10" t="s">
        <v>5721</v>
      </c>
      <c r="B472" s="10" t="s">
        <v>5722</v>
      </c>
      <c r="C472" s="13" t="n">
        <v>1111260</v>
      </c>
      <c r="D472" s="13" t="n">
        <v>1775132</v>
      </c>
      <c r="E472" s="6" t="n">
        <f>SUM(C472,D472)/2</f>
        <v>1443196</v>
      </c>
      <c r="F472" s="12" t="n">
        <v>470466</v>
      </c>
      <c r="G472" s="12" t="n">
        <v>643064</v>
      </c>
      <c r="H472" s="6" t="n">
        <f>SUM(F472,G472)/2</f>
        <v>556765</v>
      </c>
    </row>
    <row r="473" s="18" customFormat="1" ht="14.399999999999999" customHeight="1">
      <c r="A473" s="10" t="s">
        <v>1057</v>
      </c>
      <c r="B473" s="10" t="s">
        <v>1058</v>
      </c>
      <c r="C473" s="13" t="n">
        <v>295694</v>
      </c>
      <c r="D473" s="13" t="n">
        <v>472344</v>
      </c>
      <c r="E473" s="6" t="n">
        <f>SUM(C473,D473)/2</f>
        <v>384019</v>
      </c>
      <c r="F473" s="12" t="n">
        <v>118156</v>
      </c>
      <c r="G473" s="12" t="n">
        <v>179864</v>
      </c>
      <c r="H473" s="6" t="n">
        <f>SUM(F473,G473)/2</f>
        <v>149010</v>
      </c>
    </row>
    <row r="474" s="18" customFormat="1" ht="14.399999999999999" customHeight="1">
      <c r="A474" s="10" t="s">
        <v>4259</v>
      </c>
      <c r="B474" s="10" t="s">
        <v>4260</v>
      </c>
      <c r="C474" s="13" t="n">
        <v>21647</v>
      </c>
      <c r="D474" s="13" t="n">
        <v>34578</v>
      </c>
      <c r="E474" s="6" t="n">
        <f>SUM(C474,D474)/2</f>
        <v>28112.5</v>
      </c>
      <c r="F474" s="12" t="n">
        <v>11543</v>
      </c>
      <c r="G474" s="12" t="n">
        <v>14823</v>
      </c>
      <c r="H474" s="6" t="n">
        <f>SUM(F474,G474)/2</f>
        <v>13183</v>
      </c>
    </row>
    <row r="475" s="18" customFormat="1" ht="14.399999999999999" customHeight="1">
      <c r="A475" s="10" t="s">
        <v>3873</v>
      </c>
      <c r="B475" s="10" t="s">
        <v>3874</v>
      </c>
      <c r="C475" s="13" t="n">
        <v>44928</v>
      </c>
      <c r="D475" s="13" t="n">
        <v>71766</v>
      </c>
      <c r="E475" s="6" t="n">
        <f>SUM(C475,D475)/2</f>
        <v>58347</v>
      </c>
      <c r="F475" s="12" t="n">
        <v>12273</v>
      </c>
      <c r="G475" s="12" t="n">
        <v>18606</v>
      </c>
      <c r="H475" s="6" t="n">
        <f>SUM(F475,G475)/2</f>
        <v>15439.5</v>
      </c>
    </row>
    <row r="476" s="18" customFormat="1" ht="14.399999999999999" customHeight="1">
      <c r="A476" s="10" t="s">
        <v>4349</v>
      </c>
      <c r="B476" s="10" t="s">
        <v>4350</v>
      </c>
      <c r="C476" s="13" t="n">
        <v>23700</v>
      </c>
      <c r="D476" s="13" t="n">
        <v>37862</v>
      </c>
      <c r="E476" s="6" t="n">
        <f>SUM(C476,D476)/2</f>
        <v>30781</v>
      </c>
      <c r="F476" s="12" t="n">
        <v>8652</v>
      </c>
      <c r="G476" s="12" t="n">
        <v>13416</v>
      </c>
      <c r="H476" s="6" t="n">
        <f>SUM(F476,G476)/2</f>
        <v>11034</v>
      </c>
    </row>
    <row r="477" s="18" customFormat="1" ht="14.399999999999999" customHeight="1">
      <c r="A477" s="10" t="s">
        <v>4743</v>
      </c>
      <c r="B477" s="10" t="s">
        <v>4744</v>
      </c>
      <c r="C477" s="13" t="n">
        <v>11006</v>
      </c>
      <c r="D477" s="13" t="n">
        <v>17580</v>
      </c>
      <c r="E477" s="6" t="n">
        <f>SUM(C477,D477)/2</f>
        <v>14293</v>
      </c>
      <c r="F477" s="12" t="n">
        <v>7467</v>
      </c>
      <c r="G477" s="12" t="n">
        <v>11196</v>
      </c>
      <c r="H477" s="6" t="n">
        <f>SUM(F477,G477)/2</f>
        <v>9331.5</v>
      </c>
    </row>
    <row r="478" s="18" customFormat="1" ht="14.399999999999999" customHeight="1">
      <c r="A478" s="10" t="s">
        <v>5723</v>
      </c>
      <c r="B478" s="10" t="s">
        <v>5724</v>
      </c>
      <c r="C478" s="13" t="n">
        <v>4141</v>
      </c>
      <c r="D478" s="13" t="n">
        <v>6617</v>
      </c>
      <c r="E478" s="6" t="n">
        <f>SUM(C478,D478)/2</f>
        <v>5379</v>
      </c>
      <c r="F478" s="12" t="n">
        <v>6304</v>
      </c>
      <c r="G478" s="12" t="n">
        <v>9232</v>
      </c>
      <c r="H478" s="6" t="n">
        <f>SUM(F478,G478)/2</f>
        <v>7768</v>
      </c>
    </row>
    <row r="479" s="18" customFormat="1" ht="14.399999999999999" customHeight="1">
      <c r="A479" s="10" t="s">
        <v>5725</v>
      </c>
      <c r="B479" s="10" t="s">
        <v>5726</v>
      </c>
      <c r="C479" s="13" t="n">
        <v>12944</v>
      </c>
      <c r="D479" s="13" t="n">
        <v>20676</v>
      </c>
      <c r="E479" s="6" t="n">
        <f>SUM(C479,D479)/2</f>
        <v>16810</v>
      </c>
      <c r="F479" s="12" t="n">
        <v>9111</v>
      </c>
      <c r="G479" s="12" t="n">
        <v>13151</v>
      </c>
      <c r="H479" s="6" t="n">
        <f>SUM(F479,G479)/2</f>
        <v>11131</v>
      </c>
    </row>
    <row r="480" s="18" customFormat="1" ht="14.399999999999999" customHeight="1">
      <c r="A480" s="10" t="s">
        <v>1681</v>
      </c>
      <c r="B480" s="10" t="s">
        <v>1682</v>
      </c>
      <c r="C480" s="10" t="n">
        <v>88</v>
      </c>
      <c r="D480" s="10" t="n">
        <v>142</v>
      </c>
      <c r="E480" s="6" t="n">
        <f>SUM(C480,D480)/2</f>
        <v>115</v>
      </c>
      <c r="F480" s="18" t="n">
        <v>11</v>
      </c>
      <c r="G480" s="18" t="n">
        <v>14</v>
      </c>
      <c r="H480" s="6" t="n">
        <f>SUM(F480,G480)/2</f>
        <v>12.5</v>
      </c>
    </row>
    <row r="481" s="18" customFormat="1" ht="14.399999999999999" customHeight="1">
      <c r="A481" s="10" t="s">
        <v>903</v>
      </c>
      <c r="B481" s="10" t="s">
        <v>904</v>
      </c>
      <c r="C481" s="13" t="n">
        <v>670478</v>
      </c>
      <c r="D481" s="13" t="n">
        <v>1071024</v>
      </c>
      <c r="E481" s="6" t="n">
        <f>SUM(C481,D481)/2</f>
        <v>870751</v>
      </c>
      <c r="F481" s="12" t="n">
        <v>142886</v>
      </c>
      <c r="G481" s="12" t="n">
        <v>234180</v>
      </c>
      <c r="H481" s="6" t="n">
        <f>SUM(F481,G481)/2</f>
        <v>188533</v>
      </c>
    </row>
    <row r="482" s="18" customFormat="1" ht="14.399999999999999" customHeight="1">
      <c r="A482" s="10" t="s">
        <v>4005</v>
      </c>
      <c r="B482" s="10" t="s">
        <v>4006</v>
      </c>
      <c r="C482" s="13" t="n">
        <v>23417</v>
      </c>
      <c r="D482" s="13" t="n">
        <v>37407</v>
      </c>
      <c r="E482" s="6" t="n">
        <f>SUM(C482,D482)/2</f>
        <v>30412</v>
      </c>
      <c r="F482" s="12" t="n">
        <v>14576</v>
      </c>
      <c r="G482" s="12" t="n">
        <v>21858</v>
      </c>
      <c r="H482" s="6" t="n">
        <f>SUM(F482,G482)/2</f>
        <v>18217</v>
      </c>
    </row>
    <row r="483" s="18" customFormat="1" ht="14.399999999999999" customHeight="1">
      <c r="A483" s="10" t="s">
        <v>5053</v>
      </c>
      <c r="B483" s="10" t="s">
        <v>5054</v>
      </c>
      <c r="C483" s="13" t="n">
        <v>10111</v>
      </c>
      <c r="D483" s="13" t="n">
        <v>16151</v>
      </c>
      <c r="E483" s="6" t="n">
        <f>SUM(C483,D483)/2</f>
        <v>13131</v>
      </c>
      <c r="F483" s="12" t="n">
        <v>4901</v>
      </c>
      <c r="G483" s="12" t="n">
        <v>7412</v>
      </c>
      <c r="H483" s="6" t="n">
        <f>SUM(F483,G483)/2</f>
        <v>6156.5</v>
      </c>
    </row>
    <row r="484" s="18" customFormat="1" ht="14.399999999999999" customHeight="1">
      <c r="A484" s="10" t="s">
        <v>5727</v>
      </c>
      <c r="B484" s="10" t="s">
        <v>5728</v>
      </c>
      <c r="C484" s="13" t="n">
        <v>40559</v>
      </c>
      <c r="D484" s="13" t="n">
        <v>64789</v>
      </c>
      <c r="E484" s="6" t="n">
        <f>SUM(C484,D484)/2</f>
        <v>52674</v>
      </c>
      <c r="F484" s="12" t="n">
        <v>9385</v>
      </c>
      <c r="G484" s="12" t="n">
        <v>12853</v>
      </c>
      <c r="H484" s="6" t="n">
        <f>SUM(F484,G484)/2</f>
        <v>11119</v>
      </c>
    </row>
    <row r="485" s="18" customFormat="1" ht="14.399999999999999" customHeight="1">
      <c r="A485" s="10" t="s">
        <v>2448</v>
      </c>
      <c r="B485" s="10" t="s">
        <v>2449</v>
      </c>
      <c r="C485" s="10" t="n">
        <v>1</v>
      </c>
      <c r="D485" s="10" t="n">
        <v>1</v>
      </c>
      <c r="E485" s="6" t="n">
        <f>SUM(C485,D485)/2</f>
        <v>1</v>
      </c>
      <c r="F485" s="18" t="n">
        <v>3</v>
      </c>
      <c r="G485" s="18" t="n">
        <v>4</v>
      </c>
      <c r="H485" s="6" t="n">
        <f>SUM(F485,G485)/2</f>
        <v>3.5</v>
      </c>
    </row>
    <row r="486" s="18" customFormat="1" ht="14.399999999999999" customHeight="1">
      <c r="A486" s="10" t="s">
        <v>3965</v>
      </c>
      <c r="B486" s="10" t="s">
        <v>3966</v>
      </c>
      <c r="C486" s="13" t="n">
        <v>39621</v>
      </c>
      <c r="D486" s="13" t="n">
        <v>63288</v>
      </c>
      <c r="E486" s="6" t="n">
        <f>SUM(C486,D486)/2</f>
        <v>51454.5</v>
      </c>
      <c r="F486" s="12" t="n">
        <v>11903</v>
      </c>
      <c r="G486" s="12" t="n">
        <v>17268</v>
      </c>
      <c r="H486" s="6" t="n">
        <f>SUM(F486,G486)/2</f>
        <v>14585.5</v>
      </c>
    </row>
    <row r="487" s="18" customFormat="1" ht="14.399999999999999" customHeight="1">
      <c r="A487" s="10" t="s">
        <v>3927</v>
      </c>
      <c r="B487" s="10" t="s">
        <v>3928</v>
      </c>
      <c r="C487" s="13" t="n">
        <v>49666</v>
      </c>
      <c r="D487" s="13" t="n">
        <v>79338</v>
      </c>
      <c r="E487" s="6" t="n">
        <f>SUM(C487,D487)/2</f>
        <v>64502</v>
      </c>
      <c r="F487" s="12" t="n">
        <v>9677</v>
      </c>
      <c r="G487" s="12" t="n">
        <v>14951</v>
      </c>
      <c r="H487" s="6" t="n">
        <f>SUM(F487,G487)/2</f>
        <v>12314</v>
      </c>
    </row>
    <row r="488" s="18" customFormat="1" ht="14.399999999999999" customHeight="1">
      <c r="A488" s="10" t="s">
        <v>1050</v>
      </c>
      <c r="B488" s="10" t="s">
        <v>1051</v>
      </c>
      <c r="C488" s="13" t="n">
        <v>101989</v>
      </c>
      <c r="D488" s="13" t="n">
        <v>162918</v>
      </c>
      <c r="E488" s="6" t="n">
        <f>SUM(C488,D488)/2</f>
        <v>132453.5</v>
      </c>
      <c r="F488" s="12" t="n">
        <v>167810</v>
      </c>
      <c r="G488" s="12" t="n">
        <v>248841</v>
      </c>
      <c r="H488" s="6" t="n">
        <f>SUM(F488,G488)/2</f>
        <v>208325.5</v>
      </c>
    </row>
    <row r="489" s="18" customFormat="1" ht="14.399999999999999" customHeight="1">
      <c r="A489" s="10" t="s">
        <v>5729</v>
      </c>
      <c r="B489" s="10" t="s">
        <v>5730</v>
      </c>
      <c r="C489" s="13" t="n">
        <v>255642</v>
      </c>
      <c r="D489" s="13" t="n">
        <v>408363</v>
      </c>
      <c r="E489" s="6" t="n">
        <f>SUM(C489,D489)/2</f>
        <v>332002.5</v>
      </c>
      <c r="F489" s="12" t="n">
        <v>187200</v>
      </c>
      <c r="G489" s="12" t="n">
        <v>249780</v>
      </c>
      <c r="H489" s="6" t="n">
        <f>SUM(F489,G489)/2</f>
        <v>218490</v>
      </c>
    </row>
    <row r="490" s="18" customFormat="1" ht="14.399999999999999" customHeight="1">
      <c r="A490" s="10" t="s">
        <v>1847</v>
      </c>
      <c r="B490" s="10" t="s">
        <v>1848</v>
      </c>
      <c r="C490" s="10" t="n">
        <v>69</v>
      </c>
      <c r="D490" s="10" t="n">
        <v>109</v>
      </c>
      <c r="E490" s="6" t="n">
        <f>SUM(C490,D490)/2</f>
        <v>89</v>
      </c>
      <c r="F490" s="18" t="n">
        <v>1</v>
      </c>
      <c r="G490" s="18" t="n">
        <v>1</v>
      </c>
      <c r="H490" s="6" t="n">
        <f>SUM(F490,G490)/2</f>
        <v>1</v>
      </c>
    </row>
    <row r="491" s="18" customFormat="1" ht="14.399999999999999" customHeight="1">
      <c r="A491" s="10" t="s">
        <v>5731</v>
      </c>
      <c r="B491" s="10" t="s">
        <v>5732</v>
      </c>
      <c r="C491" s="13" t="n">
        <v>30369</v>
      </c>
      <c r="D491" s="13" t="n">
        <v>48511</v>
      </c>
      <c r="E491" s="6" t="n">
        <f>SUM(C491,D491)/2</f>
        <v>39440</v>
      </c>
      <c r="F491" s="12" t="n">
        <v>9802</v>
      </c>
      <c r="G491" s="12" t="n">
        <v>13612</v>
      </c>
      <c r="H491" s="6" t="n">
        <f>SUM(F491,G491)/2</f>
        <v>11707</v>
      </c>
    </row>
    <row r="492" s="18" customFormat="1" ht="14.399999999999999" customHeight="1">
      <c r="A492" s="10" t="s">
        <v>859</v>
      </c>
      <c r="B492" s="10" t="s">
        <v>860</v>
      </c>
      <c r="C492" s="13" t="n">
        <v>1062394</v>
      </c>
      <c r="D492" s="13" t="n">
        <v>1697074</v>
      </c>
      <c r="E492" s="6" t="n">
        <f>SUM(C492,D492)/2</f>
        <v>1379734</v>
      </c>
      <c r="F492" s="12" t="n">
        <v>123846</v>
      </c>
      <c r="G492" s="12" t="n">
        <v>184283</v>
      </c>
      <c r="H492" s="6" t="n">
        <f>SUM(F492,G492)/2</f>
        <v>154064.5</v>
      </c>
    </row>
    <row r="493" s="18" customFormat="1" ht="14.399999999999999" customHeight="1">
      <c r="A493" s="10" t="s">
        <v>5733</v>
      </c>
      <c r="B493" s="10" t="s">
        <v>5734</v>
      </c>
      <c r="C493" s="13" t="n">
        <v>7357</v>
      </c>
      <c r="D493" s="13" t="n">
        <v>11755</v>
      </c>
      <c r="E493" s="6" t="n">
        <f>SUM(C493,D493)/2</f>
        <v>9556</v>
      </c>
      <c r="F493" s="12" t="n">
        <v>5679</v>
      </c>
      <c r="G493" s="12" t="n">
        <v>8357</v>
      </c>
      <c r="H493" s="6" t="n">
        <f>SUM(F493,G493)/2</f>
        <v>7018</v>
      </c>
    </row>
    <row r="494" s="18" customFormat="1" ht="14.399999999999999" customHeight="1">
      <c r="A494" s="10" t="s">
        <v>5735</v>
      </c>
      <c r="B494" s="10" t="s">
        <v>5736</v>
      </c>
      <c r="C494" s="13" t="n">
        <v>30003</v>
      </c>
      <c r="D494" s="13" t="n">
        <v>47925</v>
      </c>
      <c r="E494" s="6" t="n">
        <f>SUM(C494,D494)/2</f>
        <v>38964</v>
      </c>
      <c r="F494" s="12" t="n">
        <v>7172</v>
      </c>
      <c r="G494" s="12" t="n">
        <v>9496</v>
      </c>
      <c r="H494" s="6" t="n">
        <f>SUM(F494,G494)/2</f>
        <v>8334</v>
      </c>
    </row>
    <row r="495" s="18" customFormat="1" ht="14.399999999999999" customHeight="1">
      <c r="A495" s="10" t="s">
        <v>5737</v>
      </c>
      <c r="B495" s="10" t="s">
        <v>5738</v>
      </c>
      <c r="C495" s="13" t="n">
        <v>19319</v>
      </c>
      <c r="D495" s="13" t="n">
        <v>30859</v>
      </c>
      <c r="E495" s="6" t="n">
        <f>SUM(C495,D495)/2</f>
        <v>25089</v>
      </c>
      <c r="F495" s="12" t="n">
        <v>9976</v>
      </c>
      <c r="G495" s="12" t="n">
        <v>13349</v>
      </c>
      <c r="H495" s="6" t="n">
        <f>SUM(F495,G495)/2</f>
        <v>11662.5</v>
      </c>
    </row>
    <row r="496" s="18" customFormat="1" ht="14.399999999999999" customHeight="1">
      <c r="A496" s="10" t="s">
        <v>1524</v>
      </c>
      <c r="B496" s="10" t="s">
        <v>1525</v>
      </c>
      <c r="C496" s="10" t="n">
        <v>49</v>
      </c>
      <c r="D496" s="10" t="n">
        <v>79</v>
      </c>
      <c r="E496" s="6" t="n">
        <f>SUM(C496,D496)/2</f>
        <v>64</v>
      </c>
      <c r="F496" s="18" t="n">
        <v>6</v>
      </c>
      <c r="G496" s="18" t="n">
        <v>9</v>
      </c>
      <c r="H496" s="6" t="n">
        <f>SUM(F496,G496)/2</f>
        <v>7.5</v>
      </c>
    </row>
    <row r="497" s="18" customFormat="1" ht="14.399999999999999" customHeight="1">
      <c r="A497" s="10" t="s">
        <v>258</v>
      </c>
      <c r="B497" s="10" t="s">
        <v>259</v>
      </c>
      <c r="C497" s="13" t="n">
        <v>3787</v>
      </c>
      <c r="D497" s="13" t="n">
        <v>6049</v>
      </c>
      <c r="E497" s="6" t="n">
        <f>SUM(C497,D497)/2</f>
        <v>4918</v>
      </c>
      <c r="F497" s="12" t="n">
        <v>12533</v>
      </c>
      <c r="G497" s="12" t="n">
        <v>17894</v>
      </c>
      <c r="H497" s="6" t="n">
        <f>SUM(F497,G497)/2</f>
        <v>15213.5</v>
      </c>
    </row>
    <row r="498" s="18" customFormat="1" ht="14.399999999999999" customHeight="1">
      <c r="A498" s="10" t="s">
        <v>3367</v>
      </c>
      <c r="B498" s="10" t="s">
        <v>3368</v>
      </c>
      <c r="C498" s="13" t="n">
        <v>93411</v>
      </c>
      <c r="D498" s="13" t="n">
        <v>149215</v>
      </c>
      <c r="E498" s="6" t="n">
        <f>SUM(C498,D498)/2</f>
        <v>121313</v>
      </c>
      <c r="F498" s="12" t="n">
        <v>17139</v>
      </c>
      <c r="G498" s="12" t="n">
        <v>27907</v>
      </c>
      <c r="H498" s="6" t="n">
        <f>SUM(F498,G498)/2</f>
        <v>22523</v>
      </c>
    </row>
    <row r="499" s="18" customFormat="1" ht="14.399999999999999" customHeight="1">
      <c r="A499" s="10" t="s">
        <v>1585</v>
      </c>
      <c r="B499" s="10" t="s">
        <v>1586</v>
      </c>
      <c r="C499" s="13" t="n">
        <v>348710</v>
      </c>
      <c r="D499" s="13" t="n">
        <v>557030</v>
      </c>
      <c r="E499" s="6" t="n">
        <f>SUM(C499,D499)/2</f>
        <v>452870</v>
      </c>
      <c r="F499" s="12" t="n">
        <v>23737</v>
      </c>
      <c r="G499" s="12" t="n">
        <v>34554</v>
      </c>
      <c r="H499" s="6" t="n">
        <f>SUM(F499,G499)/2</f>
        <v>29145.5</v>
      </c>
    </row>
    <row r="500" s="18" customFormat="1" ht="14.399999999999999" customHeight="1">
      <c r="A500" s="10" t="s">
        <v>5083</v>
      </c>
      <c r="B500" s="10" t="s">
        <v>5084</v>
      </c>
      <c r="C500" s="13" t="n">
        <v>12865</v>
      </c>
      <c r="D500" s="13" t="n">
        <v>20551</v>
      </c>
      <c r="E500" s="6" t="n">
        <f>SUM(C500,D500)/2</f>
        <v>16708</v>
      </c>
      <c r="F500" s="12" t="n">
        <v>4179</v>
      </c>
      <c r="G500" s="12" t="n">
        <v>5887</v>
      </c>
      <c r="H500" s="6" t="n">
        <f>SUM(F500,G500)/2</f>
        <v>5033</v>
      </c>
    </row>
    <row r="501" s="18" customFormat="1" ht="14.399999999999999" customHeight="1">
      <c r="A501" s="10" t="s">
        <v>794</v>
      </c>
      <c r="B501" s="10" t="s">
        <v>795</v>
      </c>
      <c r="C501" s="13" t="n">
        <v>1099934</v>
      </c>
      <c r="D501" s="13" t="n">
        <v>1757040</v>
      </c>
      <c r="E501" s="6" t="n">
        <f>SUM(C501,D501)/2</f>
        <v>1428487</v>
      </c>
      <c r="F501" s="12" t="n">
        <v>313834</v>
      </c>
      <c r="G501" s="12" t="n">
        <v>422381</v>
      </c>
      <c r="H501" s="6" t="n">
        <f>SUM(F501,G501)/2</f>
        <v>368107.5</v>
      </c>
    </row>
    <row r="502" s="18" customFormat="1" ht="14.399999999999999" customHeight="1">
      <c r="A502" s="10" t="s">
        <v>1733</v>
      </c>
      <c r="B502" s="10" t="s">
        <v>1734</v>
      </c>
      <c r="C502" s="10" t="n">
        <v>29</v>
      </c>
      <c r="D502" s="10" t="n">
        <v>47</v>
      </c>
      <c r="E502" s="6" t="n">
        <f>SUM(C502,D502)/2</f>
        <v>38</v>
      </c>
      <c r="F502" s="18" t="n">
        <v>17</v>
      </c>
      <c r="G502" s="18" t="n">
        <v>25</v>
      </c>
      <c r="H502" s="6" t="n">
        <f>SUM(F502,G502)/2</f>
        <v>21</v>
      </c>
    </row>
    <row r="503" s="18" customFormat="1" ht="14.399999999999999" customHeight="1">
      <c r="A503" s="10" t="s">
        <v>5123</v>
      </c>
      <c r="B503" s="10" t="s">
        <v>5124</v>
      </c>
      <c r="C503" s="13" t="n">
        <v>3992</v>
      </c>
      <c r="D503" s="13" t="n">
        <v>6378</v>
      </c>
      <c r="E503" s="6" t="n">
        <f>SUM(C503,D503)/2</f>
        <v>5185</v>
      </c>
      <c r="F503" s="12" t="n">
        <v>5359</v>
      </c>
      <c r="G503" s="12" t="n">
        <v>7811</v>
      </c>
      <c r="H503" s="6" t="n">
        <f>SUM(F503,G503)/2</f>
        <v>6585</v>
      </c>
    </row>
    <row r="504" s="18" customFormat="1" ht="14.399999999999999" customHeight="1">
      <c r="A504" s="10" t="s">
        <v>2849</v>
      </c>
      <c r="B504" s="10" t="s">
        <v>2850</v>
      </c>
      <c r="C504" s="10" t="n">
        <v>0</v>
      </c>
      <c r="D504" s="10" t="n">
        <v>0</v>
      </c>
      <c r="E504" s="6" t="n">
        <f>SUM(C504,D504)/2</f>
        <v>0</v>
      </c>
      <c r="F504" s="18" t="n">
        <v>0</v>
      </c>
      <c r="G504" s="18" t="n">
        <v>0</v>
      </c>
      <c r="H504" s="6" t="n">
        <f>SUM(F504,G504)/2</f>
        <v>0</v>
      </c>
    </row>
    <row r="505" s="18" customFormat="1" ht="14.399999999999999" customHeight="1">
      <c r="A505" s="10" t="s">
        <v>5231</v>
      </c>
      <c r="B505" s="10" t="s">
        <v>5232</v>
      </c>
      <c r="C505" s="13" t="n">
        <v>7259</v>
      </c>
      <c r="D505" s="13" t="n">
        <v>11597</v>
      </c>
      <c r="E505" s="6" t="n">
        <f>SUM(C505,D505)/2</f>
        <v>9428</v>
      </c>
      <c r="F505" s="12" t="n">
        <v>1549</v>
      </c>
      <c r="G505" s="12" t="n">
        <v>2221</v>
      </c>
      <c r="H505" s="6" t="n">
        <f>SUM(F505,G505)/2</f>
        <v>1885</v>
      </c>
    </row>
    <row r="506" s="18" customFormat="1" ht="14.399999999999999" customHeight="1">
      <c r="A506" s="10" t="s">
        <v>5739</v>
      </c>
      <c r="B506" s="10" t="s">
        <v>5740</v>
      </c>
      <c r="C506" s="10" t="n">
        <v>162</v>
      </c>
      <c r="D506" s="10" t="n">
        <v>260</v>
      </c>
      <c r="E506" s="6" t="n">
        <f>SUM(C506,D506)/2</f>
        <v>211</v>
      </c>
      <c r="F506" s="18" t="n">
        <v>91</v>
      </c>
      <c r="G506" s="18" t="n">
        <v>133</v>
      </c>
      <c r="H506" s="6" t="n">
        <f>SUM(F506,G506)/2</f>
        <v>112</v>
      </c>
    </row>
    <row r="507" s="18" customFormat="1" ht="14.399999999999999" customHeight="1">
      <c r="A507" s="10" t="s">
        <v>5498</v>
      </c>
      <c r="B507" s="10" t="s">
        <v>5499</v>
      </c>
      <c r="C507" s="10" t="n">
        <v>262</v>
      </c>
      <c r="D507" s="10" t="n">
        <v>418</v>
      </c>
      <c r="E507" s="6" t="n">
        <f>SUM(C507,D507)/2</f>
        <v>340</v>
      </c>
      <c r="F507" s="18" t="n">
        <v>34</v>
      </c>
      <c r="G507" s="18" t="n">
        <v>117</v>
      </c>
      <c r="H507" s="6" t="n">
        <f>SUM(F507,G507)/2</f>
        <v>75.5</v>
      </c>
    </row>
    <row r="508" s="18" customFormat="1" ht="14.399999999999999" customHeight="1">
      <c r="A508" s="10" t="s">
        <v>752</v>
      </c>
      <c r="B508" s="10" t="s">
        <v>753</v>
      </c>
      <c r="C508" s="13" t="n">
        <v>1172576</v>
      </c>
      <c r="D508" s="13" t="n">
        <v>1873078</v>
      </c>
      <c r="E508" s="6" t="n">
        <f>SUM(C508,D508)/2</f>
        <v>1522827</v>
      </c>
      <c r="F508" s="12" t="n">
        <v>436889</v>
      </c>
      <c r="G508" s="12" t="n">
        <v>633962</v>
      </c>
      <c r="H508" s="6" t="n">
        <f>SUM(F508,G508)/2</f>
        <v>535425.5</v>
      </c>
    </row>
    <row r="509" s="18" customFormat="1" ht="14.399999999999999" customHeight="1">
      <c r="A509" s="10" t="s">
        <v>3601</v>
      </c>
      <c r="B509" s="10" t="s">
        <v>3602</v>
      </c>
      <c r="C509" s="13" t="n">
        <v>47693</v>
      </c>
      <c r="D509" s="13" t="n">
        <v>76185</v>
      </c>
      <c r="E509" s="6" t="n">
        <f>SUM(C509,D509)/2</f>
        <v>61939</v>
      </c>
      <c r="F509" s="12" t="n">
        <v>17965</v>
      </c>
      <c r="G509" s="12" t="n">
        <v>30790</v>
      </c>
      <c r="H509" s="6" t="n">
        <f>SUM(F509,G509)/2</f>
        <v>24377.5</v>
      </c>
    </row>
    <row r="510" s="18" customFormat="1" ht="14.399999999999999" customHeight="1">
      <c r="A510" s="10" t="s">
        <v>3207</v>
      </c>
      <c r="B510" s="10" t="s">
        <v>3208</v>
      </c>
      <c r="C510" s="13" t="n">
        <v>118967</v>
      </c>
      <c r="D510" s="13" t="n">
        <v>190039</v>
      </c>
      <c r="E510" s="6" t="n">
        <f>SUM(C510,D510)/2</f>
        <v>154503</v>
      </c>
      <c r="F510" s="12" t="n">
        <v>19801</v>
      </c>
      <c r="G510" s="12" t="n">
        <v>32217</v>
      </c>
      <c r="H510" s="6" t="n">
        <f>SUM(F510,G510)/2</f>
        <v>26009</v>
      </c>
    </row>
    <row r="511" s="18" customFormat="1" ht="14.399999999999999" customHeight="1">
      <c r="A511" s="10" t="s">
        <v>5448</v>
      </c>
      <c r="B511" s="10" t="s">
        <v>5449</v>
      </c>
      <c r="C511" s="13" t="n">
        <v>215211</v>
      </c>
      <c r="D511" s="13" t="n">
        <v>343777</v>
      </c>
      <c r="E511" s="6" t="n">
        <f>SUM(C511,D511)/2</f>
        <v>279494</v>
      </c>
      <c r="F511" s="12" t="n">
        <v>36386</v>
      </c>
      <c r="G511" s="12" t="n">
        <v>49267</v>
      </c>
      <c r="H511" s="6" t="n">
        <f>SUM(F511,G511)/2</f>
        <v>42826.5</v>
      </c>
    </row>
    <row r="512" s="18" customFormat="1" ht="14.399999999999999" customHeight="1">
      <c r="A512" s="10" t="s">
        <v>3457</v>
      </c>
      <c r="B512" s="10" t="s">
        <v>3458</v>
      </c>
      <c r="C512" s="13" t="n">
        <v>68272</v>
      </c>
      <c r="D512" s="13" t="n">
        <v>109058</v>
      </c>
      <c r="E512" s="6" t="n">
        <f>SUM(C512,D512)/2</f>
        <v>88665</v>
      </c>
      <c r="F512" s="12" t="n">
        <v>20301</v>
      </c>
      <c r="G512" s="12" t="n">
        <v>30806</v>
      </c>
      <c r="H512" s="6" t="n">
        <f>SUM(F512,G512)/2</f>
        <v>25553.5</v>
      </c>
    </row>
    <row r="513" s="18" customFormat="1" ht="14.399999999999999" customHeight="1">
      <c r="A513" s="10" t="s">
        <v>5741</v>
      </c>
      <c r="B513" s="10" t="s">
        <v>5742</v>
      </c>
      <c r="C513" s="13" t="n">
        <v>18606</v>
      </c>
      <c r="D513" s="13" t="n">
        <v>29722</v>
      </c>
      <c r="E513" s="6" t="n">
        <f>SUM(C513,D513)/2</f>
        <v>24164</v>
      </c>
      <c r="F513" s="12" t="n">
        <v>4368</v>
      </c>
      <c r="G513" s="12" t="n">
        <v>6066</v>
      </c>
      <c r="H513" s="6" t="n">
        <f>SUM(F513,G513)/2</f>
        <v>5217</v>
      </c>
    </row>
    <row r="514" s="18" customFormat="1" ht="14.399999999999999" customHeight="1">
      <c r="A514" s="10" t="s">
        <v>1661</v>
      </c>
      <c r="B514" s="10" t="s">
        <v>1662</v>
      </c>
      <c r="C514" s="10" t="n">
        <v>24</v>
      </c>
      <c r="D514" s="10" t="n">
        <v>38</v>
      </c>
      <c r="E514" s="6" t="n">
        <f>SUM(C514,D514)/2</f>
        <v>31</v>
      </c>
      <c r="F514" s="18" t="n">
        <v>28</v>
      </c>
      <c r="G514" s="18" t="n">
        <v>43</v>
      </c>
      <c r="H514" s="6" t="n">
        <f>SUM(F514,G514)/2</f>
        <v>35.5</v>
      </c>
    </row>
    <row r="515" s="18" customFormat="1" ht="14.399999999999999" customHeight="1">
      <c r="A515" s="10" t="s">
        <v>5743</v>
      </c>
      <c r="B515" s="10" t="s">
        <v>5744</v>
      </c>
      <c r="C515" s="13" t="n">
        <v>23205</v>
      </c>
      <c r="D515" s="13" t="n">
        <v>37070</v>
      </c>
      <c r="E515" s="6" t="n">
        <f>SUM(C515,D515)/2</f>
        <v>30137.5</v>
      </c>
      <c r="F515" s="12" t="n">
        <v>10320</v>
      </c>
      <c r="G515" s="12" t="n">
        <v>14006</v>
      </c>
      <c r="H515" s="6" t="n">
        <f>SUM(F515,G515)/2</f>
        <v>12163</v>
      </c>
    </row>
    <row r="516" s="18" customFormat="1" ht="14.399999999999999" customHeight="1">
      <c r="A516" s="10" t="s">
        <v>3805</v>
      </c>
      <c r="B516" s="10" t="s">
        <v>3806</v>
      </c>
      <c r="C516" s="13" t="n">
        <v>57357</v>
      </c>
      <c r="D516" s="13" t="n">
        <v>91623</v>
      </c>
      <c r="E516" s="6" t="n">
        <f>SUM(C516,D516)/2</f>
        <v>74490</v>
      </c>
      <c r="F516" s="12" t="n">
        <v>11752</v>
      </c>
      <c r="G516" s="12" t="n">
        <v>16537</v>
      </c>
      <c r="H516" s="6" t="n">
        <f>SUM(F516,G516)/2</f>
        <v>14144.5</v>
      </c>
    </row>
    <row r="517" s="18" customFormat="1" ht="14.399999999999999" customHeight="1">
      <c r="A517" s="10" t="s">
        <v>4763</v>
      </c>
      <c r="B517" s="10" t="s">
        <v>4764</v>
      </c>
      <c r="C517" s="13" t="n">
        <v>18075</v>
      </c>
      <c r="D517" s="13" t="n">
        <v>28871</v>
      </c>
      <c r="E517" s="6" t="n">
        <f>SUM(C517,D517)/2</f>
        <v>23473</v>
      </c>
      <c r="F517" s="12" t="n">
        <v>5979</v>
      </c>
      <c r="G517" s="12" t="n">
        <v>8294</v>
      </c>
      <c r="H517" s="6" t="n">
        <f>SUM(F517,G517)/2</f>
        <v>7136.5</v>
      </c>
    </row>
    <row r="518" s="18" customFormat="1" ht="14.399999999999999" customHeight="1">
      <c r="A518" s="10" t="s">
        <v>1767</v>
      </c>
      <c r="B518" s="10" t="s">
        <v>1768</v>
      </c>
      <c r="C518" s="10" t="n">
        <v>10</v>
      </c>
      <c r="D518" s="10" t="n">
        <v>14</v>
      </c>
      <c r="E518" s="6" t="n">
        <f>SUM(C518,D518)/2</f>
        <v>12</v>
      </c>
      <c r="F518" s="18" t="n">
        <v>18</v>
      </c>
      <c r="G518" s="18" t="n">
        <v>26</v>
      </c>
      <c r="H518" s="6" t="n">
        <f>SUM(F518,G518)/2</f>
        <v>22</v>
      </c>
    </row>
    <row r="519" s="18" customFormat="1" ht="14.399999999999999" customHeight="1">
      <c r="A519" s="10" t="s">
        <v>4813</v>
      </c>
      <c r="B519" s="10" t="s">
        <v>4814</v>
      </c>
      <c r="C519" s="13" t="n">
        <v>19601</v>
      </c>
      <c r="D519" s="13" t="n">
        <v>31311</v>
      </c>
      <c r="E519" s="6" t="n">
        <f>SUM(C519,D519)/2</f>
        <v>25456</v>
      </c>
      <c r="F519" s="12" t="n">
        <v>3163</v>
      </c>
      <c r="G519" s="12" t="n">
        <v>9181</v>
      </c>
      <c r="H519" s="6" t="n">
        <f>SUM(F519,G519)/2</f>
        <v>6172</v>
      </c>
    </row>
    <row r="520" s="18" customFormat="1" ht="14.399999999999999" customHeight="1">
      <c r="A520" s="10" t="s">
        <v>1679</v>
      </c>
      <c r="B520" s="10" t="s">
        <v>1680</v>
      </c>
      <c r="C520" s="13" t="n">
        <v>1421</v>
      </c>
      <c r="D520" s="13" t="n">
        <v>2271</v>
      </c>
      <c r="E520" s="6" t="n">
        <f>SUM(C520,D520)/2</f>
        <v>1846</v>
      </c>
      <c r="F520" s="18" t="n">
        <v>2516</v>
      </c>
      <c r="G520" s="18" t="n">
        <v>3536</v>
      </c>
      <c r="H520" s="6" t="n">
        <f>SUM(F520,G520)/2</f>
        <v>3026</v>
      </c>
    </row>
    <row r="521" s="18" customFormat="1" ht="14.399999999999999" customHeight="1">
      <c r="A521" s="10" t="s">
        <v>5159</v>
      </c>
      <c r="B521" s="10" t="s">
        <v>5160</v>
      </c>
      <c r="C521" s="13" t="n">
        <v>5906</v>
      </c>
      <c r="D521" s="13" t="n">
        <v>9434</v>
      </c>
      <c r="E521" s="6" t="n">
        <f>SUM(C521,D521)/2</f>
        <v>7670</v>
      </c>
      <c r="F521" s="12" t="n">
        <v>4415</v>
      </c>
      <c r="G521" s="12" t="n">
        <v>6165</v>
      </c>
      <c r="H521" s="6" t="n">
        <f>SUM(F521,G521)/2</f>
        <v>5290</v>
      </c>
    </row>
    <row r="522" s="18" customFormat="1" ht="14.399999999999999" customHeight="1">
      <c r="A522" s="10" t="s">
        <v>1085</v>
      </c>
      <c r="B522" s="10" t="s">
        <v>1086</v>
      </c>
      <c r="C522" s="13" t="n">
        <v>327575</v>
      </c>
      <c r="D522" s="13" t="n">
        <v>523271</v>
      </c>
      <c r="E522" s="6" t="n">
        <f>SUM(C522,D522)/2</f>
        <v>425423</v>
      </c>
      <c r="F522" s="12" t="n">
        <v>89890</v>
      </c>
      <c r="G522" s="12" t="n">
        <v>133731</v>
      </c>
      <c r="H522" s="6" t="n">
        <f>SUM(F522,G522)/2</f>
        <v>111810.5</v>
      </c>
    </row>
    <row r="523" s="18" customFormat="1" ht="14.399999999999999" customHeight="1">
      <c r="A523" s="10" t="s">
        <v>1250</v>
      </c>
      <c r="B523" s="10" t="s">
        <v>1251</v>
      </c>
      <c r="C523" s="13" t="n">
        <v>70472</v>
      </c>
      <c r="D523" s="13" t="n">
        <v>112572</v>
      </c>
      <c r="E523" s="6" t="n">
        <f>SUM(C523,D523)/2</f>
        <v>91522</v>
      </c>
      <c r="F523" s="12" t="n">
        <v>52187</v>
      </c>
      <c r="G523" s="12" t="n">
        <v>76870</v>
      </c>
      <c r="H523" s="6" t="n">
        <f>SUM(F523,G523)/2</f>
        <v>64528.5</v>
      </c>
    </row>
    <row r="524" s="18" customFormat="1" ht="14.399999999999999" customHeight="1">
      <c r="A524" s="10" t="s">
        <v>5745</v>
      </c>
      <c r="B524" s="10" t="s">
        <v>5746</v>
      </c>
      <c r="C524" s="13" t="n">
        <v>25382</v>
      </c>
      <c r="D524" s="13" t="n">
        <v>40548</v>
      </c>
      <c r="E524" s="6" t="n">
        <f>SUM(C524,D524)/2</f>
        <v>32965</v>
      </c>
      <c r="F524" s="12" t="n">
        <v>16975</v>
      </c>
      <c r="G524" s="12" t="n">
        <v>23048</v>
      </c>
      <c r="H524" s="6" t="n">
        <f>SUM(F524,G524)/2</f>
        <v>20011.5</v>
      </c>
    </row>
    <row r="525" s="18" customFormat="1" ht="14.399999999999999" customHeight="1">
      <c r="A525" s="10" t="s">
        <v>1593</v>
      </c>
      <c r="B525" s="10" t="s">
        <v>1594</v>
      </c>
      <c r="C525" s="10" t="n">
        <v>34</v>
      </c>
      <c r="D525" s="10" t="n">
        <v>54</v>
      </c>
      <c r="E525" s="6" t="n">
        <f>SUM(C525,D525)/2</f>
        <v>44</v>
      </c>
      <c r="F525" s="18" t="n">
        <v>0</v>
      </c>
      <c r="G525" s="18" t="n">
        <v>0</v>
      </c>
      <c r="H525" s="6" t="n">
        <f>SUM(F525,G525)/2</f>
        <v>0</v>
      </c>
    </row>
    <row r="526" s="18" customFormat="1" ht="14.399999999999999" customHeight="1">
      <c r="A526" s="10" t="s">
        <v>5747</v>
      </c>
      <c r="B526" s="10" t="s">
        <v>5748</v>
      </c>
      <c r="C526" s="10" t="n">
        <v>0</v>
      </c>
      <c r="D526" s="10" t="n">
        <v>0</v>
      </c>
      <c r="E526" s="6" t="n">
        <f>SUM(C526,D526)/2</f>
        <v>0</v>
      </c>
      <c r="F526" s="18" t="n">
        <v>1</v>
      </c>
      <c r="G526" s="18" t="n">
        <v>1</v>
      </c>
      <c r="H526" s="6" t="n">
        <f>SUM(F526,G526)/2</f>
        <v>1</v>
      </c>
    </row>
    <row r="527" s="18" customFormat="1" ht="14.399999999999999" customHeight="1">
      <c r="A527" s="10" t="s">
        <v>2018</v>
      </c>
      <c r="B527" s="10" t="s">
        <v>2019</v>
      </c>
      <c r="C527" s="10" t="n">
        <v>40</v>
      </c>
      <c r="D527" s="10" t="n">
        <v>64</v>
      </c>
      <c r="E527" s="6" t="n">
        <f>SUM(C527,D527)/2</f>
        <v>52</v>
      </c>
      <c r="F527" s="18" t="n">
        <v>1</v>
      </c>
      <c r="G527" s="18" t="n">
        <v>1</v>
      </c>
      <c r="H527" s="6" t="n">
        <f>SUM(F527,G527)/2</f>
        <v>1</v>
      </c>
    </row>
    <row r="528" s="18" customFormat="1" ht="14.399999999999999" customHeight="1">
      <c r="A528" s="10" t="s">
        <v>92</v>
      </c>
      <c r="B528" s="10" t="s">
        <v>93</v>
      </c>
      <c r="C528" s="13" t="n">
        <v>55614</v>
      </c>
      <c r="D528" s="13" t="n">
        <v>88839</v>
      </c>
      <c r="E528" s="6" t="n">
        <f>SUM(C528,D528)/2</f>
        <v>72226.5</v>
      </c>
      <c r="F528" s="12" t="n">
        <v>15236</v>
      </c>
      <c r="G528" s="12" t="n">
        <v>18537</v>
      </c>
      <c r="H528" s="6" t="n">
        <f>SUM(F528,G528)/2</f>
        <v>16886.5</v>
      </c>
    </row>
    <row r="529" s="18" customFormat="1" ht="14.399999999999999" customHeight="1">
      <c r="A529" s="10" t="s">
        <v>2290</v>
      </c>
      <c r="B529" s="10" t="s">
        <v>2291</v>
      </c>
      <c r="C529" s="10" t="n">
        <v>10</v>
      </c>
      <c r="D529" s="10" t="n">
        <v>18</v>
      </c>
      <c r="E529" s="6" t="n">
        <f>SUM(C529,D529)/2</f>
        <v>14</v>
      </c>
      <c r="F529" s="18" t="n">
        <v>3</v>
      </c>
      <c r="G529" s="18" t="n">
        <v>3</v>
      </c>
      <c r="H529" s="6" t="n">
        <f>SUM(F529,G529)/2</f>
        <v>3</v>
      </c>
    </row>
    <row r="530" s="18" customFormat="1" ht="14.399999999999999" customHeight="1">
      <c r="A530" s="10" t="s">
        <v>1831</v>
      </c>
      <c r="B530" s="10" t="s">
        <v>1832</v>
      </c>
      <c r="C530" s="10" t="n">
        <v>50</v>
      </c>
      <c r="D530" s="10" t="n">
        <v>82</v>
      </c>
      <c r="E530" s="6" t="n">
        <f>SUM(C530,D530)/2</f>
        <v>66</v>
      </c>
      <c r="F530" s="18" t="n">
        <v>6</v>
      </c>
      <c r="G530" s="18" t="n">
        <v>7</v>
      </c>
      <c r="H530" s="6" t="n">
        <f>SUM(F530,G530)/2</f>
        <v>6.5</v>
      </c>
    </row>
    <row r="531" s="18" customFormat="1" ht="14.399999999999999" customHeight="1">
      <c r="A531" s="10" t="s">
        <v>975</v>
      </c>
      <c r="B531" s="10" t="s">
        <v>976</v>
      </c>
      <c r="C531" s="13" t="n">
        <v>591062</v>
      </c>
      <c r="D531" s="13" t="n">
        <v>944164</v>
      </c>
      <c r="E531" s="6" t="n">
        <f>SUM(C531,D531)/2</f>
        <v>767613</v>
      </c>
      <c r="F531" s="12" t="n">
        <v>92036</v>
      </c>
      <c r="G531" s="12" t="n">
        <v>138435</v>
      </c>
      <c r="H531" s="6" t="n">
        <f>SUM(F531,G531)/2</f>
        <v>115235.5</v>
      </c>
    </row>
    <row r="532" s="18" customFormat="1" ht="14.399999999999999" customHeight="1">
      <c r="A532" s="10" t="s">
        <v>1522</v>
      </c>
      <c r="B532" s="10" t="s">
        <v>1523</v>
      </c>
      <c r="C532" s="10" t="n">
        <v>37</v>
      </c>
      <c r="D532" s="10" t="n">
        <v>59</v>
      </c>
      <c r="E532" s="6" t="n">
        <f>SUM(C532,D532)/2</f>
        <v>48</v>
      </c>
      <c r="F532" s="18" t="n">
        <v>16</v>
      </c>
      <c r="G532" s="18" t="n">
        <v>23</v>
      </c>
      <c r="H532" s="6" t="n">
        <f>SUM(F532,G532)/2</f>
        <v>19.5</v>
      </c>
    </row>
    <row r="533" s="18" customFormat="1" ht="14.399999999999999" customHeight="1">
      <c r="A533" s="10" t="s">
        <v>1202</v>
      </c>
      <c r="B533" s="10" t="s">
        <v>1203</v>
      </c>
      <c r="C533" s="13" t="n">
        <v>57844</v>
      </c>
      <c r="D533" s="13" t="n">
        <v>92400</v>
      </c>
      <c r="E533" s="6" t="n">
        <f>SUM(C533,D533)/2</f>
        <v>75122</v>
      </c>
      <c r="F533" s="12" t="n">
        <v>75544</v>
      </c>
      <c r="G533" s="12" t="n">
        <v>94196</v>
      </c>
      <c r="H533" s="6" t="n">
        <f>SUM(F533,G533)/2</f>
        <v>84870</v>
      </c>
    </row>
    <row r="534" s="18" customFormat="1" ht="14.399999999999999" customHeight="1">
      <c r="A534" s="10" t="s">
        <v>1665</v>
      </c>
      <c r="B534" s="10" t="s">
        <v>1666</v>
      </c>
      <c r="C534" s="10" t="n">
        <v>47</v>
      </c>
      <c r="D534" s="10" t="n">
        <v>75</v>
      </c>
      <c r="E534" s="6" t="n">
        <f>SUM(C534,D534)/2</f>
        <v>61</v>
      </c>
      <c r="F534" s="18" t="n">
        <v>24</v>
      </c>
      <c r="G534" s="18" t="n">
        <v>32</v>
      </c>
      <c r="H534" s="6" t="n">
        <f>SUM(F534,G534)/2</f>
        <v>28</v>
      </c>
    </row>
    <row r="535" s="18" customFormat="1" ht="14.399999999999999" customHeight="1">
      <c r="A535" s="10" t="s">
        <v>2328</v>
      </c>
      <c r="B535" s="10" t="s">
        <v>2329</v>
      </c>
      <c r="C535" s="13" t="n">
        <v>127616</v>
      </c>
      <c r="D535" s="13" t="n">
        <v>203852</v>
      </c>
      <c r="E535" s="6" t="n">
        <f>SUM(C535,D535)/2</f>
        <v>165734</v>
      </c>
      <c r="F535" s="12" t="n">
        <v>33950</v>
      </c>
      <c r="G535" s="12" t="n">
        <v>45123</v>
      </c>
      <c r="H535" s="6" t="n">
        <f>SUM(F535,G535)/2</f>
        <v>39536.5</v>
      </c>
    </row>
    <row r="536" s="18" customFormat="1" ht="14.399999999999999" customHeight="1">
      <c r="A536" s="10" t="s">
        <v>1040</v>
      </c>
      <c r="B536" s="10" t="s">
        <v>305</v>
      </c>
      <c r="C536" s="13" t="n">
        <v>2945</v>
      </c>
      <c r="D536" s="13" t="n">
        <v>4705</v>
      </c>
      <c r="E536" s="6" t="n">
        <f>SUM(C536,D536)/2</f>
        <v>3825</v>
      </c>
      <c r="F536" s="18" t="n">
        <v>491</v>
      </c>
      <c r="G536" s="18" t="n">
        <v>641</v>
      </c>
      <c r="H536" s="6" t="n">
        <f>SUM(F536,G536)/2</f>
        <v>566</v>
      </c>
    </row>
    <row r="537" s="18" customFormat="1" ht="14.399999999999999" customHeight="1">
      <c r="A537" s="10" t="s">
        <v>4091</v>
      </c>
      <c r="B537" s="10" t="s">
        <v>4092</v>
      </c>
      <c r="C537" s="13" t="n">
        <v>52628</v>
      </c>
      <c r="D537" s="13" t="n">
        <v>84070</v>
      </c>
      <c r="E537" s="6" t="n">
        <f>SUM(C537,D537)/2</f>
        <v>68349</v>
      </c>
      <c r="F537" s="12" t="n">
        <v>6473</v>
      </c>
      <c r="G537" s="12" t="n">
        <v>9381</v>
      </c>
      <c r="H537" s="6" t="n">
        <f>SUM(F537,G537)/2</f>
        <v>7927</v>
      </c>
    </row>
    <row r="538" s="18" customFormat="1" ht="14.399999999999999" customHeight="1">
      <c r="A538" s="10" t="s">
        <v>5749</v>
      </c>
      <c r="B538" s="10" t="s">
        <v>5750</v>
      </c>
      <c r="C538" s="10" t="n">
        <v>65</v>
      </c>
      <c r="D538" s="10" t="n">
        <v>104</v>
      </c>
      <c r="E538" s="6" t="n">
        <f>SUM(C538,D538)/2</f>
        <v>84.5</v>
      </c>
      <c r="F538" s="18" t="n">
        <v>5</v>
      </c>
      <c r="G538" s="18" t="n">
        <v>9</v>
      </c>
      <c r="H538" s="6" t="n">
        <f>SUM(F538,G538)/2</f>
        <v>7</v>
      </c>
    </row>
    <row r="539" s="18" customFormat="1" ht="14.399999999999999" customHeight="1">
      <c r="A539" s="10" t="s">
        <v>698</v>
      </c>
      <c r="B539" s="10" t="s">
        <v>699</v>
      </c>
      <c r="C539" s="13" t="n">
        <v>3514213</v>
      </c>
      <c r="D539" s="13" t="n">
        <v>5613611</v>
      </c>
      <c r="E539" s="6" t="n">
        <f>SUM(C539,D539)/2</f>
        <v>4563912</v>
      </c>
      <c r="F539" s="12" t="n">
        <v>287294</v>
      </c>
      <c r="G539" s="12" t="n">
        <v>855226</v>
      </c>
      <c r="H539" s="6" t="n">
        <f>SUM(F539,G539)/2</f>
        <v>571260</v>
      </c>
    </row>
    <row r="540" s="18" customFormat="1" ht="14.399999999999999" customHeight="1">
      <c r="A540" s="10" t="s">
        <v>3731</v>
      </c>
      <c r="B540" s="10" t="s">
        <v>3732</v>
      </c>
      <c r="C540" s="13" t="n">
        <v>49737</v>
      </c>
      <c r="D540" s="13" t="n">
        <v>79449</v>
      </c>
      <c r="E540" s="6" t="n">
        <f>SUM(C540,D540)/2</f>
        <v>64593</v>
      </c>
      <c r="F540" s="12" t="n">
        <v>16304</v>
      </c>
      <c r="G540" s="12" t="n">
        <v>21831</v>
      </c>
      <c r="H540" s="6" t="n">
        <f>SUM(F540,G540)/2</f>
        <v>19067.5</v>
      </c>
    </row>
    <row r="541" s="18" customFormat="1" ht="14.399999999999999" customHeight="1">
      <c r="A541" s="10" t="s">
        <v>3641</v>
      </c>
      <c r="B541" s="10" t="s">
        <v>3642</v>
      </c>
      <c r="C541" s="13" t="n">
        <v>80892</v>
      </c>
      <c r="D541" s="13" t="n">
        <v>129218</v>
      </c>
      <c r="E541" s="6" t="n">
        <f>SUM(C541,D541)/2</f>
        <v>105055</v>
      </c>
      <c r="F541" s="12" t="n">
        <v>11807</v>
      </c>
      <c r="G541" s="12" t="n">
        <v>15818</v>
      </c>
      <c r="H541" s="6" t="n">
        <f>SUM(F541,G541)/2</f>
        <v>13812.5</v>
      </c>
    </row>
    <row r="542" s="18" customFormat="1" ht="14.399999999999999" customHeight="1">
      <c r="A542" s="10" t="s">
        <v>3981</v>
      </c>
      <c r="B542" s="10" t="s">
        <v>3982</v>
      </c>
      <c r="C542" s="13" t="n">
        <v>18021</v>
      </c>
      <c r="D542" s="13" t="n">
        <v>28789</v>
      </c>
      <c r="E542" s="6" t="n">
        <f>SUM(C542,D542)/2</f>
        <v>23405</v>
      </c>
      <c r="F542" s="12" t="n">
        <v>15497</v>
      </c>
      <c r="G542" s="12" t="n">
        <v>25194</v>
      </c>
      <c r="H542" s="6" t="n">
        <f>SUM(F542,G542)/2</f>
        <v>20345.5</v>
      </c>
    </row>
    <row r="543" s="18" customFormat="1" ht="14.399999999999999" customHeight="1">
      <c r="A543" s="10" t="s">
        <v>4761</v>
      </c>
      <c r="B543" s="10" t="s">
        <v>4762</v>
      </c>
      <c r="C543" s="13" t="n">
        <v>10850</v>
      </c>
      <c r="D543" s="13" t="n">
        <v>17334</v>
      </c>
      <c r="E543" s="6" t="n">
        <f>SUM(C543,D543)/2</f>
        <v>14092</v>
      </c>
      <c r="F543" s="12" t="n">
        <v>7632</v>
      </c>
      <c r="G543" s="12" t="n">
        <v>10813</v>
      </c>
      <c r="H543" s="6" t="n">
        <f>SUM(F543,G543)/2</f>
        <v>9222.5</v>
      </c>
    </row>
    <row r="544" s="18" customFormat="1" ht="14.399999999999999" customHeight="1">
      <c r="A544" s="10" t="s">
        <v>5751</v>
      </c>
      <c r="B544" s="10" t="s">
        <v>5752</v>
      </c>
      <c r="C544" s="13" t="n">
        <v>5709</v>
      </c>
      <c r="D544" s="13" t="n">
        <v>9117</v>
      </c>
      <c r="E544" s="6" t="n">
        <f>SUM(C544,D544)/2</f>
        <v>7413</v>
      </c>
      <c r="F544" s="12" t="n">
        <v>4779</v>
      </c>
      <c r="G544" s="12" t="n">
        <v>7543</v>
      </c>
      <c r="H544" s="6" t="n">
        <f>SUM(F544,G544)/2</f>
        <v>6161</v>
      </c>
    </row>
    <row r="545" s="18" customFormat="1" ht="14.399999999999999" customHeight="1">
      <c r="A545" s="10" t="s">
        <v>5753</v>
      </c>
      <c r="B545" s="10" t="s">
        <v>5754</v>
      </c>
      <c r="C545" s="10" t="n">
        <v>395</v>
      </c>
      <c r="D545" s="10" t="n">
        <v>633</v>
      </c>
      <c r="E545" s="6" t="n">
        <f>SUM(C545,D545)/2</f>
        <v>514</v>
      </c>
      <c r="F545" s="12" t="n">
        <v>13190</v>
      </c>
      <c r="G545" s="12" t="n">
        <v>19821</v>
      </c>
      <c r="H545" s="6" t="n">
        <f>SUM(F545,G545)/2</f>
        <v>16505.5</v>
      </c>
    </row>
    <row r="546" s="18" customFormat="1" ht="14.399999999999999" customHeight="1">
      <c r="A546" s="10" t="s">
        <v>72</v>
      </c>
      <c r="B546" s="10" t="s">
        <v>73</v>
      </c>
      <c r="C546" s="13" t="n">
        <v>659174</v>
      </c>
      <c r="D546" s="13" t="n">
        <v>1052964</v>
      </c>
      <c r="E546" s="6" t="n">
        <f>SUM(C546,D546)/2</f>
        <v>856069</v>
      </c>
      <c r="F546" s="12" t="n">
        <v>160533</v>
      </c>
      <c r="G546" s="12" t="n">
        <v>204778</v>
      </c>
      <c r="H546" s="6" t="n">
        <f>SUM(F546,G546)/2</f>
        <v>182655.5</v>
      </c>
    </row>
    <row r="547" s="18" customFormat="1" ht="14.399999999999999" customHeight="1">
      <c r="A547" s="10" t="s">
        <v>993</v>
      </c>
      <c r="B547" s="10" t="s">
        <v>994</v>
      </c>
      <c r="C547" s="13" t="n">
        <v>474901</v>
      </c>
      <c r="D547" s="13" t="n">
        <v>758607</v>
      </c>
      <c r="E547" s="6" t="n">
        <f>SUM(C547,D547)/2</f>
        <v>616754</v>
      </c>
      <c r="F547" s="12" t="n">
        <v>101168</v>
      </c>
      <c r="G547" s="12" t="n">
        <v>151861</v>
      </c>
      <c r="H547" s="6" t="n">
        <f>SUM(F547,G547)/2</f>
        <v>126514.5</v>
      </c>
    </row>
    <row r="548" s="18" customFormat="1" ht="14.399999999999999" customHeight="1">
      <c r="A548" s="10" t="s">
        <v>5298</v>
      </c>
      <c r="B548" s="10" t="s">
        <v>5299</v>
      </c>
      <c r="C548" s="13" t="n">
        <v>2835</v>
      </c>
      <c r="D548" s="13" t="n">
        <v>4529</v>
      </c>
      <c r="E548" s="6" t="n">
        <f>SUM(C548,D548)/2</f>
        <v>3682</v>
      </c>
      <c r="F548" s="18" t="n">
        <v>34</v>
      </c>
      <c r="G548" s="18" t="n">
        <v>45</v>
      </c>
      <c r="H548" s="6" t="n">
        <f>SUM(F548,G548)/2</f>
        <v>39.5</v>
      </c>
    </row>
    <row r="549" s="18" customFormat="1" ht="14.399999999999999" customHeight="1">
      <c r="A549" s="10" t="s">
        <v>4347</v>
      </c>
      <c r="B549" s="10" t="s">
        <v>4348</v>
      </c>
      <c r="C549" s="13" t="n">
        <v>22734</v>
      </c>
      <c r="D549" s="13" t="n">
        <v>36314</v>
      </c>
      <c r="E549" s="6" t="n">
        <f>SUM(C549,D549)/2</f>
        <v>29524</v>
      </c>
      <c r="F549" s="12" t="n">
        <v>9794</v>
      </c>
      <c r="G549" s="12" t="n">
        <v>12812</v>
      </c>
      <c r="H549" s="6" t="n">
        <f>SUM(F549,G549)/2</f>
        <v>11303</v>
      </c>
    </row>
    <row r="550" s="18" customFormat="1" ht="14.399999999999999" customHeight="1">
      <c r="A550" s="10" t="s">
        <v>1216</v>
      </c>
      <c r="B550" s="10" t="s">
        <v>1217</v>
      </c>
      <c r="C550" s="13" t="n">
        <v>125276</v>
      </c>
      <c r="D550" s="13" t="n">
        <v>200118</v>
      </c>
      <c r="E550" s="6" t="n">
        <f>SUM(C550,D550)/2</f>
        <v>162697</v>
      </c>
      <c r="F550" s="12" t="n">
        <v>48461</v>
      </c>
      <c r="G550" s="12" t="n">
        <v>70747</v>
      </c>
      <c r="H550" s="6" t="n">
        <f>SUM(F550,G550)/2</f>
        <v>59604</v>
      </c>
    </row>
    <row r="551" s="18" customFormat="1" ht="14.399999999999999" customHeight="1">
      <c r="A551" s="10" t="s">
        <v>5466</v>
      </c>
      <c r="B551" s="10" t="s">
        <v>5467</v>
      </c>
      <c r="C551" s="13" t="n">
        <v>183800</v>
      </c>
      <c r="D551" s="13" t="n">
        <v>293602</v>
      </c>
      <c r="E551" s="6" t="n">
        <f>SUM(C551,D551)/2</f>
        <v>238701</v>
      </c>
      <c r="F551" s="12" t="n">
        <v>23654</v>
      </c>
      <c r="G551" s="12" t="n">
        <v>61445</v>
      </c>
      <c r="H551" s="6" t="n">
        <f>SUM(F551,G551)/2</f>
        <v>42549.5</v>
      </c>
    </row>
    <row r="552" s="18" customFormat="1" ht="14.399999999999999" customHeight="1">
      <c r="A552" s="10" t="s">
        <v>3951</v>
      </c>
      <c r="B552" s="10" t="s">
        <v>3952</v>
      </c>
      <c r="C552" s="13" t="n">
        <v>42197</v>
      </c>
      <c r="D552" s="13" t="n">
        <v>67403</v>
      </c>
      <c r="E552" s="6" t="n">
        <f>SUM(C552,D552)/2</f>
        <v>54800</v>
      </c>
      <c r="F552" s="12" t="n">
        <v>11732</v>
      </c>
      <c r="G552" s="12" t="n">
        <v>16486</v>
      </c>
      <c r="H552" s="6" t="n">
        <f>SUM(F552,G552)/2</f>
        <v>14109</v>
      </c>
    </row>
    <row r="553" s="18" customFormat="1" ht="14.399999999999999" customHeight="1">
      <c r="A553" s="10" t="s">
        <v>5755</v>
      </c>
      <c r="B553" s="10" t="s">
        <v>5756</v>
      </c>
      <c r="C553" s="13" t="n">
        <v>182505</v>
      </c>
      <c r="D553" s="13" t="n">
        <v>291537</v>
      </c>
      <c r="E553" s="6" t="n">
        <f>SUM(C553,D553)/2</f>
        <v>237021</v>
      </c>
      <c r="F553" s="12" t="n">
        <v>22804</v>
      </c>
      <c r="G553" s="12" t="n">
        <v>34402</v>
      </c>
      <c r="H553" s="6" t="n">
        <f>SUM(F553,G553)/2</f>
        <v>28603</v>
      </c>
    </row>
    <row r="554" s="18" customFormat="1" ht="14.399999999999999" customHeight="1">
      <c r="A554" s="10" t="s">
        <v>5757</v>
      </c>
      <c r="B554" s="10" t="s">
        <v>5758</v>
      </c>
      <c r="C554" s="13" t="n">
        <v>73343</v>
      </c>
      <c r="D554" s="13" t="n">
        <v>117159</v>
      </c>
      <c r="E554" s="6" t="n">
        <f>SUM(C554,D554)/2</f>
        <v>95251</v>
      </c>
      <c r="F554" s="12" t="n">
        <v>43066</v>
      </c>
      <c r="G554" s="12" t="n">
        <v>64100</v>
      </c>
      <c r="H554" s="6" t="n">
        <f>SUM(F554,G554)/2</f>
        <v>53583</v>
      </c>
    </row>
    <row r="555" s="18" customFormat="1" ht="14.399999999999999" customHeight="1">
      <c r="A555" s="10" t="s">
        <v>5759</v>
      </c>
      <c r="B555" s="10" t="s">
        <v>5760</v>
      </c>
      <c r="C555" s="10" t="n">
        <v>152</v>
      </c>
      <c r="D555" s="10" t="n">
        <v>242</v>
      </c>
      <c r="E555" s="6" t="n">
        <f>SUM(C555,D555)/2</f>
        <v>197</v>
      </c>
      <c r="F555" s="18" t="n">
        <v>419</v>
      </c>
      <c r="G555" s="18" t="n">
        <v>590</v>
      </c>
      <c r="H555" s="6" t="n">
        <f>SUM(F555,G555)/2</f>
        <v>504.5</v>
      </c>
    </row>
    <row r="556" s="18" customFormat="1" ht="14.399999999999999" customHeight="1">
      <c r="A556" s="10" t="s">
        <v>3187</v>
      </c>
      <c r="B556" s="10" t="s">
        <v>3188</v>
      </c>
      <c r="C556" s="13" t="n">
        <v>80433</v>
      </c>
      <c r="D556" s="13" t="n">
        <v>128486</v>
      </c>
      <c r="E556" s="6" t="n">
        <f>SUM(C556,D556)/2</f>
        <v>104459.5</v>
      </c>
      <c r="F556" s="12" t="n">
        <v>32725</v>
      </c>
      <c r="G556" s="12" t="n">
        <v>45850</v>
      </c>
      <c r="H556" s="6" t="n">
        <f>SUM(F556,G556)/2</f>
        <v>39287.5</v>
      </c>
    </row>
    <row r="557" s="18" customFormat="1" ht="14.399999999999999" customHeight="1">
      <c r="A557" s="10" t="s">
        <v>1170</v>
      </c>
      <c r="B557" s="10" t="s">
        <v>1171</v>
      </c>
      <c r="C557" s="13" t="n">
        <v>316219</v>
      </c>
      <c r="D557" s="13" t="n">
        <v>505127</v>
      </c>
      <c r="E557" s="6" t="n">
        <f>SUM(C557,D557)/2</f>
        <v>410673</v>
      </c>
      <c r="F557" s="12" t="n">
        <v>20229</v>
      </c>
      <c r="G557" s="12" t="n">
        <v>30956</v>
      </c>
      <c r="H557" s="6" t="n">
        <f>SUM(F557,G557)/2</f>
        <v>25592.5</v>
      </c>
    </row>
    <row r="558" s="18" customFormat="1" ht="14.399999999999999" customHeight="1">
      <c r="A558" s="10" t="s">
        <v>961</v>
      </c>
      <c r="B558" s="10" t="s">
        <v>962</v>
      </c>
      <c r="C558" s="13" t="n">
        <v>585055</v>
      </c>
      <c r="D558" s="13" t="n">
        <v>934569</v>
      </c>
      <c r="E558" s="6" t="n">
        <f>SUM(C558,D558)/2</f>
        <v>759812</v>
      </c>
      <c r="F558" s="12" t="n">
        <v>112845</v>
      </c>
      <c r="G558" s="12" t="n">
        <v>148579</v>
      </c>
      <c r="H558" s="6" t="n">
        <f>SUM(F558,G558)/2</f>
        <v>130712</v>
      </c>
    </row>
    <row r="559" s="18" customFormat="1" ht="14.399999999999999" customHeight="1">
      <c r="A559" s="10" t="s">
        <v>4161</v>
      </c>
      <c r="B559" s="10" t="s">
        <v>4162</v>
      </c>
      <c r="C559" s="13" t="n">
        <v>28374</v>
      </c>
      <c r="D559" s="13" t="n">
        <v>45322</v>
      </c>
      <c r="E559" s="6" t="n">
        <f>SUM(C559,D559)/2</f>
        <v>36848</v>
      </c>
      <c r="F559" s="12" t="n">
        <v>11453</v>
      </c>
      <c r="G559" s="12" t="n">
        <v>14660</v>
      </c>
      <c r="H559" s="6" t="n">
        <f>SUM(F559,G559)/2</f>
        <v>13056.5</v>
      </c>
    </row>
    <row r="560" s="18" customFormat="1" ht="14.399999999999999" customHeight="1">
      <c r="A560" s="10" t="s">
        <v>837</v>
      </c>
      <c r="B560" s="10" t="s">
        <v>838</v>
      </c>
      <c r="C560" s="13" t="n">
        <v>657848</v>
      </c>
      <c r="D560" s="13" t="n">
        <v>1050847</v>
      </c>
      <c r="E560" s="6" t="n">
        <f>SUM(C560,D560)/2</f>
        <v>854347.5</v>
      </c>
      <c r="F560" s="12" t="n">
        <v>261801</v>
      </c>
      <c r="G560" s="12" t="n">
        <v>382686</v>
      </c>
      <c r="H560" s="6" t="n">
        <f>SUM(F560,G560)/2</f>
        <v>322243.5</v>
      </c>
    </row>
    <row r="561" s="18" customFormat="1" ht="14.399999999999999" customHeight="1">
      <c r="A561" s="10" t="s">
        <v>5761</v>
      </c>
      <c r="B561" s="10" t="s">
        <v>5762</v>
      </c>
      <c r="C561" s="13" t="n">
        <v>24513</v>
      </c>
      <c r="D561" s="13" t="n">
        <v>39157</v>
      </c>
      <c r="E561" s="6" t="n">
        <f>SUM(C561,D561)/2</f>
        <v>31835</v>
      </c>
      <c r="F561" s="12" t="n">
        <v>10356</v>
      </c>
      <c r="G561" s="12" t="n">
        <v>15396</v>
      </c>
      <c r="H561" s="6" t="n">
        <f>SUM(F561,G561)/2</f>
        <v>12876</v>
      </c>
    </row>
    <row r="562" s="18" customFormat="1" ht="14.399999999999999" customHeight="1">
      <c r="A562" s="10" t="s">
        <v>4799</v>
      </c>
      <c r="B562" s="10" t="s">
        <v>4800</v>
      </c>
      <c r="C562" s="13" t="n">
        <v>15789</v>
      </c>
      <c r="D562" s="13" t="n">
        <v>25223</v>
      </c>
      <c r="E562" s="6" t="n">
        <f>SUM(C562,D562)/2</f>
        <v>20506</v>
      </c>
      <c r="F562" s="12" t="n">
        <v>6696</v>
      </c>
      <c r="G562" s="12" t="n">
        <v>8041</v>
      </c>
      <c r="H562" s="6" t="n">
        <f>SUM(F562,G562)/2</f>
        <v>7368.5</v>
      </c>
    </row>
    <row r="563" s="18" customFormat="1" ht="14.399999999999999" customHeight="1">
      <c r="A563" s="10" t="s">
        <v>804</v>
      </c>
      <c r="B563" s="10" t="s">
        <v>805</v>
      </c>
      <c r="C563" s="13" t="n">
        <v>612589</v>
      </c>
      <c r="D563" s="13" t="n">
        <v>978549</v>
      </c>
      <c r="E563" s="6" t="n">
        <f>SUM(C563,D563)/2</f>
        <v>795569</v>
      </c>
      <c r="F563" s="12" t="n">
        <v>375286</v>
      </c>
      <c r="G563" s="12" t="n">
        <v>521957</v>
      </c>
      <c r="H563" s="6" t="n">
        <f>SUM(F563,G563)/2</f>
        <v>448621.5</v>
      </c>
    </row>
    <row r="564" s="18" customFormat="1" ht="14.399999999999999" customHeight="1">
      <c r="A564" s="10" t="s">
        <v>4357</v>
      </c>
      <c r="B564" s="10" t="s">
        <v>4358</v>
      </c>
      <c r="C564" s="13" t="n">
        <v>12049</v>
      </c>
      <c r="D564" s="13" t="n">
        <v>19245</v>
      </c>
      <c r="E564" s="6" t="n">
        <f>SUM(C564,D564)/2</f>
        <v>15647</v>
      </c>
      <c r="F564" s="12" t="n">
        <v>11608</v>
      </c>
      <c r="G564" s="12" t="n">
        <v>16483</v>
      </c>
      <c r="H564" s="6" t="n">
        <f>SUM(F564,G564)/2</f>
        <v>14045.5</v>
      </c>
    </row>
    <row r="565" s="18" customFormat="1" ht="14.399999999999999" customHeight="1">
      <c r="A565" s="10" t="s">
        <v>2192</v>
      </c>
      <c r="B565" s="10" t="s">
        <v>2193</v>
      </c>
      <c r="C565" s="13" t="n">
        <v>143680</v>
      </c>
      <c r="D565" s="13" t="n">
        <v>229518</v>
      </c>
      <c r="E565" s="6" t="n">
        <f>SUM(C565,D565)/2</f>
        <v>186599</v>
      </c>
      <c r="F565" s="12" t="n">
        <v>55411</v>
      </c>
      <c r="G565" s="12" t="n">
        <v>80816</v>
      </c>
      <c r="H565" s="6" t="n">
        <f>SUM(F565,G565)/2</f>
        <v>68113.5</v>
      </c>
    </row>
    <row r="566" s="18" customFormat="1" ht="14.399999999999999" customHeight="1">
      <c r="A566" s="10" t="s">
        <v>1763</v>
      </c>
      <c r="B566" s="10" t="s">
        <v>1764</v>
      </c>
      <c r="C566" s="10" t="n">
        <v>3</v>
      </c>
      <c r="D566" s="10" t="n">
        <v>5</v>
      </c>
      <c r="E566" s="6" t="n">
        <f>SUM(C566,D566)/2</f>
        <v>4</v>
      </c>
      <c r="F566" s="18" t="n">
        <v>19</v>
      </c>
      <c r="G566" s="18" t="n">
        <v>29</v>
      </c>
      <c r="H566" s="6" t="n">
        <f>SUM(F566,G566)/2</f>
        <v>24</v>
      </c>
    </row>
    <row r="567" s="18" customFormat="1" ht="14.399999999999999" customHeight="1">
      <c r="A567" s="10" t="s">
        <v>3407</v>
      </c>
      <c r="B567" s="10" t="s">
        <v>3408</v>
      </c>
      <c r="C567" s="13" t="n">
        <v>129752</v>
      </c>
      <c r="D567" s="13" t="n">
        <v>207264</v>
      </c>
      <c r="E567" s="6" t="n">
        <f>SUM(C567,D567)/2</f>
        <v>168508</v>
      </c>
      <c r="F567" s="12" t="n">
        <v>9266</v>
      </c>
      <c r="G567" s="12" t="n">
        <v>12208</v>
      </c>
      <c r="H567" s="6" t="n">
        <f>SUM(F567,G567)/2</f>
        <v>10737</v>
      </c>
    </row>
    <row r="568" s="18" customFormat="1" ht="14.399999999999999" customHeight="1">
      <c r="A568" s="10" t="s">
        <v>1465</v>
      </c>
      <c r="B568" s="10" t="s">
        <v>1466</v>
      </c>
      <c r="C568" s="10" t="n">
        <v>121</v>
      </c>
      <c r="D568" s="10" t="n">
        <v>195</v>
      </c>
      <c r="E568" s="6" t="n">
        <f>SUM(C568,D568)/2</f>
        <v>158</v>
      </c>
      <c r="F568" s="18" t="n">
        <v>20</v>
      </c>
      <c r="G568" s="18" t="n">
        <v>29</v>
      </c>
      <c r="H568" s="6" t="n">
        <f>SUM(F568,G568)/2</f>
        <v>24.5</v>
      </c>
    </row>
    <row r="569" s="18" customFormat="1" ht="14.399999999999999" customHeight="1">
      <c r="A569" s="10" t="s">
        <v>1401</v>
      </c>
      <c r="B569" s="10" t="s">
        <v>1402</v>
      </c>
      <c r="C569" s="10" t="n">
        <v>8</v>
      </c>
      <c r="D569" s="10" t="n">
        <v>12</v>
      </c>
      <c r="E569" s="6" t="n">
        <f>SUM(C569,D569)/2</f>
        <v>10</v>
      </c>
      <c r="F569" s="18" t="n">
        <v>0</v>
      </c>
      <c r="G569" s="18" t="n">
        <v>0</v>
      </c>
      <c r="H569" s="6" t="n">
        <f>SUM(F569,G569)/2</f>
        <v>0</v>
      </c>
    </row>
    <row r="570" s="18" customFormat="1" ht="14.399999999999999" customHeight="1">
      <c r="A570" s="10" t="s">
        <v>2434</v>
      </c>
      <c r="B570" s="10" t="s">
        <v>2435</v>
      </c>
      <c r="C570" s="10" t="n">
        <v>2</v>
      </c>
      <c r="D570" s="10" t="n">
        <v>2</v>
      </c>
      <c r="E570" s="6" t="n">
        <f>SUM(C570,D570)/2</f>
        <v>2</v>
      </c>
      <c r="F570" s="18" t="n">
        <v>3</v>
      </c>
      <c r="G570" s="18" t="n">
        <v>4</v>
      </c>
      <c r="H570" s="6" t="n">
        <f>SUM(F570,G570)/2</f>
        <v>3.5</v>
      </c>
    </row>
    <row r="571" s="18" customFormat="1" ht="14.399999999999999" customHeight="1">
      <c r="A571" s="10" t="s">
        <v>1471</v>
      </c>
      <c r="B571" s="10" t="s">
        <v>1472</v>
      </c>
      <c r="C571" s="10" t="n">
        <v>153</v>
      </c>
      <c r="D571" s="10" t="n">
        <v>245</v>
      </c>
      <c r="E571" s="6" t="n">
        <f>SUM(C571,D571)/2</f>
        <v>199</v>
      </c>
      <c r="F571" s="18" t="n">
        <v>6</v>
      </c>
      <c r="G571" s="18" t="n">
        <v>7</v>
      </c>
      <c r="H571" s="6" t="n">
        <f>SUM(F571,G571)/2</f>
        <v>6.5</v>
      </c>
    </row>
    <row r="572" s="18" customFormat="1" ht="14.399999999999999" customHeight="1">
      <c r="A572" s="10" t="s">
        <v>1885</v>
      </c>
      <c r="B572" s="10" t="s">
        <v>1886</v>
      </c>
      <c r="C572" s="10" t="n">
        <v>26</v>
      </c>
      <c r="D572" s="10" t="n">
        <v>42</v>
      </c>
      <c r="E572" s="6" t="n">
        <f>SUM(C572,D572)/2</f>
        <v>34</v>
      </c>
      <c r="F572" s="18" t="n">
        <v>9</v>
      </c>
      <c r="G572" s="18" t="n">
        <v>13</v>
      </c>
      <c r="H572" s="6" t="n">
        <f>SUM(F572,G572)/2</f>
        <v>11</v>
      </c>
    </row>
    <row r="573" s="18" customFormat="1" ht="14.399999999999999" customHeight="1">
      <c r="A573" s="10" t="s">
        <v>1399</v>
      </c>
      <c r="B573" s="10" t="s">
        <v>1400</v>
      </c>
      <c r="C573" s="10" t="n">
        <v>20</v>
      </c>
      <c r="D573" s="10" t="n">
        <v>32</v>
      </c>
      <c r="E573" s="6" t="n">
        <f>SUM(C573,D573)/2</f>
        <v>26</v>
      </c>
      <c r="F573" s="18" t="n">
        <v>0</v>
      </c>
      <c r="G573" s="18" t="n">
        <v>0</v>
      </c>
      <c r="H573" s="6" t="n">
        <f>SUM(F573,G573)/2</f>
        <v>0</v>
      </c>
    </row>
    <row r="574" s="18" customFormat="1" ht="14.399999999999999" customHeight="1">
      <c r="A574" s="10" t="s">
        <v>1387</v>
      </c>
      <c r="B574" s="10" t="s">
        <v>1388</v>
      </c>
      <c r="C574" s="10" t="n">
        <v>13</v>
      </c>
      <c r="D574" s="10" t="n">
        <v>17</v>
      </c>
      <c r="E574" s="6" t="n">
        <f>SUM(C574,D574)/2</f>
        <v>15</v>
      </c>
      <c r="F574" s="18" t="n">
        <v>18</v>
      </c>
      <c r="G574" s="18" t="n">
        <v>28</v>
      </c>
      <c r="H574" s="6" t="n">
        <f>SUM(F574,G574)/2</f>
        <v>23</v>
      </c>
    </row>
    <row r="575" s="18" customFormat="1" ht="14.399999999999999" customHeight="1">
      <c r="A575" s="10" t="s">
        <v>594</v>
      </c>
      <c r="B575" s="10" t="s">
        <v>595</v>
      </c>
      <c r="C575" s="10" t="n">
        <v>663</v>
      </c>
      <c r="D575" s="13" t="n">
        <v>1059</v>
      </c>
      <c r="E575" s="6" t="n">
        <f>SUM(C575,D575)/2</f>
        <v>861</v>
      </c>
      <c r="F575" s="18" t="n">
        <v>102</v>
      </c>
      <c r="G575" s="18" t="n">
        <v>157</v>
      </c>
      <c r="H575" s="6" t="n">
        <f>SUM(F575,G575)/2</f>
        <v>129.5</v>
      </c>
    </row>
    <row r="576" s="18" customFormat="1" ht="14.399999999999999" customHeight="1">
      <c r="A576" s="10" t="s">
        <v>506</v>
      </c>
      <c r="B576" s="10" t="s">
        <v>507</v>
      </c>
      <c r="C576" s="13" t="n">
        <v>1155</v>
      </c>
      <c r="D576" s="13" t="n">
        <v>1843</v>
      </c>
      <c r="E576" s="6" t="n">
        <f>SUM(C576,D576)/2</f>
        <v>1499</v>
      </c>
      <c r="F576" s="18" t="n">
        <v>583</v>
      </c>
      <c r="G576" s="18" t="n">
        <v>719</v>
      </c>
      <c r="H576" s="6" t="n">
        <f>SUM(F576,G576)/2</f>
        <v>651</v>
      </c>
    </row>
    <row r="577" s="18" customFormat="1" ht="14.399999999999999" customHeight="1">
      <c r="A577" s="10" t="s">
        <v>2212</v>
      </c>
      <c r="B577" s="10" t="s">
        <v>2213</v>
      </c>
      <c r="C577" s="10" t="n">
        <v>19</v>
      </c>
      <c r="D577" s="10" t="n">
        <v>31</v>
      </c>
      <c r="E577" s="6" t="n">
        <f>SUM(C577,D577)/2</f>
        <v>25</v>
      </c>
      <c r="F577" s="18" t="n">
        <v>2</v>
      </c>
      <c r="G577" s="18" t="n">
        <v>2</v>
      </c>
      <c r="H577" s="6" t="n">
        <f>SUM(F577,G577)/2</f>
        <v>2</v>
      </c>
    </row>
    <row r="578" s="18" customFormat="1" ht="14.399999999999999" customHeight="1">
      <c r="A578" s="10" t="s">
        <v>5428</v>
      </c>
      <c r="B578" s="10" t="s">
        <v>5429</v>
      </c>
      <c r="C578" s="13" t="n">
        <v>257047</v>
      </c>
      <c r="D578" s="13" t="n">
        <v>410609</v>
      </c>
      <c r="E578" s="6" t="n">
        <f>SUM(C578,D578)/2</f>
        <v>333828</v>
      </c>
      <c r="F578" s="12" t="n">
        <v>37947</v>
      </c>
      <c r="G578" s="12" t="n">
        <v>53333</v>
      </c>
      <c r="H578" s="6" t="n">
        <f>SUM(F578,G578)/2</f>
        <v>45640</v>
      </c>
    </row>
    <row r="579" s="18" customFormat="1" ht="14.399999999999999" customHeight="1">
      <c r="A579" s="10" t="s">
        <v>5125</v>
      </c>
      <c r="B579" s="10" t="s">
        <v>5126</v>
      </c>
      <c r="C579" s="13" t="n">
        <v>3914</v>
      </c>
      <c r="D579" s="13" t="n">
        <v>6250</v>
      </c>
      <c r="E579" s="6" t="n">
        <f>SUM(C579,D579)/2</f>
        <v>5082</v>
      </c>
      <c r="F579" s="12" t="n">
        <v>5151</v>
      </c>
      <c r="G579" s="12" t="n">
        <v>8034</v>
      </c>
      <c r="H579" s="6" t="n">
        <f>SUM(F579,G579)/2</f>
        <v>6592.5</v>
      </c>
    </row>
    <row r="580" s="18" customFormat="1" ht="14.399999999999999" customHeight="1">
      <c r="A580" s="10" t="s">
        <v>5763</v>
      </c>
      <c r="B580" s="10" t="s">
        <v>5764</v>
      </c>
      <c r="C580" s="13" t="n">
        <v>66266</v>
      </c>
      <c r="D580" s="13" t="n">
        <v>105852</v>
      </c>
      <c r="E580" s="6" t="n">
        <f>SUM(C580,D580)/2</f>
        <v>86059</v>
      </c>
      <c r="F580" s="12" t="n">
        <v>9038</v>
      </c>
      <c r="G580" s="12" t="n">
        <v>12691</v>
      </c>
      <c r="H580" s="6" t="n">
        <f>SUM(F580,G580)/2</f>
        <v>10864.5</v>
      </c>
    </row>
    <row r="581" s="18" customFormat="1" ht="14.399999999999999" customHeight="1">
      <c r="A581" s="10" t="s">
        <v>4073</v>
      </c>
      <c r="B581" s="10" t="s">
        <v>4074</v>
      </c>
      <c r="C581" s="13" t="n">
        <v>23129</v>
      </c>
      <c r="D581" s="13" t="n">
        <v>36945</v>
      </c>
      <c r="E581" s="6" t="n">
        <f>SUM(C581,D581)/2</f>
        <v>30037</v>
      </c>
      <c r="F581" s="12" t="n">
        <v>13233</v>
      </c>
      <c r="G581" s="12" t="n">
        <v>19529</v>
      </c>
      <c r="H581" s="6" t="n">
        <f>SUM(F581,G581)/2</f>
        <v>16381</v>
      </c>
    </row>
    <row r="582" s="18" customFormat="1" ht="14.399999999999999" customHeight="1">
      <c r="A582" s="10" t="s">
        <v>2428</v>
      </c>
      <c r="B582" s="10" t="s">
        <v>2429</v>
      </c>
      <c r="C582" s="10" t="n">
        <v>4</v>
      </c>
      <c r="D582" s="10" t="n">
        <v>6</v>
      </c>
      <c r="E582" s="6" t="n">
        <f>SUM(C582,D582)/2</f>
        <v>5</v>
      </c>
      <c r="F582" s="18" t="n">
        <v>3</v>
      </c>
      <c r="G582" s="18" t="n">
        <v>3</v>
      </c>
      <c r="H582" s="6" t="n">
        <f>SUM(F582,G582)/2</f>
        <v>3</v>
      </c>
    </row>
    <row r="583" s="18" customFormat="1" ht="14.399999999999999" customHeight="1">
      <c r="A583" s="10" t="s">
        <v>2524</v>
      </c>
      <c r="B583" s="10" t="s">
        <v>2525</v>
      </c>
      <c r="C583" s="10" t="n">
        <v>10</v>
      </c>
      <c r="D583" s="10" t="n">
        <v>16</v>
      </c>
      <c r="E583" s="6" t="n">
        <f>SUM(C583,D583)/2</f>
        <v>13</v>
      </c>
      <c r="F583" s="18" t="n">
        <v>0</v>
      </c>
      <c r="G583" s="18" t="n">
        <v>0</v>
      </c>
      <c r="H583" s="6" t="n">
        <f>SUM(F583,G583)/2</f>
        <v>0</v>
      </c>
    </row>
    <row r="584" s="18" customFormat="1" ht="14.399999999999999" customHeight="1">
      <c r="A584" s="10" t="s">
        <v>1282</v>
      </c>
      <c r="B584" s="10" t="s">
        <v>1283</v>
      </c>
      <c r="C584" s="10" t="n">
        <v>244</v>
      </c>
      <c r="D584" s="10" t="n">
        <v>390</v>
      </c>
      <c r="E584" s="6" t="n">
        <f>SUM(C584,D584)/2</f>
        <v>317</v>
      </c>
      <c r="F584" s="18" t="n">
        <v>55</v>
      </c>
      <c r="G584" s="18" t="n">
        <v>64</v>
      </c>
      <c r="H584" s="6" t="n">
        <f>SUM(F584,G584)/2</f>
        <v>59.5</v>
      </c>
    </row>
    <row r="585" s="18" customFormat="1" ht="14.399999999999999" customHeight="1">
      <c r="A585" s="10" t="s">
        <v>5765</v>
      </c>
      <c r="B585" s="10" t="s">
        <v>5766</v>
      </c>
      <c r="C585" s="13" t="n">
        <v>275095</v>
      </c>
      <c r="D585" s="13" t="n">
        <v>439437</v>
      </c>
      <c r="E585" s="6" t="n">
        <f>SUM(C585,D585)/2</f>
        <v>357266</v>
      </c>
      <c r="F585" s="12" t="n">
        <v>94880</v>
      </c>
      <c r="G585" s="12" t="n">
        <v>121584</v>
      </c>
      <c r="H585" s="6" t="n">
        <f>SUM(F585,G585)/2</f>
        <v>108232</v>
      </c>
    </row>
    <row r="586" s="18" customFormat="1" ht="14.399999999999999" customHeight="1">
      <c r="A586" s="10" t="s">
        <v>5247</v>
      </c>
      <c r="B586" s="10" t="s">
        <v>5248</v>
      </c>
      <c r="C586" s="13" t="n">
        <v>4566</v>
      </c>
      <c r="D586" s="13" t="n">
        <v>7292</v>
      </c>
      <c r="E586" s="6" t="n">
        <f>SUM(C586,D586)/2</f>
        <v>5929</v>
      </c>
      <c r="F586" s="18" t="n">
        <v>477</v>
      </c>
      <c r="G586" s="18" t="n">
        <v>654</v>
      </c>
      <c r="H586" s="6" t="n">
        <f>SUM(F586,G586)/2</f>
        <v>565.5</v>
      </c>
    </row>
    <row r="587" s="18" customFormat="1" ht="14.399999999999999" customHeight="1">
      <c r="A587" s="10" t="s">
        <v>3073</v>
      </c>
      <c r="B587" s="10" t="s">
        <v>3074</v>
      </c>
      <c r="C587" s="13" t="n">
        <v>101367</v>
      </c>
      <c r="D587" s="13" t="n">
        <v>161927</v>
      </c>
      <c r="E587" s="6" t="n">
        <f>SUM(C587,D587)/2</f>
        <v>131647</v>
      </c>
      <c r="F587" s="12" t="n">
        <v>32638</v>
      </c>
      <c r="G587" s="12" t="n">
        <v>48296</v>
      </c>
      <c r="H587" s="6" t="n">
        <f>SUM(F587,G587)/2</f>
        <v>40467</v>
      </c>
    </row>
    <row r="588" s="18" customFormat="1" ht="14.399999999999999" customHeight="1">
      <c r="A588" s="10" t="s">
        <v>596</v>
      </c>
      <c r="B588" s="10" t="s">
        <v>597</v>
      </c>
      <c r="C588" s="10" t="n">
        <v>723</v>
      </c>
      <c r="D588" s="13" t="n">
        <v>1155</v>
      </c>
      <c r="E588" s="6" t="n">
        <f>SUM(C588,D588)/2</f>
        <v>939</v>
      </c>
      <c r="F588" s="18" t="n">
        <v>930</v>
      </c>
      <c r="G588" s="18" t="n">
        <v>1335</v>
      </c>
      <c r="H588" s="6" t="n">
        <f>SUM(F588,G588)/2</f>
        <v>1132.5</v>
      </c>
    </row>
    <row r="589" s="18" customFormat="1" ht="14.399999999999999" customHeight="1">
      <c r="A589" s="10" t="s">
        <v>5767</v>
      </c>
      <c r="B589" s="10" t="s">
        <v>5768</v>
      </c>
      <c r="C589" s="13" t="n">
        <v>164429</v>
      </c>
      <c r="D589" s="13" t="n">
        <v>262659</v>
      </c>
      <c r="E589" s="6" t="n">
        <f>SUM(C589,D589)/2</f>
        <v>213544</v>
      </c>
      <c r="F589" s="12" t="n">
        <v>66222</v>
      </c>
      <c r="G589" s="12" t="n">
        <v>85554</v>
      </c>
      <c r="H589" s="6" t="n">
        <f>SUM(F589,G589)/2</f>
        <v>75888</v>
      </c>
    </row>
    <row r="590" s="18" customFormat="1" ht="14.399999999999999" customHeight="1">
      <c r="A590" s="10" t="s">
        <v>2182</v>
      </c>
      <c r="B590" s="10" t="s">
        <v>2183</v>
      </c>
      <c r="C590" s="13" t="n">
        <v>230701</v>
      </c>
      <c r="D590" s="13" t="n">
        <v>368523</v>
      </c>
      <c r="E590" s="6" t="n">
        <f>SUM(C590,D590)/2</f>
        <v>299612</v>
      </c>
      <c r="F590" s="12" t="n">
        <v>37043</v>
      </c>
      <c r="G590" s="12" t="n">
        <v>55668</v>
      </c>
      <c r="H590" s="6" t="n">
        <f>SUM(F590,G590)/2</f>
        <v>46355.5</v>
      </c>
    </row>
    <row r="591" s="18" customFormat="1" ht="14.399999999999999" customHeight="1">
      <c r="A591" s="10" t="s">
        <v>5352</v>
      </c>
      <c r="B591" s="10" t="s">
        <v>5353</v>
      </c>
      <c r="C591" s="13" t="n">
        <v>59107</v>
      </c>
      <c r="D591" s="13" t="n">
        <v>94417</v>
      </c>
      <c r="E591" s="6" t="n">
        <f>SUM(C591,D591)/2</f>
        <v>76762</v>
      </c>
      <c r="F591" s="12" t="n">
        <v>118304</v>
      </c>
      <c r="G591" s="12" t="n">
        <v>184065</v>
      </c>
      <c r="H591" s="6" t="n">
        <f>SUM(F591,G591)/2</f>
        <v>151184.5</v>
      </c>
    </row>
    <row r="592" s="18" customFormat="1" ht="14.399999999999999" customHeight="1">
      <c r="A592" s="10" t="s">
        <v>4927</v>
      </c>
      <c r="B592" s="10" t="s">
        <v>4928</v>
      </c>
      <c r="C592" s="13" t="n">
        <v>11503</v>
      </c>
      <c r="D592" s="13" t="n">
        <v>18375</v>
      </c>
      <c r="E592" s="6" t="n">
        <f>SUM(C592,D592)/2</f>
        <v>14939</v>
      </c>
      <c r="F592" s="12" t="n">
        <v>6072</v>
      </c>
      <c r="G592" s="12" t="n">
        <v>8629</v>
      </c>
      <c r="H592" s="6" t="n">
        <f>SUM(F592,G592)/2</f>
        <v>7350.5</v>
      </c>
    </row>
    <row r="593" s="18" customFormat="1" ht="14.399999999999999" customHeight="1">
      <c r="A593" s="10" t="s">
        <v>4429</v>
      </c>
      <c r="B593" s="10" t="s">
        <v>4430</v>
      </c>
      <c r="C593" s="13" t="n">
        <v>19590</v>
      </c>
      <c r="D593" s="13" t="n">
        <v>31296</v>
      </c>
      <c r="E593" s="6" t="n">
        <f>SUM(C593,D593)/2</f>
        <v>25443</v>
      </c>
      <c r="F593" s="12" t="n">
        <v>9193</v>
      </c>
      <c r="G593" s="12" t="n">
        <v>12799</v>
      </c>
      <c r="H593" s="6" t="n">
        <f>SUM(F593,G593)/2</f>
        <v>10996</v>
      </c>
    </row>
    <row r="594" s="18" customFormat="1" ht="14.399999999999999" customHeight="1">
      <c r="A594" s="10" t="s">
        <v>4137</v>
      </c>
      <c r="B594" s="10" t="s">
        <v>4138</v>
      </c>
      <c r="C594" s="13" t="n">
        <v>26888</v>
      </c>
      <c r="D594" s="13" t="n">
        <v>42952</v>
      </c>
      <c r="E594" s="6" t="n">
        <f>SUM(C594,D594)/2</f>
        <v>34920</v>
      </c>
      <c r="F594" s="12" t="n">
        <v>11565</v>
      </c>
      <c r="G594" s="12" t="n">
        <v>16421</v>
      </c>
      <c r="H594" s="6" t="n">
        <f>SUM(F594,G594)/2</f>
        <v>13993</v>
      </c>
    </row>
    <row r="595" s="18" customFormat="1" ht="14.399999999999999" customHeight="1">
      <c r="A595" s="10" t="s">
        <v>2308</v>
      </c>
      <c r="B595" s="10" t="s">
        <v>2309</v>
      </c>
      <c r="C595" s="10" t="n">
        <v>8</v>
      </c>
      <c r="D595" s="10" t="n">
        <v>12</v>
      </c>
      <c r="E595" s="6" t="n">
        <f>SUM(C595,D595)/2</f>
        <v>10</v>
      </c>
      <c r="F595" s="18" t="n">
        <v>3</v>
      </c>
      <c r="G595" s="18" t="n">
        <v>4</v>
      </c>
      <c r="H595" s="6" t="n">
        <f>SUM(F595,G595)/2</f>
        <v>3.5</v>
      </c>
    </row>
    <row r="596" s="18" customFormat="1" ht="14.399999999999999" customHeight="1">
      <c r="A596" s="10" t="s">
        <v>4119</v>
      </c>
      <c r="B596" s="10" t="s">
        <v>4120</v>
      </c>
      <c r="C596" s="13" t="n">
        <v>47759</v>
      </c>
      <c r="D596" s="13" t="n">
        <v>76289</v>
      </c>
      <c r="E596" s="6" t="n">
        <f>SUM(C596,D596)/2</f>
        <v>62024</v>
      </c>
      <c r="F596" s="12" t="n">
        <v>6937</v>
      </c>
      <c r="G596" s="12" t="n">
        <v>10283</v>
      </c>
      <c r="H596" s="6" t="n">
        <f>SUM(F596,G596)/2</f>
        <v>8610</v>
      </c>
    </row>
    <row r="597" s="18" customFormat="1" ht="14.399999999999999" customHeight="1">
      <c r="A597" s="10" t="s">
        <v>3665</v>
      </c>
      <c r="B597" s="10" t="s">
        <v>3666</v>
      </c>
      <c r="C597" s="13" t="n">
        <v>59115</v>
      </c>
      <c r="D597" s="13" t="n">
        <v>94431</v>
      </c>
      <c r="E597" s="6" t="n">
        <f>SUM(C597,D597)/2</f>
        <v>76773</v>
      </c>
      <c r="F597" s="12" t="n">
        <v>15700</v>
      </c>
      <c r="G597" s="12" t="n">
        <v>22476</v>
      </c>
      <c r="H597" s="6" t="n">
        <f>SUM(F597,G597)/2</f>
        <v>19088</v>
      </c>
    </row>
    <row r="598" s="18" customFormat="1" ht="14.399999999999999" customHeight="1">
      <c r="A598" s="10" t="s">
        <v>2198</v>
      </c>
      <c r="B598" s="10" t="s">
        <v>2199</v>
      </c>
      <c r="C598" s="10" t="n">
        <v>0</v>
      </c>
      <c r="D598" s="10" t="n">
        <v>0</v>
      </c>
      <c r="E598" s="6" t="n">
        <f>SUM(C598,D598)/2</f>
        <v>0</v>
      </c>
      <c r="F598" s="18" t="n">
        <v>6</v>
      </c>
      <c r="G598" s="18" t="n">
        <v>9</v>
      </c>
      <c r="H598" s="6" t="n">
        <f>SUM(F598,G598)/2</f>
        <v>7.5</v>
      </c>
    </row>
    <row r="599" s="18" customFormat="1" ht="14.399999999999999" customHeight="1">
      <c r="A599" s="10" t="s">
        <v>5769</v>
      </c>
      <c r="B599" s="10" t="s">
        <v>5770</v>
      </c>
      <c r="C599" s="10" t="n">
        <v>11</v>
      </c>
      <c r="D599" s="10" t="n">
        <v>15</v>
      </c>
      <c r="E599" s="6" t="n">
        <f>SUM(C599,D599)/2</f>
        <v>13</v>
      </c>
      <c r="F599" s="18" t="n">
        <v>3</v>
      </c>
      <c r="G599" s="18" t="n">
        <v>4</v>
      </c>
      <c r="H599" s="6" t="n">
        <f>SUM(F599,G599)/2</f>
        <v>3.5</v>
      </c>
    </row>
    <row r="600" s="18" customFormat="1" ht="14.399999999999999" customHeight="1">
      <c r="A600" s="10" t="s">
        <v>1545</v>
      </c>
      <c r="B600" s="10" t="s">
        <v>1546</v>
      </c>
      <c r="C600" s="10" t="n">
        <v>29</v>
      </c>
      <c r="D600" s="10" t="n">
        <v>49</v>
      </c>
      <c r="E600" s="6" t="n">
        <f>SUM(C600,D600)/2</f>
        <v>39</v>
      </c>
      <c r="F600" s="18" t="n">
        <v>38</v>
      </c>
      <c r="G600" s="18" t="n">
        <v>54</v>
      </c>
      <c r="H600" s="6" t="n">
        <f>SUM(F600,G600)/2</f>
        <v>46</v>
      </c>
    </row>
    <row r="601" s="18" customFormat="1" ht="14.399999999999999" customHeight="1">
      <c r="A601" s="10" t="s">
        <v>1128</v>
      </c>
      <c r="B601" s="10" t="s">
        <v>1129</v>
      </c>
      <c r="C601" s="13" t="n">
        <v>280721</v>
      </c>
      <c r="D601" s="13" t="n">
        <v>448423</v>
      </c>
      <c r="E601" s="6" t="n">
        <f>SUM(C601,D601)/2</f>
        <v>364572</v>
      </c>
      <c r="F601" s="12" t="n">
        <v>84408</v>
      </c>
      <c r="G601" s="12" t="n">
        <v>120527</v>
      </c>
      <c r="H601" s="6" t="n">
        <f>SUM(F601,G601)/2</f>
        <v>102467.5</v>
      </c>
    </row>
    <row r="602" s="18" customFormat="1" ht="14.399999999999999" customHeight="1">
      <c r="A602" s="10" t="s">
        <v>2102</v>
      </c>
      <c r="B602" s="10" t="s">
        <v>2103</v>
      </c>
      <c r="C602" s="10" t="n">
        <v>11</v>
      </c>
      <c r="D602" s="10" t="n">
        <v>19</v>
      </c>
      <c r="E602" s="6" t="n">
        <f>SUM(C602,D602)/2</f>
        <v>15</v>
      </c>
      <c r="F602" s="18" t="n">
        <v>78</v>
      </c>
      <c r="G602" s="18" t="n">
        <v>90</v>
      </c>
      <c r="H602" s="6" t="n">
        <f>SUM(F602,G602)/2</f>
        <v>84</v>
      </c>
    </row>
    <row r="603" s="18" customFormat="1" ht="14.399999999999999" customHeight="1">
      <c r="A603" s="10" t="s">
        <v>4177</v>
      </c>
      <c r="B603" s="10" t="s">
        <v>4178</v>
      </c>
      <c r="C603" s="13" t="n">
        <v>44955</v>
      </c>
      <c r="D603" s="13" t="n">
        <v>71811</v>
      </c>
      <c r="E603" s="6" t="n">
        <f>SUM(C603,D603)/2</f>
        <v>58383</v>
      </c>
      <c r="F603" s="12" t="n">
        <v>6667</v>
      </c>
      <c r="G603" s="12" t="n">
        <v>9847</v>
      </c>
      <c r="H603" s="6" t="n">
        <f>SUM(F603,G603)/2</f>
        <v>8257</v>
      </c>
    </row>
    <row r="604" s="18" customFormat="1" ht="14.399999999999999" customHeight="1">
      <c r="A604" s="10" t="s">
        <v>210</v>
      </c>
      <c r="B604" s="10" t="s">
        <v>211</v>
      </c>
      <c r="C604" s="13" t="n">
        <v>339993</v>
      </c>
      <c r="D604" s="13" t="n">
        <v>543105</v>
      </c>
      <c r="E604" s="6" t="n">
        <f>SUM(C604,D604)/2</f>
        <v>441549</v>
      </c>
      <c r="F604" s="12" t="n">
        <v>17781</v>
      </c>
      <c r="G604" s="12" t="n">
        <v>27204</v>
      </c>
      <c r="H604" s="6" t="n">
        <f>SUM(F604,G604)/2</f>
        <v>22492.5</v>
      </c>
    </row>
    <row r="605" s="18" customFormat="1" ht="14.399999999999999" customHeight="1">
      <c r="A605" s="10" t="s">
        <v>3675</v>
      </c>
      <c r="B605" s="10" t="s">
        <v>3676</v>
      </c>
      <c r="C605" s="13" t="n">
        <v>53772</v>
      </c>
      <c r="D605" s="13" t="n">
        <v>85896</v>
      </c>
      <c r="E605" s="6" t="n">
        <f>SUM(C605,D605)/2</f>
        <v>69834</v>
      </c>
      <c r="F605" s="12" t="n">
        <v>15272</v>
      </c>
      <c r="G605" s="12" t="n">
        <v>25641</v>
      </c>
      <c r="H605" s="6" t="n">
        <f>SUM(F605,G605)/2</f>
        <v>20456.5</v>
      </c>
    </row>
    <row r="606" s="18" customFormat="1" ht="14.399999999999999" customHeight="1">
      <c r="A606" s="10" t="s">
        <v>2851</v>
      </c>
      <c r="B606" s="10" t="s">
        <v>2852</v>
      </c>
      <c r="C606" s="10" t="n">
        <v>0</v>
      </c>
      <c r="D606" s="10" t="n">
        <v>0</v>
      </c>
      <c r="E606" s="6" t="n">
        <f>SUM(C606,D606)/2</f>
        <v>0</v>
      </c>
      <c r="F606" s="18" t="n">
        <v>0</v>
      </c>
      <c r="G606" s="18" t="n">
        <v>0</v>
      </c>
      <c r="H606" s="6" t="n">
        <f>SUM(F606,G606)/2</f>
        <v>0</v>
      </c>
    </row>
    <row r="607" s="18" customFormat="1" ht="14.399999999999999" customHeight="1">
      <c r="A607" s="10" t="s">
        <v>4579</v>
      </c>
      <c r="B607" s="10" t="s">
        <v>4580</v>
      </c>
      <c r="C607" s="13" t="n">
        <v>28030</v>
      </c>
      <c r="D607" s="13" t="n">
        <v>44776</v>
      </c>
      <c r="E607" s="6" t="n">
        <f>SUM(C607,D607)/2</f>
        <v>36403</v>
      </c>
      <c r="F607" s="12" t="n">
        <v>5434</v>
      </c>
      <c r="G607" s="12" t="n">
        <v>7983</v>
      </c>
      <c r="H607" s="6" t="n">
        <f>SUM(F607,G607)/2</f>
        <v>6708.5</v>
      </c>
    </row>
    <row r="608" s="18" customFormat="1" ht="14.399999999999999" customHeight="1">
      <c r="A608" s="10" t="s">
        <v>48</v>
      </c>
      <c r="B608" s="10" t="s">
        <v>49</v>
      </c>
      <c r="C608" s="13" t="n">
        <v>4039682</v>
      </c>
      <c r="D608" s="13" t="n">
        <v>6452998</v>
      </c>
      <c r="E608" s="6" t="n">
        <f>SUM(C608,D608)/2</f>
        <v>5246340</v>
      </c>
      <c r="F608" s="12" t="n">
        <v>672050</v>
      </c>
      <c r="G608" s="12" t="n">
        <v>1008281</v>
      </c>
      <c r="H608" s="6" t="n">
        <f>SUM(F608,G608)/2</f>
        <v>840165.5</v>
      </c>
    </row>
    <row r="609" s="18" customFormat="1" ht="14.399999999999999" customHeight="1">
      <c r="A609" s="10" t="s">
        <v>1915</v>
      </c>
      <c r="B609" s="10" t="s">
        <v>1916</v>
      </c>
      <c r="C609" s="10" t="n">
        <v>36</v>
      </c>
      <c r="D609" s="10" t="n">
        <v>56</v>
      </c>
      <c r="E609" s="6" t="n">
        <f>SUM(C609,D609)/2</f>
        <v>46</v>
      </c>
      <c r="F609" s="18" t="n">
        <v>5</v>
      </c>
      <c r="G609" s="18" t="n">
        <v>7</v>
      </c>
      <c r="H609" s="6" t="n">
        <f>SUM(F609,G609)/2</f>
        <v>6</v>
      </c>
    </row>
    <row r="610" s="18" customFormat="1" ht="14.399999999999999" customHeight="1">
      <c r="A610" s="10" t="s">
        <v>4497</v>
      </c>
      <c r="B610" s="10" t="s">
        <v>4498</v>
      </c>
      <c r="C610" s="13" t="n">
        <v>22465</v>
      </c>
      <c r="D610" s="13" t="n">
        <v>35887</v>
      </c>
      <c r="E610" s="6" t="n">
        <f>SUM(C610,D610)/2</f>
        <v>29176</v>
      </c>
      <c r="F610" s="12" t="n">
        <v>8366</v>
      </c>
      <c r="G610" s="12" t="n">
        <v>10176</v>
      </c>
      <c r="H610" s="6" t="n">
        <f>SUM(F610,G610)/2</f>
        <v>9271</v>
      </c>
    </row>
    <row r="611" s="18" customFormat="1" ht="14.399999999999999" customHeight="1">
      <c r="A611" s="10" t="s">
        <v>5771</v>
      </c>
      <c r="B611" s="10" t="s">
        <v>5772</v>
      </c>
      <c r="C611" s="10" t="n">
        <v>19</v>
      </c>
      <c r="D611" s="10" t="n">
        <v>31</v>
      </c>
      <c r="E611" s="6" t="n">
        <f>SUM(C611,D611)/2</f>
        <v>25</v>
      </c>
      <c r="F611" s="18" t="n">
        <v>5</v>
      </c>
      <c r="G611" s="18" t="n">
        <v>6</v>
      </c>
      <c r="H611" s="6" t="n">
        <f>SUM(F611,G611)/2</f>
        <v>5.5</v>
      </c>
    </row>
    <row r="612" s="18" customFormat="1" ht="14.399999999999999" customHeight="1">
      <c r="A612" s="10" t="s">
        <v>3959</v>
      </c>
      <c r="B612" s="10" t="s">
        <v>3960</v>
      </c>
      <c r="C612" s="13" t="n">
        <v>24426</v>
      </c>
      <c r="D612" s="13" t="n">
        <v>39020</v>
      </c>
      <c r="E612" s="6" t="n">
        <f>SUM(C612,D612)/2</f>
        <v>31723</v>
      </c>
      <c r="F612" s="12" t="n">
        <v>17543</v>
      </c>
      <c r="G612" s="12" t="n">
        <v>20146</v>
      </c>
      <c r="H612" s="6" t="n">
        <f>SUM(F612,G612)/2</f>
        <v>18844.5</v>
      </c>
    </row>
    <row r="613" s="18" customFormat="1" ht="14.399999999999999" customHeight="1">
      <c r="A613" s="10" t="s">
        <v>4861</v>
      </c>
      <c r="B613" s="10" t="s">
        <v>4862</v>
      </c>
      <c r="C613" s="13" t="n">
        <v>19620</v>
      </c>
      <c r="D613" s="13" t="n">
        <v>31344</v>
      </c>
      <c r="E613" s="6" t="n">
        <f>SUM(C613,D613)/2</f>
        <v>25482</v>
      </c>
      <c r="F613" s="12" t="n">
        <v>5216</v>
      </c>
      <c r="G613" s="12" t="n">
        <v>6304</v>
      </c>
      <c r="H613" s="6" t="n">
        <f>SUM(F613,G613)/2</f>
        <v>5760</v>
      </c>
    </row>
    <row r="614" s="18" customFormat="1" ht="14.399999999999999" customHeight="1">
      <c r="A614" s="10" t="s">
        <v>1601</v>
      </c>
      <c r="B614" s="10" t="s">
        <v>1602</v>
      </c>
      <c r="C614" s="10" t="n">
        <v>515</v>
      </c>
      <c r="D614" s="10" t="n">
        <v>821</v>
      </c>
      <c r="E614" s="6" t="n">
        <f>SUM(C614,D614)/2</f>
        <v>668</v>
      </c>
      <c r="F614" s="18" t="n">
        <v>100</v>
      </c>
      <c r="G614" s="18" t="n">
        <v>135</v>
      </c>
      <c r="H614" s="6" t="n">
        <f>SUM(F614,G614)/2</f>
        <v>117.5</v>
      </c>
    </row>
    <row r="615" s="18" customFormat="1" ht="14.399999999999999" customHeight="1">
      <c r="A615" s="10" t="s">
        <v>4197</v>
      </c>
      <c r="B615" s="10" t="s">
        <v>4198</v>
      </c>
      <c r="C615" s="13" t="n">
        <v>39887</v>
      </c>
      <c r="D615" s="13" t="n">
        <v>63715</v>
      </c>
      <c r="E615" s="6" t="n">
        <f>SUM(C615,D615)/2</f>
        <v>51801</v>
      </c>
      <c r="F615" s="12" t="n">
        <v>7402</v>
      </c>
      <c r="G615" s="12" t="n">
        <v>11031</v>
      </c>
      <c r="H615" s="6" t="n">
        <f>SUM(F615,G615)/2</f>
        <v>9216.5</v>
      </c>
    </row>
    <row r="616" s="18" customFormat="1" ht="14.399999999999999" customHeight="1">
      <c r="A616" s="10" t="s">
        <v>5773</v>
      </c>
      <c r="B616" s="10" t="s">
        <v>5774</v>
      </c>
      <c r="C616" s="13" t="n">
        <v>30749</v>
      </c>
      <c r="D616" s="13" t="n">
        <v>49117</v>
      </c>
      <c r="E616" s="6" t="n">
        <f>SUM(C616,D616)/2</f>
        <v>39933</v>
      </c>
      <c r="F616" s="12" t="n">
        <v>15825</v>
      </c>
      <c r="G616" s="12" t="n">
        <v>19510</v>
      </c>
      <c r="H616" s="6" t="n">
        <f>SUM(F616,G616)/2</f>
        <v>17667.5</v>
      </c>
    </row>
    <row r="617" s="18" customFormat="1" ht="14.399999999999999" customHeight="1">
      <c r="A617" s="10" t="s">
        <v>1715</v>
      </c>
      <c r="B617" s="10" t="s">
        <v>1716</v>
      </c>
      <c r="C617" s="10" t="n">
        <v>82</v>
      </c>
      <c r="D617" s="10" t="n">
        <v>130</v>
      </c>
      <c r="E617" s="6" t="n">
        <f>SUM(C617,D617)/2</f>
        <v>106</v>
      </c>
      <c r="F617" s="18" t="n">
        <v>4</v>
      </c>
      <c r="G617" s="18" t="n">
        <v>14</v>
      </c>
      <c r="H617" s="6" t="n">
        <f>SUM(F617,G617)/2</f>
        <v>9</v>
      </c>
    </row>
    <row r="618" s="18" customFormat="1" ht="14.399999999999999" customHeight="1">
      <c r="A618" s="10" t="s">
        <v>5775</v>
      </c>
      <c r="B618" s="10" t="s">
        <v>5776</v>
      </c>
      <c r="C618" s="13" t="n">
        <v>16151</v>
      </c>
      <c r="D618" s="13" t="n">
        <v>25799</v>
      </c>
      <c r="E618" s="6" t="n">
        <f>SUM(C618,D618)/2</f>
        <v>20975</v>
      </c>
      <c r="F618" s="12" t="n">
        <v>11091</v>
      </c>
      <c r="G618" s="12" t="n">
        <v>13825</v>
      </c>
      <c r="H618" s="6" t="n">
        <f>SUM(F618,G618)/2</f>
        <v>12458</v>
      </c>
    </row>
    <row r="619" s="18" customFormat="1" ht="14.399999999999999" customHeight="1">
      <c r="A619" s="10" t="s">
        <v>706</v>
      </c>
      <c r="B619" s="10" t="s">
        <v>707</v>
      </c>
      <c r="C619" s="13" t="n">
        <v>2492525</v>
      </c>
      <c r="D619" s="13" t="n">
        <v>3981569</v>
      </c>
      <c r="E619" s="6" t="n">
        <f>SUM(C619,D619)/2</f>
        <v>3237047</v>
      </c>
      <c r="F619" s="12" t="n">
        <v>465758</v>
      </c>
      <c r="G619" s="12" t="n">
        <v>745951</v>
      </c>
      <c r="H619" s="6" t="n">
        <f>SUM(F619,G619)/2</f>
        <v>605854.5</v>
      </c>
    </row>
    <row r="620" s="18" customFormat="1" ht="14.399999999999999" customHeight="1">
      <c r="A620" s="10" t="s">
        <v>3491</v>
      </c>
      <c r="B620" s="10" t="s">
        <v>3492</v>
      </c>
      <c r="C620" s="13" t="n">
        <v>53611</v>
      </c>
      <c r="D620" s="13" t="n">
        <v>85641</v>
      </c>
      <c r="E620" s="6" t="n">
        <f>SUM(C620,D620)/2</f>
        <v>69626</v>
      </c>
      <c r="F620" s="12" t="n">
        <v>25159</v>
      </c>
      <c r="G620" s="12" t="n">
        <v>31434</v>
      </c>
      <c r="H620" s="6" t="n">
        <f>SUM(F620,G620)/2</f>
        <v>28296.5</v>
      </c>
    </row>
    <row r="621" s="18" customFormat="1" ht="14.399999999999999" customHeight="1">
      <c r="A621" s="10" t="s">
        <v>4165</v>
      </c>
      <c r="B621" s="10" t="s">
        <v>4166</v>
      </c>
      <c r="C621" s="13" t="n">
        <v>28706</v>
      </c>
      <c r="D621" s="13" t="n">
        <v>45856</v>
      </c>
      <c r="E621" s="6" t="n">
        <f>SUM(C621,D621)/2</f>
        <v>37281</v>
      </c>
      <c r="F621" s="12" t="n">
        <v>11988</v>
      </c>
      <c r="G621" s="12" t="n">
        <v>13795</v>
      </c>
      <c r="H621" s="6" t="n">
        <f>SUM(F621,G621)/2</f>
        <v>12891.5</v>
      </c>
    </row>
    <row r="622" s="18" customFormat="1" ht="14.399999999999999" customHeight="1">
      <c r="A622" s="10" t="s">
        <v>4495</v>
      </c>
      <c r="B622" s="10" t="s">
        <v>4496</v>
      </c>
      <c r="C622" s="13" t="n">
        <v>16147</v>
      </c>
      <c r="D622" s="13" t="n">
        <v>25793</v>
      </c>
      <c r="E622" s="6" t="n">
        <f>SUM(C622,D622)/2</f>
        <v>20970</v>
      </c>
      <c r="F622" s="12" t="n">
        <v>9165</v>
      </c>
      <c r="G622" s="12" t="n">
        <v>12883</v>
      </c>
      <c r="H622" s="6" t="n">
        <f>SUM(F622,G622)/2</f>
        <v>11024</v>
      </c>
    </row>
    <row r="623" s="18" customFormat="1" ht="14.399999999999999" customHeight="1">
      <c r="A623" s="10" t="s">
        <v>2061</v>
      </c>
      <c r="B623" s="10" t="s">
        <v>2062</v>
      </c>
      <c r="C623" s="10" t="n">
        <v>35</v>
      </c>
      <c r="D623" s="10" t="n">
        <v>55</v>
      </c>
      <c r="E623" s="6" t="n">
        <f>SUM(C623,D623)/2</f>
        <v>45</v>
      </c>
      <c r="F623" s="18" t="n">
        <v>1</v>
      </c>
      <c r="G623" s="18" t="n">
        <v>1</v>
      </c>
      <c r="H623" s="6" t="n">
        <f>SUM(F623,G623)/2</f>
        <v>1</v>
      </c>
    </row>
    <row r="624" s="18" customFormat="1" ht="14.399999999999999" customHeight="1">
      <c r="A624" s="10" t="s">
        <v>1167</v>
      </c>
      <c r="B624" s="10" t="s">
        <v>1168</v>
      </c>
      <c r="C624" s="10" t="n">
        <v>378</v>
      </c>
      <c r="D624" s="10" t="n">
        <v>604</v>
      </c>
      <c r="E624" s="6" t="n">
        <f>SUM(C624,D624)/2</f>
        <v>491</v>
      </c>
      <c r="F624" s="18" t="n">
        <v>158</v>
      </c>
      <c r="G624" s="18" t="n">
        <v>181</v>
      </c>
      <c r="H624" s="6" t="n">
        <f>SUM(F624,G624)/2</f>
        <v>169.5</v>
      </c>
    </row>
    <row r="625" s="18" customFormat="1" ht="14.399999999999999" customHeight="1">
      <c r="A625" s="10" t="s">
        <v>4803</v>
      </c>
      <c r="B625" s="10" t="s">
        <v>4804</v>
      </c>
      <c r="C625" s="13" t="n">
        <v>10643</v>
      </c>
      <c r="D625" s="13" t="n">
        <v>17001</v>
      </c>
      <c r="E625" s="6" t="n">
        <f>SUM(C625,D625)/2</f>
        <v>13822</v>
      </c>
      <c r="F625" s="12" t="n">
        <v>7803</v>
      </c>
      <c r="G625" s="12" t="n">
        <v>9767</v>
      </c>
      <c r="H625" s="6" t="n">
        <f>SUM(F625,G625)/2</f>
        <v>8785</v>
      </c>
    </row>
    <row r="626" s="18" customFormat="1" ht="14.399999999999999" customHeight="1">
      <c r="A626" s="10" t="s">
        <v>5777</v>
      </c>
      <c r="B626" s="10" t="s">
        <v>5778</v>
      </c>
      <c r="C626" s="13" t="n">
        <v>10095</v>
      </c>
      <c r="D626" s="13" t="n">
        <v>16125</v>
      </c>
      <c r="E626" s="6" t="n">
        <f>SUM(C626,D626)/2</f>
        <v>13110</v>
      </c>
      <c r="F626" s="12" t="n">
        <v>16929</v>
      </c>
      <c r="G626" s="12" t="n">
        <v>25452</v>
      </c>
      <c r="H626" s="6" t="n">
        <f>SUM(F626,G626)/2</f>
        <v>21190.5</v>
      </c>
    </row>
    <row r="627" s="18" customFormat="1" ht="14.399999999999999" customHeight="1">
      <c r="A627" s="10" t="s">
        <v>2562</v>
      </c>
      <c r="B627" s="10" t="s">
        <v>2563</v>
      </c>
      <c r="C627" s="10" t="n">
        <v>5</v>
      </c>
      <c r="D627" s="10" t="n">
        <v>7</v>
      </c>
      <c r="E627" s="6" t="n">
        <f>SUM(C627,D627)/2</f>
        <v>6</v>
      </c>
      <c r="F627" s="18" t="n">
        <v>1</v>
      </c>
      <c r="G627" s="18" t="n">
        <v>1</v>
      </c>
      <c r="H627" s="6" t="n">
        <f>SUM(F627,G627)/2</f>
        <v>1</v>
      </c>
    </row>
    <row r="628" s="18" customFormat="1" ht="14.399999999999999" customHeight="1">
      <c r="A628" s="10" t="s">
        <v>2656</v>
      </c>
      <c r="B628" s="10" t="s">
        <v>2657</v>
      </c>
      <c r="C628" s="10" t="n">
        <v>4</v>
      </c>
      <c r="D628" s="10" t="n">
        <v>6</v>
      </c>
      <c r="E628" s="6" t="n">
        <f>SUM(C628,D628)/2</f>
        <v>5</v>
      </c>
      <c r="F628" s="18" t="n">
        <v>0</v>
      </c>
      <c r="G628" s="18" t="n">
        <v>0</v>
      </c>
      <c r="H628" s="6" t="n">
        <f>SUM(F628,G628)/2</f>
        <v>0</v>
      </c>
    </row>
    <row r="629" s="18" customFormat="1" ht="14.399999999999999" customHeight="1">
      <c r="A629" s="10" t="s">
        <v>718</v>
      </c>
      <c r="B629" s="10" t="s">
        <v>719</v>
      </c>
      <c r="C629" s="13" t="n">
        <v>1560095</v>
      </c>
      <c r="D629" s="13" t="n">
        <v>2492099</v>
      </c>
      <c r="E629" s="6" t="n">
        <f>SUM(C629,D629)/2</f>
        <v>2026097</v>
      </c>
      <c r="F629" s="12" t="n">
        <v>617470</v>
      </c>
      <c r="G629" s="12" t="n">
        <v>859991</v>
      </c>
      <c r="H629" s="6" t="n">
        <f>SUM(F629,G629)/2</f>
        <v>738730.5</v>
      </c>
    </row>
    <row r="630" s="18" customFormat="1" ht="14.399999999999999" customHeight="1">
      <c r="A630" s="10" t="s">
        <v>5779</v>
      </c>
      <c r="B630" s="10" t="s">
        <v>5780</v>
      </c>
      <c r="C630" s="13" t="n">
        <v>16527</v>
      </c>
      <c r="D630" s="13" t="n">
        <v>26397</v>
      </c>
      <c r="E630" s="6" t="n">
        <f>SUM(C630,D630)/2</f>
        <v>21462</v>
      </c>
      <c r="F630" s="12" t="n">
        <v>3287</v>
      </c>
      <c r="G630" s="12" t="n">
        <v>4474</v>
      </c>
      <c r="H630" s="6" t="n">
        <f>SUM(F630,G630)/2</f>
        <v>3880.5</v>
      </c>
    </row>
    <row r="631" s="18" customFormat="1" ht="14.399999999999999" customHeight="1">
      <c r="A631" s="10" t="s">
        <v>5781</v>
      </c>
      <c r="B631" s="10" t="s">
        <v>5782</v>
      </c>
      <c r="C631" s="13" t="n">
        <v>30567</v>
      </c>
      <c r="D631" s="13" t="n">
        <v>48827</v>
      </c>
      <c r="E631" s="6" t="n">
        <f>SUM(C631,D631)/2</f>
        <v>39697</v>
      </c>
      <c r="F631" s="12" t="n">
        <v>7638</v>
      </c>
      <c r="G631" s="12" t="n">
        <v>13015</v>
      </c>
      <c r="H631" s="6" t="n">
        <f>SUM(F631,G631)/2</f>
        <v>10326.5</v>
      </c>
    </row>
    <row r="632" s="18" customFormat="1" ht="14.399999999999999" customHeight="1">
      <c r="A632" s="10" t="s">
        <v>1972</v>
      </c>
      <c r="B632" s="10" t="s">
        <v>1973</v>
      </c>
      <c r="C632" s="10" t="n">
        <v>10</v>
      </c>
      <c r="D632" s="10" t="n">
        <v>16</v>
      </c>
      <c r="E632" s="6" t="n">
        <f>SUM(C632,D632)/2</f>
        <v>13</v>
      </c>
      <c r="F632" s="18" t="n">
        <v>9</v>
      </c>
      <c r="G632" s="18" t="n">
        <v>12</v>
      </c>
      <c r="H632" s="6" t="n">
        <f>SUM(F632,G632)/2</f>
        <v>10.5</v>
      </c>
    </row>
    <row r="633" s="18" customFormat="1" ht="14.399999999999999" customHeight="1">
      <c r="A633" s="10" t="s">
        <v>3983</v>
      </c>
      <c r="B633" s="10" t="s">
        <v>3984</v>
      </c>
      <c r="C633" s="13" t="n">
        <v>50788</v>
      </c>
      <c r="D633" s="13" t="n">
        <v>81132</v>
      </c>
      <c r="E633" s="6" t="n">
        <f>SUM(C633,D633)/2</f>
        <v>65960</v>
      </c>
      <c r="F633" s="12" t="n">
        <v>8725</v>
      </c>
      <c r="G633" s="12" t="n">
        <v>13768</v>
      </c>
      <c r="H633" s="6" t="n">
        <f>SUM(F633,G633)/2</f>
        <v>11246.5</v>
      </c>
    </row>
    <row r="634" s="18" customFormat="1" ht="14.399999999999999" customHeight="1">
      <c r="A634" s="10" t="s">
        <v>4751</v>
      </c>
      <c r="B634" s="10" t="s">
        <v>4752</v>
      </c>
      <c r="C634" s="13" t="n">
        <v>15143</v>
      </c>
      <c r="D634" s="13" t="n">
        <v>24187</v>
      </c>
      <c r="E634" s="6" t="n">
        <f>SUM(C634,D634)/2</f>
        <v>19665</v>
      </c>
      <c r="F634" s="12" t="n">
        <v>7552</v>
      </c>
      <c r="G634" s="12" t="n">
        <v>8612</v>
      </c>
      <c r="H634" s="6" t="n">
        <f>SUM(F634,G634)/2</f>
        <v>8082</v>
      </c>
    </row>
    <row r="635" s="18" customFormat="1" ht="14.399999999999999" customHeight="1">
      <c r="A635" s="10" t="s">
        <v>3065</v>
      </c>
      <c r="B635" s="10" t="s">
        <v>3066</v>
      </c>
      <c r="C635" s="13" t="n">
        <v>125737</v>
      </c>
      <c r="D635" s="13" t="n">
        <v>200851</v>
      </c>
      <c r="E635" s="6" t="n">
        <f>SUM(C635,D635)/2</f>
        <v>163294</v>
      </c>
      <c r="F635" s="12" t="n">
        <v>27975</v>
      </c>
      <c r="G635" s="12" t="n">
        <v>41119</v>
      </c>
      <c r="H635" s="6" t="n">
        <f>SUM(F635,G635)/2</f>
        <v>34547</v>
      </c>
    </row>
    <row r="636" s="18" customFormat="1" ht="14.399999999999999" customHeight="1">
      <c r="A636" s="10" t="s">
        <v>1637</v>
      </c>
      <c r="B636" s="10" t="s">
        <v>1638</v>
      </c>
      <c r="C636" s="10" t="n">
        <v>81</v>
      </c>
      <c r="D636" s="10" t="n">
        <v>129</v>
      </c>
      <c r="E636" s="6" t="n">
        <f>SUM(C636,D636)/2</f>
        <v>105</v>
      </c>
      <c r="F636" s="18" t="n">
        <v>18</v>
      </c>
      <c r="G636" s="18" t="n">
        <v>27</v>
      </c>
      <c r="H636" s="6" t="n">
        <f>SUM(F636,G636)/2</f>
        <v>22.5</v>
      </c>
    </row>
    <row r="637" s="18" customFormat="1" ht="14.399999999999999" customHeight="1">
      <c r="A637" s="10" t="s">
        <v>2853</v>
      </c>
      <c r="B637" s="10" t="s">
        <v>2854</v>
      </c>
      <c r="C637" s="10" t="n">
        <v>0</v>
      </c>
      <c r="D637" s="10" t="n">
        <v>0</v>
      </c>
      <c r="E637" s="6" t="n">
        <f>SUM(C637,D637)/2</f>
        <v>0</v>
      </c>
      <c r="F637" s="18" t="n">
        <v>0</v>
      </c>
      <c r="G637" s="18" t="n">
        <v>0</v>
      </c>
      <c r="H637" s="6" t="n">
        <f>SUM(F637,G637)/2</f>
        <v>0</v>
      </c>
    </row>
    <row r="638" s="18" customFormat="1" ht="14.399999999999999" customHeight="1">
      <c r="A638" s="10" t="s">
        <v>5783</v>
      </c>
      <c r="B638" s="10" t="s">
        <v>5784</v>
      </c>
      <c r="C638" s="10" t="n">
        <v>0</v>
      </c>
      <c r="D638" s="10" t="n">
        <v>0</v>
      </c>
      <c r="E638" s="6" t="n">
        <f>SUM(C638,D638)/2</f>
        <v>0</v>
      </c>
      <c r="F638" s="18" t="n">
        <v>0</v>
      </c>
      <c r="G638" s="18" t="n">
        <v>0</v>
      </c>
      <c r="H638" s="6" t="n">
        <f>SUM(F638,G638)/2</f>
        <v>0</v>
      </c>
    </row>
    <row r="639" s="18" customFormat="1" ht="14.399999999999999" customHeight="1">
      <c r="A639" s="10" t="s">
        <v>4933</v>
      </c>
      <c r="B639" s="10" t="s">
        <v>4934</v>
      </c>
      <c r="C639" s="13" t="n">
        <v>9153</v>
      </c>
      <c r="D639" s="13" t="n">
        <v>14621</v>
      </c>
      <c r="E639" s="6" t="n">
        <f>SUM(C639,D639)/2</f>
        <v>11887</v>
      </c>
      <c r="F639" s="12" t="n">
        <v>6964</v>
      </c>
      <c r="G639" s="12" t="n">
        <v>8915</v>
      </c>
      <c r="H639" s="6" t="n">
        <f>SUM(F639,G639)/2</f>
        <v>7939.5</v>
      </c>
    </row>
    <row r="640" s="18" customFormat="1" ht="14.399999999999999" customHeight="1">
      <c r="A640" s="10" t="s">
        <v>3543</v>
      </c>
      <c r="B640" s="10" t="s">
        <v>3544</v>
      </c>
      <c r="C640" s="13" t="n">
        <v>108148</v>
      </c>
      <c r="D640" s="13" t="n">
        <v>172756</v>
      </c>
      <c r="E640" s="6" t="n">
        <f>SUM(C640,D640)/2</f>
        <v>140452</v>
      </c>
      <c r="F640" s="12" t="n">
        <v>9180</v>
      </c>
      <c r="G640" s="12" t="n">
        <v>13040</v>
      </c>
      <c r="H640" s="6" t="n">
        <f>SUM(F640,G640)/2</f>
        <v>11110</v>
      </c>
    </row>
    <row r="641" s="18" customFormat="1" ht="14.399999999999999" customHeight="1">
      <c r="A641" s="10" t="s">
        <v>4371</v>
      </c>
      <c r="B641" s="10" t="s">
        <v>4372</v>
      </c>
      <c r="C641" s="13" t="n">
        <v>28430</v>
      </c>
      <c r="D641" s="13" t="n">
        <v>45414</v>
      </c>
      <c r="E641" s="6" t="n">
        <f>SUM(C641,D641)/2</f>
        <v>36922</v>
      </c>
      <c r="F641" s="12" t="n">
        <v>7599</v>
      </c>
      <c r="G641" s="12" t="n">
        <v>11034</v>
      </c>
      <c r="H641" s="6" t="n">
        <f>SUM(F641,G641)/2</f>
        <v>9316.5</v>
      </c>
    </row>
    <row r="642" s="18" customFormat="1" ht="14.399999999999999" customHeight="1">
      <c r="A642" s="10" t="s">
        <v>3257</v>
      </c>
      <c r="B642" s="10" t="s">
        <v>3258</v>
      </c>
      <c r="C642" s="13" t="n">
        <v>71360</v>
      </c>
      <c r="D642" s="13" t="n">
        <v>113990</v>
      </c>
      <c r="E642" s="6" t="n">
        <f>SUM(C642,D642)/2</f>
        <v>92675</v>
      </c>
      <c r="F642" s="12" t="n">
        <v>28499</v>
      </c>
      <c r="G642" s="12" t="n">
        <v>45539</v>
      </c>
      <c r="H642" s="6" t="n">
        <f>SUM(F642,G642)/2</f>
        <v>37019</v>
      </c>
    </row>
    <row r="643" s="18" customFormat="1" ht="14.399999999999999" customHeight="1">
      <c r="A643" s="10" t="s">
        <v>5785</v>
      </c>
      <c r="B643" s="10" t="s">
        <v>5786</v>
      </c>
      <c r="C643" s="13" t="n">
        <v>21069</v>
      </c>
      <c r="D643" s="13" t="n">
        <v>33655</v>
      </c>
      <c r="E643" s="6" t="n">
        <f>SUM(C643,D643)/2</f>
        <v>27362</v>
      </c>
      <c r="F643" s="12" t="n">
        <v>11538</v>
      </c>
      <c r="G643" s="12" t="n">
        <v>15393</v>
      </c>
      <c r="H643" s="6" t="n">
        <f>SUM(F643,G643)/2</f>
        <v>13465.5</v>
      </c>
    </row>
    <row r="644" s="18" customFormat="1" ht="14.399999999999999" customHeight="1">
      <c r="A644" s="10" t="s">
        <v>3547</v>
      </c>
      <c r="B644" s="10" t="s">
        <v>3548</v>
      </c>
      <c r="C644" s="13" t="n">
        <v>34387</v>
      </c>
      <c r="D644" s="13" t="n">
        <v>54931</v>
      </c>
      <c r="E644" s="6" t="n">
        <f>SUM(C644,D644)/2</f>
        <v>44659</v>
      </c>
      <c r="F644" s="12" t="n">
        <v>26058</v>
      </c>
      <c r="G644" s="12" t="n">
        <v>36608</v>
      </c>
      <c r="H644" s="6" t="n">
        <f>SUM(F644,G644)/2</f>
        <v>31333</v>
      </c>
    </row>
    <row r="645" s="18" customFormat="1" ht="14.399999999999999" customHeight="1">
      <c r="A645" s="10" t="s">
        <v>1797</v>
      </c>
      <c r="B645" s="10" t="s">
        <v>1798</v>
      </c>
      <c r="C645" s="10" t="n">
        <v>15</v>
      </c>
      <c r="D645" s="10" t="n">
        <v>25</v>
      </c>
      <c r="E645" s="6" t="n">
        <f>SUM(C645,D645)/2</f>
        <v>20</v>
      </c>
      <c r="F645" s="18" t="n">
        <v>16</v>
      </c>
      <c r="G645" s="18" t="n">
        <v>21</v>
      </c>
      <c r="H645" s="6" t="n">
        <f>SUM(F645,G645)/2</f>
        <v>18.5</v>
      </c>
    </row>
    <row r="646" s="18" customFormat="1" ht="14.399999999999999" customHeight="1">
      <c r="A646" s="10" t="s">
        <v>2855</v>
      </c>
      <c r="B646" s="10" t="s">
        <v>2856</v>
      </c>
      <c r="C646" s="10" t="n">
        <v>0</v>
      </c>
      <c r="D646" s="10" t="n">
        <v>0</v>
      </c>
      <c r="E646" s="6" t="n">
        <f>SUM(C646,D646)/2</f>
        <v>0</v>
      </c>
      <c r="F646" s="18" t="n">
        <v>0</v>
      </c>
      <c r="G646" s="18" t="n">
        <v>0</v>
      </c>
      <c r="H646" s="6" t="n">
        <f>SUM(F646,G646)/2</f>
        <v>0</v>
      </c>
    </row>
    <row r="647" s="18" customFormat="1" ht="14.399999999999999" customHeight="1">
      <c r="A647" s="10" t="s">
        <v>5787</v>
      </c>
      <c r="B647" s="10" t="s">
        <v>5788</v>
      </c>
      <c r="C647" s="13" t="n">
        <v>15485</v>
      </c>
      <c r="D647" s="13" t="n">
        <v>24733</v>
      </c>
      <c r="E647" s="6" t="n">
        <f>SUM(C647,D647)/2</f>
        <v>20109</v>
      </c>
      <c r="F647" s="12" t="n">
        <v>12437</v>
      </c>
      <c r="G647" s="12" t="n">
        <v>14504</v>
      </c>
      <c r="H647" s="6" t="n">
        <f>SUM(F647,G647)/2</f>
        <v>13470.5</v>
      </c>
    </row>
    <row r="648" s="18" customFormat="1" ht="14.399999999999999" customHeight="1">
      <c r="A648" s="10" t="s">
        <v>3093</v>
      </c>
      <c r="B648" s="10" t="s">
        <v>3094</v>
      </c>
      <c r="C648" s="13" t="n">
        <v>632612</v>
      </c>
      <c r="D648" s="13" t="n">
        <v>1010536</v>
      </c>
      <c r="E648" s="6" t="n">
        <f>SUM(C648,D648)/2</f>
        <v>821574</v>
      </c>
      <c r="F648" s="12" t="n">
        <v>47333</v>
      </c>
      <c r="G648" s="12" t="n">
        <v>91624</v>
      </c>
      <c r="H648" s="6" t="n">
        <f>SUM(F648,G648)/2</f>
        <v>69478.5</v>
      </c>
    </row>
    <row r="649" s="18" customFormat="1" ht="14.399999999999999" customHeight="1">
      <c r="A649" s="10" t="s">
        <v>863</v>
      </c>
      <c r="B649" s="10" t="s">
        <v>864</v>
      </c>
      <c r="C649" s="13" t="n">
        <v>1036742</v>
      </c>
      <c r="D649" s="13" t="n">
        <v>1656096</v>
      </c>
      <c r="E649" s="6" t="n">
        <f>SUM(C649,D649)/2</f>
        <v>1346419</v>
      </c>
      <c r="F649" s="12" t="n">
        <v>58688</v>
      </c>
      <c r="G649" s="12" t="n">
        <v>252486</v>
      </c>
      <c r="H649" s="6" t="n">
        <f>SUM(F649,G649)/2</f>
        <v>155587</v>
      </c>
    </row>
    <row r="650" s="18" customFormat="1" ht="14.399999999999999" customHeight="1">
      <c r="A650" s="10" t="s">
        <v>3127</v>
      </c>
      <c r="B650" s="10" t="s">
        <v>3128</v>
      </c>
      <c r="C650" s="13" t="n">
        <v>208891</v>
      </c>
      <c r="D650" s="13" t="n">
        <v>333683</v>
      </c>
      <c r="E650" s="6" t="n">
        <f>SUM(C650,D650)/2</f>
        <v>271287</v>
      </c>
      <c r="F650" s="12" t="n">
        <v>112515</v>
      </c>
      <c r="G650" s="12" t="n">
        <v>142009</v>
      </c>
      <c r="H650" s="6" t="n">
        <f>SUM(F650,G650)/2</f>
        <v>127262</v>
      </c>
    </row>
    <row r="651" s="18" customFormat="1" ht="14.399999999999999" customHeight="1">
      <c r="A651" s="10" t="s">
        <v>4025</v>
      </c>
      <c r="B651" s="10" t="s">
        <v>4026</v>
      </c>
      <c r="C651" s="13" t="n">
        <v>48435</v>
      </c>
      <c r="D651" s="13" t="n">
        <v>77371</v>
      </c>
      <c r="E651" s="6" t="n">
        <f>SUM(C651,D651)/2</f>
        <v>62903</v>
      </c>
      <c r="F651" s="12" t="n">
        <v>8530</v>
      </c>
      <c r="G651" s="12" t="n">
        <v>13610</v>
      </c>
      <c r="H651" s="6" t="n">
        <f>SUM(F651,G651)/2</f>
        <v>11070</v>
      </c>
    </row>
    <row r="652" s="18" customFormat="1" ht="14.399999999999999" customHeight="1">
      <c r="A652" s="10" t="s">
        <v>1218</v>
      </c>
      <c r="B652" s="10" t="s">
        <v>1219</v>
      </c>
      <c r="C652" s="10" t="n">
        <v>43</v>
      </c>
      <c r="D652" s="10" t="n">
        <v>69</v>
      </c>
      <c r="E652" s="6" t="n">
        <f>SUM(C652,D652)/2</f>
        <v>56</v>
      </c>
      <c r="F652" s="18" t="n">
        <v>153</v>
      </c>
      <c r="G652" s="18" t="n">
        <v>221</v>
      </c>
      <c r="H652" s="6" t="n">
        <f>SUM(F652,G652)/2</f>
        <v>187</v>
      </c>
    </row>
    <row r="653" s="18" customFormat="1" ht="14.399999999999999" customHeight="1">
      <c r="A653" s="10" t="s">
        <v>2857</v>
      </c>
      <c r="B653" s="10" t="s">
        <v>2858</v>
      </c>
      <c r="C653" s="10" t="n">
        <v>0</v>
      </c>
      <c r="D653" s="10" t="n">
        <v>0</v>
      </c>
      <c r="E653" s="6" t="n">
        <f>SUM(C653,D653)/2</f>
        <v>0</v>
      </c>
      <c r="F653" s="18" t="n">
        <v>0</v>
      </c>
      <c r="G653" s="18" t="n">
        <v>0</v>
      </c>
      <c r="H653" s="6" t="n">
        <f>SUM(F653,G653)/2</f>
        <v>0</v>
      </c>
    </row>
    <row r="654" s="18" customFormat="1" ht="14.399999999999999" customHeight="1">
      <c r="A654" s="10" t="s">
        <v>5789</v>
      </c>
      <c r="B654" s="10" t="s">
        <v>5790</v>
      </c>
      <c r="C654" s="13" t="n">
        <v>21841</v>
      </c>
      <c r="D654" s="13" t="n">
        <v>34887</v>
      </c>
      <c r="E654" s="6" t="n">
        <f>SUM(C654,D654)/2</f>
        <v>28364</v>
      </c>
      <c r="F654" s="12" t="n">
        <v>5013</v>
      </c>
      <c r="G654" s="12" t="n">
        <v>6833</v>
      </c>
      <c r="H654" s="6" t="n">
        <f>SUM(F654,G654)/2</f>
        <v>5923</v>
      </c>
    </row>
    <row r="655" s="18" customFormat="1" ht="14.399999999999999" customHeight="1">
      <c r="A655" s="10" t="s">
        <v>1425</v>
      </c>
      <c r="B655" s="10" t="s">
        <v>1426</v>
      </c>
      <c r="C655" s="10" t="n">
        <v>12</v>
      </c>
      <c r="D655" s="10" t="n">
        <v>18</v>
      </c>
      <c r="E655" s="6" t="n">
        <f>SUM(C655,D655)/2</f>
        <v>15</v>
      </c>
      <c r="F655" s="18" t="n">
        <v>0</v>
      </c>
      <c r="G655" s="18" t="n">
        <v>0</v>
      </c>
      <c r="H655" s="6" t="n">
        <f>SUM(F655,G655)/2</f>
        <v>0</v>
      </c>
    </row>
    <row r="656" s="18" customFormat="1" ht="14.399999999999999" customHeight="1">
      <c r="A656" s="10" t="s">
        <v>3939</v>
      </c>
      <c r="B656" s="10" t="s">
        <v>3940</v>
      </c>
      <c r="C656" s="13" t="n">
        <v>42049</v>
      </c>
      <c r="D656" s="13" t="n">
        <v>67169</v>
      </c>
      <c r="E656" s="6" t="n">
        <f>SUM(C656,D656)/2</f>
        <v>54609</v>
      </c>
      <c r="F656" s="12" t="n">
        <v>11248</v>
      </c>
      <c r="G656" s="12" t="n">
        <v>17317</v>
      </c>
      <c r="H656" s="6" t="n">
        <f>SUM(F656,G656)/2</f>
        <v>14282.5</v>
      </c>
    </row>
    <row r="657" s="18" customFormat="1" ht="14.399999999999999" customHeight="1">
      <c r="A657" s="10" t="s">
        <v>5791</v>
      </c>
      <c r="B657" s="10" t="s">
        <v>5792</v>
      </c>
      <c r="C657" s="13" t="n">
        <v>18274</v>
      </c>
      <c r="D657" s="13" t="n">
        <v>29190</v>
      </c>
      <c r="E657" s="6" t="n">
        <f>SUM(C657,D657)/2</f>
        <v>23732</v>
      </c>
      <c r="F657" s="12" t="n">
        <v>5201</v>
      </c>
      <c r="G657" s="12" t="n">
        <v>9316</v>
      </c>
      <c r="H657" s="6" t="n">
        <f>SUM(F657,G657)/2</f>
        <v>7258.5</v>
      </c>
    </row>
    <row r="658" s="18" customFormat="1" ht="14.399999999999999" customHeight="1">
      <c r="A658" s="10" t="s">
        <v>5793</v>
      </c>
      <c r="B658" s="10" t="s">
        <v>5794</v>
      </c>
      <c r="C658" s="13" t="n">
        <v>48461</v>
      </c>
      <c r="D658" s="13" t="n">
        <v>77413</v>
      </c>
      <c r="E658" s="6" t="n">
        <f>SUM(C658,D658)/2</f>
        <v>62937</v>
      </c>
      <c r="F658" s="12" t="n">
        <v>25635</v>
      </c>
      <c r="G658" s="12" t="n">
        <v>36206</v>
      </c>
      <c r="H658" s="6" t="n">
        <f>SUM(F658,G658)/2</f>
        <v>30920.5</v>
      </c>
    </row>
    <row r="659" s="18" customFormat="1" ht="14.399999999999999" customHeight="1">
      <c r="A659" s="10" t="s">
        <v>4341</v>
      </c>
      <c r="B659" s="10" t="s">
        <v>4342</v>
      </c>
      <c r="C659" s="13" t="n">
        <v>33882</v>
      </c>
      <c r="D659" s="13" t="n">
        <v>54124</v>
      </c>
      <c r="E659" s="6" t="n">
        <f>SUM(C659,D659)/2</f>
        <v>44003</v>
      </c>
      <c r="F659" s="12" t="n">
        <v>6806</v>
      </c>
      <c r="G659" s="12" t="n">
        <v>10015</v>
      </c>
      <c r="H659" s="6" t="n">
        <f>SUM(F659,G659)/2</f>
        <v>8410.5</v>
      </c>
    </row>
    <row r="660" s="18" customFormat="1" ht="14.399999999999999" customHeight="1">
      <c r="A660" s="10" t="s">
        <v>5795</v>
      </c>
      <c r="B660" s="10" t="s">
        <v>5796</v>
      </c>
      <c r="C660" s="13" t="n">
        <v>133533</v>
      </c>
      <c r="D660" s="13" t="n">
        <v>213307</v>
      </c>
      <c r="E660" s="6" t="n">
        <f>SUM(C660,D660)/2</f>
        <v>173420</v>
      </c>
      <c r="F660" s="12" t="n">
        <v>122435</v>
      </c>
      <c r="G660" s="12" t="n">
        <v>171046</v>
      </c>
      <c r="H660" s="6" t="n">
        <f>SUM(F660,G660)/2</f>
        <v>146740.5</v>
      </c>
    </row>
    <row r="661" s="18" customFormat="1" ht="14.399999999999999" customHeight="1">
      <c r="A661" s="10" t="s">
        <v>5797</v>
      </c>
      <c r="B661" s="10" t="s">
        <v>5798</v>
      </c>
      <c r="C661" s="10" t="n">
        <v>2</v>
      </c>
      <c r="D661" s="10" t="n">
        <v>2</v>
      </c>
      <c r="E661" s="6" t="n">
        <f>SUM(C661,D661)/2</f>
        <v>2</v>
      </c>
      <c r="F661" s="18" t="n">
        <v>2</v>
      </c>
      <c r="G661" s="18" t="n">
        <v>2</v>
      </c>
      <c r="H661" s="6" t="n">
        <f>SUM(F661,G661)/2</f>
        <v>2</v>
      </c>
    </row>
    <row r="662" s="18" customFormat="1" ht="14.399999999999999" customHeight="1">
      <c r="A662" s="10" t="s">
        <v>1029</v>
      </c>
      <c r="B662" s="10" t="s">
        <v>143</v>
      </c>
      <c r="C662" s="13" t="n">
        <v>19123</v>
      </c>
      <c r="D662" s="13" t="n">
        <v>30549</v>
      </c>
      <c r="E662" s="6" t="n">
        <f>SUM(C662,D662)/2</f>
        <v>24836</v>
      </c>
      <c r="F662" s="18" t="n">
        <v>2207</v>
      </c>
      <c r="G662" s="18" t="n">
        <v>2766</v>
      </c>
      <c r="H662" s="6" t="n">
        <f>SUM(F662,G662)/2</f>
        <v>2486.5</v>
      </c>
    </row>
    <row r="663" s="18" customFormat="1" ht="14.399999999999999" customHeight="1">
      <c r="A663" s="10" t="s">
        <v>5799</v>
      </c>
      <c r="B663" s="10" t="s">
        <v>5800</v>
      </c>
      <c r="C663" s="13" t="n">
        <v>23481</v>
      </c>
      <c r="D663" s="13" t="n">
        <v>37510</v>
      </c>
      <c r="E663" s="6" t="n">
        <f>SUM(C663,D663)/2</f>
        <v>30495.5</v>
      </c>
      <c r="F663" s="12" t="n">
        <v>8568</v>
      </c>
      <c r="G663" s="12" t="n">
        <v>16407</v>
      </c>
      <c r="H663" s="6" t="n">
        <f>SUM(F663,G663)/2</f>
        <v>12487.5</v>
      </c>
    </row>
    <row r="664" s="18" customFormat="1" ht="14.399999999999999" customHeight="1">
      <c r="A664" s="10" t="s">
        <v>895</v>
      </c>
      <c r="B664" s="10" t="s">
        <v>896</v>
      </c>
      <c r="C664" s="10"/>
      <c r="D664" s="10"/>
      <c r="E664" s="6" t="n">
        <f>SUM(C664,D664)/2</f>
        <v>0</v>
      </c>
      <c r="F664" s="12" t="n">
        <v>134333</v>
      </c>
      <c r="G664" s="12" t="n">
        <v>252167</v>
      </c>
      <c r="H664" s="6" t="n">
        <f>SUM(F664,G664)/2</f>
        <v>193250</v>
      </c>
    </row>
    <row r="665" s="18" customFormat="1" ht="14.399999999999999" customHeight="1">
      <c r="A665" s="10" t="s">
        <v>2859</v>
      </c>
      <c r="B665" s="10" t="s">
        <v>2860</v>
      </c>
      <c r="C665" s="10" t="n">
        <v>0</v>
      </c>
      <c r="D665" s="10" t="n">
        <v>0</v>
      </c>
      <c r="E665" s="6" t="n">
        <f>SUM(C665,D665)/2</f>
        <v>0</v>
      </c>
      <c r="F665" s="18" t="n">
        <v>0</v>
      </c>
      <c r="G665" s="18" t="n">
        <v>0</v>
      </c>
      <c r="H665" s="6" t="n">
        <f>SUM(F665,G665)/2</f>
        <v>0</v>
      </c>
    </row>
    <row r="666" s="18" customFormat="1" ht="14.399999999999999" customHeight="1">
      <c r="A666" s="10" t="s">
        <v>1035</v>
      </c>
      <c r="B666" s="10" t="s">
        <v>1036</v>
      </c>
      <c r="C666" s="10" t="n">
        <v>4</v>
      </c>
      <c r="D666" s="10" t="n">
        <v>6</v>
      </c>
      <c r="E666" s="6" t="n">
        <f>SUM(C666,D666)/2</f>
        <v>5</v>
      </c>
      <c r="F666" s="18" t="n">
        <v>6</v>
      </c>
      <c r="G666" s="18" t="n">
        <v>10</v>
      </c>
      <c r="H666" s="6" t="n">
        <f>SUM(F666,G666)/2</f>
        <v>8</v>
      </c>
    </row>
    <row r="667" s="18" customFormat="1" ht="14.399999999999999" customHeight="1">
      <c r="A667" s="10" t="s">
        <v>2426</v>
      </c>
      <c r="B667" s="10" t="s">
        <v>2427</v>
      </c>
      <c r="C667" s="10" t="n">
        <v>8</v>
      </c>
      <c r="D667" s="10" t="n">
        <v>12</v>
      </c>
      <c r="E667" s="6" t="n">
        <f>SUM(C667,D667)/2</f>
        <v>10</v>
      </c>
      <c r="F667" s="18" t="n">
        <v>2</v>
      </c>
      <c r="G667" s="18" t="n">
        <v>2</v>
      </c>
      <c r="H667" s="6" t="n">
        <f>SUM(F667,G667)/2</f>
        <v>2</v>
      </c>
    </row>
    <row r="668" s="18" customFormat="1" ht="14.399999999999999" customHeight="1">
      <c r="A668" s="10" t="s">
        <v>1577</v>
      </c>
      <c r="B668" s="10" t="s">
        <v>1578</v>
      </c>
      <c r="C668" s="10" t="n">
        <v>60</v>
      </c>
      <c r="D668" s="10" t="n">
        <v>94</v>
      </c>
      <c r="E668" s="6" t="n">
        <f>SUM(C668,D668)/2</f>
        <v>77</v>
      </c>
      <c r="F668" s="18" t="n">
        <v>26</v>
      </c>
      <c r="G668" s="18" t="n">
        <v>38</v>
      </c>
      <c r="H668" s="6" t="n">
        <f>SUM(F668,G668)/2</f>
        <v>32</v>
      </c>
    </row>
    <row r="669" s="18" customFormat="1" ht="14.399999999999999" customHeight="1">
      <c r="A669" s="10" t="s">
        <v>1964</v>
      </c>
      <c r="B669" s="10" t="s">
        <v>1965</v>
      </c>
      <c r="C669" s="10" t="n">
        <v>45</v>
      </c>
      <c r="D669" s="10" t="n">
        <v>73</v>
      </c>
      <c r="E669" s="6" t="n">
        <f>SUM(C669,D669)/2</f>
        <v>59</v>
      </c>
      <c r="F669" s="18" t="n">
        <v>1</v>
      </c>
      <c r="G669" s="18" t="n">
        <v>1</v>
      </c>
      <c r="H669" s="6" t="n">
        <f>SUM(F669,G669)/2</f>
        <v>1</v>
      </c>
    </row>
    <row r="670" s="18" customFormat="1" ht="14.399999999999999" customHeight="1">
      <c r="A670" s="10" t="s">
        <v>3597</v>
      </c>
      <c r="B670" s="10" t="s">
        <v>3598</v>
      </c>
      <c r="C670" s="13" t="n">
        <v>66403</v>
      </c>
      <c r="D670" s="13" t="n">
        <v>106073</v>
      </c>
      <c r="E670" s="6" t="n">
        <f>SUM(C670,D670)/2</f>
        <v>86238</v>
      </c>
      <c r="F670" s="12" t="n">
        <v>16534</v>
      </c>
      <c r="G670" s="12" t="n">
        <v>22378</v>
      </c>
      <c r="H670" s="6" t="n">
        <f>SUM(F670,G670)/2</f>
        <v>19456</v>
      </c>
    </row>
    <row r="671" s="18" customFormat="1" ht="14.399999999999999" customHeight="1">
      <c r="A671" s="10" t="s">
        <v>5801</v>
      </c>
      <c r="B671" s="10" t="s">
        <v>5802</v>
      </c>
      <c r="C671" s="13" t="n">
        <v>45407</v>
      </c>
      <c r="D671" s="13" t="n">
        <v>72531</v>
      </c>
      <c r="E671" s="6" t="n">
        <f>SUM(C671,D671)/2</f>
        <v>58969</v>
      </c>
      <c r="F671" s="12" t="n">
        <v>10294</v>
      </c>
      <c r="G671" s="12" t="n">
        <v>13660</v>
      </c>
      <c r="H671" s="6" t="n">
        <f>SUM(F671,G671)/2</f>
        <v>11977</v>
      </c>
    </row>
    <row r="672" s="18" customFormat="1" ht="14.399999999999999" customHeight="1">
      <c r="A672" s="10" t="s">
        <v>4335</v>
      </c>
      <c r="B672" s="10" t="s">
        <v>4336</v>
      </c>
      <c r="C672" s="13" t="n">
        <v>43577</v>
      </c>
      <c r="D672" s="13" t="n">
        <v>69610</v>
      </c>
      <c r="E672" s="6" t="n">
        <f>SUM(C672,D672)/2</f>
        <v>56593.5</v>
      </c>
      <c r="F672" s="12" t="n">
        <v>5260</v>
      </c>
      <c r="G672" s="12" t="n">
        <v>6331</v>
      </c>
      <c r="H672" s="6" t="n">
        <f>SUM(F672,G672)/2</f>
        <v>5795.5</v>
      </c>
    </row>
    <row r="673" s="18" customFormat="1" ht="14.399999999999999" customHeight="1">
      <c r="A673" s="10" t="s">
        <v>2795</v>
      </c>
      <c r="B673" s="10" t="s">
        <v>2796</v>
      </c>
      <c r="C673" s="10" t="n">
        <v>1</v>
      </c>
      <c r="D673" s="10" t="n">
        <v>1</v>
      </c>
      <c r="E673" s="6" t="n">
        <f>SUM(C673,D673)/2</f>
        <v>1</v>
      </c>
      <c r="F673" s="18" t="n">
        <v>0</v>
      </c>
      <c r="G673" s="18" t="n">
        <v>0</v>
      </c>
      <c r="H673" s="6" t="n">
        <f>SUM(F673,G673)/2</f>
        <v>0</v>
      </c>
    </row>
    <row r="674" s="18" customFormat="1" ht="14.399999999999999" customHeight="1">
      <c r="A674" s="10" t="s">
        <v>861</v>
      </c>
      <c r="B674" s="10" t="s">
        <v>862</v>
      </c>
      <c r="C674" s="13" t="n">
        <v>798078</v>
      </c>
      <c r="D674" s="13" t="n">
        <v>1274850</v>
      </c>
      <c r="E674" s="6" t="n">
        <f>SUM(C674,D674)/2</f>
        <v>1036464</v>
      </c>
      <c r="F674" s="12" t="n">
        <v>186937</v>
      </c>
      <c r="G674" s="12" t="n">
        <v>257881</v>
      </c>
      <c r="H674" s="6" t="n">
        <f>SUM(F674,G674)/2</f>
        <v>222409</v>
      </c>
    </row>
    <row r="675" s="18" customFormat="1" ht="14.399999999999999" customHeight="1">
      <c r="A675" s="10" t="s">
        <v>2861</v>
      </c>
      <c r="B675" s="10" t="s">
        <v>2862</v>
      </c>
      <c r="C675" s="10" t="n">
        <v>0</v>
      </c>
      <c r="D675" s="10" t="n">
        <v>0</v>
      </c>
      <c r="E675" s="6" t="n">
        <f>SUM(C675,D675)/2</f>
        <v>0</v>
      </c>
      <c r="F675" s="18" t="n">
        <v>0</v>
      </c>
      <c r="G675" s="18" t="n">
        <v>0</v>
      </c>
      <c r="H675" s="6" t="n">
        <f>SUM(F675,G675)/2</f>
        <v>0</v>
      </c>
    </row>
    <row r="676" s="18" customFormat="1" ht="14.399999999999999" customHeight="1">
      <c r="A676" s="10" t="s">
        <v>1391</v>
      </c>
      <c r="B676" s="10" t="s">
        <v>1392</v>
      </c>
      <c r="C676" s="10" t="n">
        <v>122</v>
      </c>
      <c r="D676" s="10" t="n">
        <v>196</v>
      </c>
      <c r="E676" s="6" t="n">
        <f>SUM(C676,D676)/2</f>
        <v>159</v>
      </c>
      <c r="F676" s="18" t="n">
        <v>5</v>
      </c>
      <c r="G676" s="18" t="n">
        <v>7</v>
      </c>
      <c r="H676" s="6" t="n">
        <f>SUM(F676,G676)/2</f>
        <v>6</v>
      </c>
    </row>
    <row r="677" s="18" customFormat="1" ht="14.399999999999999" customHeight="1">
      <c r="A677" s="10" t="s">
        <v>4047</v>
      </c>
      <c r="B677" s="10" t="s">
        <v>4048</v>
      </c>
      <c r="C677" s="10"/>
      <c r="D677" s="10"/>
      <c r="E677" s="6" t="n">
        <f>SUM(C677,D677)/2</f>
        <v>0</v>
      </c>
      <c r="F677" s="12" t="n">
        <v>9954</v>
      </c>
      <c r="G677" s="12" t="n">
        <v>13959</v>
      </c>
      <c r="H677" s="6" t="n">
        <f>SUM(F677,G677)/2</f>
        <v>11956.5</v>
      </c>
    </row>
    <row r="678" s="18" customFormat="1" ht="14.399999999999999" customHeight="1">
      <c r="A678" s="10" t="s">
        <v>1467</v>
      </c>
      <c r="B678" s="10" t="s">
        <v>1468</v>
      </c>
      <c r="C678" s="10" t="n">
        <v>23</v>
      </c>
      <c r="D678" s="10" t="n">
        <v>37</v>
      </c>
      <c r="E678" s="6" t="n">
        <f>SUM(C678,D678)/2</f>
        <v>30</v>
      </c>
      <c r="F678" s="18" t="n">
        <v>49</v>
      </c>
      <c r="G678" s="18" t="n">
        <v>54</v>
      </c>
      <c r="H678" s="6" t="n">
        <f>SUM(F678,G678)/2</f>
        <v>51.5</v>
      </c>
    </row>
    <row r="679" s="18" customFormat="1" ht="14.399999999999999" customHeight="1">
      <c r="A679" s="10" t="s">
        <v>104</v>
      </c>
      <c r="B679" s="10" t="s">
        <v>105</v>
      </c>
      <c r="C679" s="13" t="n">
        <v>37401</v>
      </c>
      <c r="D679" s="13" t="n">
        <v>59745</v>
      </c>
      <c r="E679" s="6" t="n">
        <f>SUM(C679,D679)/2</f>
        <v>48573</v>
      </c>
      <c r="F679" s="12" t="n">
        <v>3525</v>
      </c>
      <c r="G679" s="12" t="n">
        <v>5738</v>
      </c>
      <c r="H679" s="6" t="n">
        <f>SUM(F679,G679)/2</f>
        <v>4631.5</v>
      </c>
    </row>
    <row r="680" s="18" customFormat="1" ht="14.399999999999999" customHeight="1">
      <c r="A680" s="10" t="s">
        <v>1779</v>
      </c>
      <c r="B680" s="10" t="s">
        <v>1780</v>
      </c>
      <c r="C680" s="10" t="n">
        <v>44</v>
      </c>
      <c r="D680" s="10" t="n">
        <v>70</v>
      </c>
      <c r="E680" s="6" t="n">
        <f>SUM(C680,D680)/2</f>
        <v>57</v>
      </c>
      <c r="F680" s="18" t="n">
        <v>9</v>
      </c>
      <c r="G680" s="18" t="n">
        <v>14</v>
      </c>
      <c r="H680" s="6" t="n">
        <f>SUM(F680,G680)/2</f>
        <v>11.5</v>
      </c>
    </row>
    <row r="681" s="18" customFormat="1" ht="14.399999999999999" customHeight="1">
      <c r="A681" s="10" t="s">
        <v>5803</v>
      </c>
      <c r="B681" s="10" t="s">
        <v>5804</v>
      </c>
      <c r="C681" s="10" t="n">
        <v>6</v>
      </c>
      <c r="D681" s="10" t="n">
        <v>10</v>
      </c>
      <c r="E681" s="6" t="n">
        <f>SUM(C681,D681)/2</f>
        <v>8</v>
      </c>
      <c r="F681" s="18" t="n">
        <v>18</v>
      </c>
      <c r="G681" s="18" t="n">
        <v>23</v>
      </c>
      <c r="H681" s="6" t="n">
        <f>SUM(F681,G681)/2</f>
        <v>20.5</v>
      </c>
    </row>
    <row r="682" s="18" customFormat="1" ht="14.399999999999999" customHeight="1">
      <c r="A682" s="10" t="s">
        <v>122</v>
      </c>
      <c r="B682" s="10" t="s">
        <v>123</v>
      </c>
      <c r="C682" s="13" t="n">
        <v>18106</v>
      </c>
      <c r="D682" s="13" t="n">
        <v>28920</v>
      </c>
      <c r="E682" s="6" t="n">
        <f>SUM(C682,D682)/2</f>
        <v>23513</v>
      </c>
      <c r="H682" s="6" t="n">
        <f>SUM(F682,G682)/2</f>
        <v>0</v>
      </c>
    </row>
    <row r="683" s="18" customFormat="1" ht="14.399999999999999" customHeight="1">
      <c r="A683" s="10" t="s">
        <v>5805</v>
      </c>
      <c r="B683" s="10" t="s">
        <v>5806</v>
      </c>
      <c r="C683" s="10" t="n">
        <v>2</v>
      </c>
      <c r="D683" s="10" t="n">
        <v>4</v>
      </c>
      <c r="E683" s="6" t="n">
        <f>SUM(C683,D683)/2</f>
        <v>3</v>
      </c>
      <c r="F683" s="18" t="n">
        <v>1</v>
      </c>
      <c r="G683" s="18" t="n">
        <v>1</v>
      </c>
      <c r="H683" s="6" t="n">
        <f>SUM(F683,G683)/2</f>
        <v>1</v>
      </c>
    </row>
    <row r="684" s="18" customFormat="1" ht="14.399999999999999" customHeight="1">
      <c r="A684" s="10" t="s">
        <v>2100</v>
      </c>
      <c r="B684" s="10" t="s">
        <v>2101</v>
      </c>
      <c r="C684" s="10" t="n">
        <v>11</v>
      </c>
      <c r="D684" s="10" t="n">
        <v>15</v>
      </c>
      <c r="E684" s="6" t="n">
        <f>SUM(C684,D684)/2</f>
        <v>13</v>
      </c>
      <c r="F684" s="18" t="n">
        <v>5</v>
      </c>
      <c r="G684" s="18" t="n">
        <v>8</v>
      </c>
      <c r="H684" s="6" t="n">
        <f>SUM(F684,G684)/2</f>
        <v>6.5</v>
      </c>
    </row>
    <row r="685" s="18" customFormat="1" ht="14.399999999999999" customHeight="1">
      <c r="A685" s="10" t="s">
        <v>5807</v>
      </c>
      <c r="B685" s="10" t="s">
        <v>5808</v>
      </c>
      <c r="C685" s="13" t="n">
        <v>10306</v>
      </c>
      <c r="D685" s="13" t="n">
        <v>16462</v>
      </c>
      <c r="E685" s="6" t="n">
        <f>SUM(C685,D685)/2</f>
        <v>13384</v>
      </c>
      <c r="F685" s="12" t="n">
        <v>16555</v>
      </c>
      <c r="G685" s="12" t="n">
        <v>24056</v>
      </c>
      <c r="H685" s="6" t="n">
        <f>SUM(F685,G685)/2</f>
        <v>20305.5</v>
      </c>
    </row>
    <row r="686" s="18" customFormat="1" ht="14.399999999999999" customHeight="1">
      <c r="A686" s="10" t="s">
        <v>3627</v>
      </c>
      <c r="B686" s="10" t="s">
        <v>3628</v>
      </c>
      <c r="C686" s="13" t="n">
        <v>59285</v>
      </c>
      <c r="D686" s="13" t="n">
        <v>94702</v>
      </c>
      <c r="E686" s="6" t="n">
        <f>SUM(C686,D686)/2</f>
        <v>76993.5</v>
      </c>
      <c r="F686" s="12" t="n">
        <v>15494</v>
      </c>
      <c r="G686" s="12" t="n">
        <v>24989</v>
      </c>
      <c r="H686" s="6" t="n">
        <f>SUM(F686,G686)/2</f>
        <v>20241.5</v>
      </c>
    </row>
    <row r="687" s="18" customFormat="1" ht="14.399999999999999" customHeight="1">
      <c r="A687" s="10" t="s">
        <v>2761</v>
      </c>
      <c r="B687" s="10" t="s">
        <v>2762</v>
      </c>
      <c r="C687" s="10" t="n">
        <v>2</v>
      </c>
      <c r="D687" s="10" t="n">
        <v>2</v>
      </c>
      <c r="E687" s="6" t="n">
        <f>SUM(C687,D687)/2</f>
        <v>2</v>
      </c>
      <c r="F687" s="18" t="n">
        <v>0</v>
      </c>
      <c r="G687" s="18" t="n">
        <v>0</v>
      </c>
      <c r="H687" s="6" t="n">
        <f>SUM(F687,G687)/2</f>
        <v>0</v>
      </c>
    </row>
    <row r="688" s="18" customFormat="1" ht="14.399999999999999" customHeight="1">
      <c r="A688" s="10" t="s">
        <v>1745</v>
      </c>
      <c r="B688" s="10" t="s">
        <v>1746</v>
      </c>
      <c r="C688" s="10" t="n">
        <v>33</v>
      </c>
      <c r="D688" s="10" t="n">
        <v>53</v>
      </c>
      <c r="E688" s="6" t="n">
        <f>SUM(C688,D688)/2</f>
        <v>43</v>
      </c>
      <c r="F688" s="18" t="n">
        <v>15</v>
      </c>
      <c r="G688" s="18" t="n">
        <v>21</v>
      </c>
      <c r="H688" s="6" t="n">
        <f>SUM(F688,G688)/2</f>
        <v>18</v>
      </c>
    </row>
    <row r="689" s="18" customFormat="1" ht="14.399999999999999" customHeight="1">
      <c r="A689" s="10" t="s">
        <v>4487</v>
      </c>
      <c r="B689" s="10" t="s">
        <v>4488</v>
      </c>
      <c r="C689" s="13" t="n">
        <v>30297</v>
      </c>
      <c r="D689" s="13" t="n">
        <v>48397</v>
      </c>
      <c r="E689" s="6" t="n">
        <f>SUM(C689,D689)/2</f>
        <v>39347</v>
      </c>
      <c r="F689" s="12" t="n">
        <v>6282</v>
      </c>
      <c r="G689" s="12" t="n">
        <v>8077</v>
      </c>
      <c r="H689" s="6" t="n">
        <f>SUM(F689,G689)/2</f>
        <v>7179.5</v>
      </c>
    </row>
    <row r="690" s="18" customFormat="1" ht="14.399999999999999" customHeight="1">
      <c r="A690" s="10" t="s">
        <v>5809</v>
      </c>
      <c r="B690" s="10" t="s">
        <v>5810</v>
      </c>
      <c r="C690" s="10" t="n">
        <v>57</v>
      </c>
      <c r="D690" s="10" t="n">
        <v>91</v>
      </c>
      <c r="E690" s="6" t="n">
        <f>SUM(C690,D690)/2</f>
        <v>74</v>
      </c>
      <c r="F690" s="18" t="n">
        <v>4</v>
      </c>
      <c r="G690" s="18" t="n">
        <v>20</v>
      </c>
      <c r="H690" s="6" t="n">
        <f>SUM(F690,G690)/2</f>
        <v>12</v>
      </c>
    </row>
    <row r="691" s="18" customFormat="1" ht="14.399999999999999" customHeight="1">
      <c r="A691" s="10" t="s">
        <v>4427</v>
      </c>
      <c r="B691" s="10" t="s">
        <v>4428</v>
      </c>
      <c r="C691" s="13" t="n">
        <v>8193</v>
      </c>
      <c r="D691" s="13" t="n">
        <v>13087</v>
      </c>
      <c r="E691" s="6" t="n">
        <f>SUM(C691,D691)/2</f>
        <v>10640</v>
      </c>
      <c r="F691" s="12" t="n">
        <v>11782</v>
      </c>
      <c r="G691" s="12" t="n">
        <v>16527</v>
      </c>
      <c r="H691" s="6" t="n">
        <f>SUM(F691,G691)/2</f>
        <v>14154.5</v>
      </c>
    </row>
    <row r="692" s="18" customFormat="1" ht="14.399999999999999" customHeight="1">
      <c r="A692" s="10" t="s">
        <v>3957</v>
      </c>
      <c r="B692" s="10" t="s">
        <v>3958</v>
      </c>
      <c r="C692" s="13" t="n">
        <v>13885</v>
      </c>
      <c r="D692" s="13" t="n">
        <v>22180</v>
      </c>
      <c r="E692" s="6" t="n">
        <f>SUM(C692,D692)/2</f>
        <v>18032.5</v>
      </c>
      <c r="F692" s="12" t="n">
        <v>17457</v>
      </c>
      <c r="G692" s="12" t="n">
        <v>26216</v>
      </c>
      <c r="H692" s="6" t="n">
        <f>SUM(F692,G692)/2</f>
        <v>21836.5</v>
      </c>
    </row>
    <row r="693" s="18" customFormat="1" ht="14.399999999999999" customHeight="1">
      <c r="A693" s="10" t="s">
        <v>1097</v>
      </c>
      <c r="B693" s="10" t="s">
        <v>1098</v>
      </c>
      <c r="C693" s="13" t="n">
        <v>267968</v>
      </c>
      <c r="D693" s="13" t="n">
        <v>428056</v>
      </c>
      <c r="E693" s="6" t="n">
        <f>SUM(C693,D693)/2</f>
        <v>348012</v>
      </c>
      <c r="F693" s="12" t="n">
        <v>98296</v>
      </c>
      <c r="G693" s="12" t="n">
        <v>137414</v>
      </c>
      <c r="H693" s="6" t="n">
        <f>SUM(F693,G693)/2</f>
        <v>117855</v>
      </c>
    </row>
    <row r="694" s="18" customFormat="1" ht="14.399999999999999" customHeight="1">
      <c r="A694" s="10" t="s">
        <v>3865</v>
      </c>
      <c r="B694" s="10" t="s">
        <v>3866</v>
      </c>
      <c r="C694" s="13" t="n">
        <v>39116</v>
      </c>
      <c r="D694" s="13" t="n">
        <v>62486</v>
      </c>
      <c r="E694" s="6" t="n">
        <f>SUM(C694,D694)/2</f>
        <v>50801</v>
      </c>
      <c r="F694" s="12" t="n">
        <v>14413</v>
      </c>
      <c r="G694" s="12" t="n">
        <v>19961</v>
      </c>
      <c r="H694" s="6" t="n">
        <f>SUM(F694,G694)/2</f>
        <v>17187</v>
      </c>
    </row>
    <row r="695" s="18" customFormat="1" ht="14.399999999999999" customHeight="1">
      <c r="A695" s="10" t="s">
        <v>5811</v>
      </c>
      <c r="B695" s="10" t="s">
        <v>5812</v>
      </c>
      <c r="C695" s="13" t="n">
        <v>16116</v>
      </c>
      <c r="D695" s="13" t="n">
        <v>25742</v>
      </c>
      <c r="E695" s="6" t="n">
        <f>SUM(C695,D695)/2</f>
        <v>20929</v>
      </c>
      <c r="F695" s="12" t="n">
        <v>9892</v>
      </c>
      <c r="G695" s="12" t="n">
        <v>14676</v>
      </c>
      <c r="H695" s="6" t="n">
        <f>SUM(F695,G695)/2</f>
        <v>12284</v>
      </c>
    </row>
    <row r="696" s="18" customFormat="1" ht="14.399999999999999" customHeight="1">
      <c r="A696" s="10" t="s">
        <v>3513</v>
      </c>
      <c r="B696" s="10" t="s">
        <v>3514</v>
      </c>
      <c r="C696" s="13" t="n">
        <v>118048</v>
      </c>
      <c r="D696" s="13" t="n">
        <v>188570</v>
      </c>
      <c r="E696" s="6" t="n">
        <f>SUM(C696,D696)/2</f>
        <v>153309</v>
      </c>
      <c r="F696" s="12" t="n">
        <v>7152</v>
      </c>
      <c r="G696" s="12" t="n">
        <v>11301</v>
      </c>
      <c r="H696" s="6" t="n">
        <f>SUM(F696,G696)/2</f>
        <v>9226.5</v>
      </c>
    </row>
    <row r="697" s="18" customFormat="1" ht="14.399999999999999" customHeight="1">
      <c r="A697" s="10" t="s">
        <v>5813</v>
      </c>
      <c r="B697" s="10" t="s">
        <v>5814</v>
      </c>
      <c r="C697" s="10"/>
      <c r="D697" s="10"/>
      <c r="E697" s="6" t="n">
        <f>SUM(C697,D697)/2</f>
        <v>0</v>
      </c>
      <c r="F697" s="12" t="n">
        <v>19242</v>
      </c>
      <c r="G697" s="12" t="n">
        <v>61170</v>
      </c>
      <c r="H697" s="6" t="n">
        <f>SUM(F697,G697)/2</f>
        <v>40206</v>
      </c>
    </row>
    <row r="698" s="18" customFormat="1" ht="14.399999999999999" customHeight="1">
      <c r="A698" s="10" t="s">
        <v>845</v>
      </c>
      <c r="B698" s="10" t="s">
        <v>846</v>
      </c>
      <c r="C698" s="13" t="n">
        <v>1417111</v>
      </c>
      <c r="D698" s="13" t="n">
        <v>2263699</v>
      </c>
      <c r="E698" s="6" t="n">
        <f>SUM(C698,D698)/2</f>
        <v>1840405</v>
      </c>
      <c r="F698" s="12" t="n">
        <v>83345</v>
      </c>
      <c r="G698" s="12" t="n">
        <v>123146</v>
      </c>
      <c r="H698" s="6" t="n">
        <f>SUM(F698,G698)/2</f>
        <v>103245.5</v>
      </c>
    </row>
    <row r="699" s="18" customFormat="1" ht="14.399999999999999" customHeight="1">
      <c r="A699" s="10" t="s">
        <v>3101</v>
      </c>
      <c r="B699" s="10" t="s">
        <v>3102</v>
      </c>
      <c r="C699" s="13" t="n">
        <v>357284</v>
      </c>
      <c r="D699" s="13" t="n">
        <v>570726</v>
      </c>
      <c r="E699" s="6" t="n">
        <f>SUM(C699,D699)/2</f>
        <v>464005</v>
      </c>
      <c r="F699" s="12" t="n">
        <v>9392</v>
      </c>
      <c r="G699" s="12" t="n">
        <v>12100</v>
      </c>
      <c r="H699" s="6" t="n">
        <f>SUM(F699,G699)/2</f>
        <v>10746</v>
      </c>
    </row>
    <row r="700" s="18" customFormat="1" ht="14.399999999999999" customHeight="1">
      <c r="A700" s="10" t="s">
        <v>891</v>
      </c>
      <c r="B700" s="10" t="s">
        <v>892</v>
      </c>
      <c r="C700" s="13" t="n">
        <v>1146733</v>
      </c>
      <c r="D700" s="13" t="n">
        <v>1831793</v>
      </c>
      <c r="E700" s="6" t="n">
        <f>SUM(C700,D700)/2</f>
        <v>1489263</v>
      </c>
      <c r="F700" s="12" t="n">
        <v>69072</v>
      </c>
      <c r="G700" s="12" t="n">
        <v>89559</v>
      </c>
      <c r="H700" s="6" t="n">
        <f>SUM(F700,G700)/2</f>
        <v>79315.5</v>
      </c>
    </row>
    <row r="701" s="18" customFormat="1" ht="14.399999999999999" customHeight="1">
      <c r="A701" s="10" t="s">
        <v>5815</v>
      </c>
      <c r="B701" s="10" t="s">
        <v>5816</v>
      </c>
      <c r="C701" s="10" t="n">
        <v>0</v>
      </c>
      <c r="D701" s="10" t="n">
        <v>0</v>
      </c>
      <c r="E701" s="6" t="n">
        <f>SUM(C701,D701)/2</f>
        <v>0</v>
      </c>
      <c r="F701" s="18" t="n">
        <v>0</v>
      </c>
      <c r="G701" s="18" t="n">
        <v>0</v>
      </c>
      <c r="H701" s="6" t="n">
        <f>SUM(F701,G701)/2</f>
        <v>0</v>
      </c>
    </row>
    <row r="702" s="18" customFormat="1" ht="14.399999999999999" customHeight="1">
      <c r="A702" s="10" t="s">
        <v>4017</v>
      </c>
      <c r="B702" s="10" t="s">
        <v>4018</v>
      </c>
      <c r="C702" s="13" t="n">
        <v>25225</v>
      </c>
      <c r="D702" s="13" t="n">
        <v>40293</v>
      </c>
      <c r="E702" s="6" t="n">
        <f>SUM(C702,D702)/2</f>
        <v>32759</v>
      </c>
      <c r="F702" s="12" t="n">
        <v>14113</v>
      </c>
      <c r="G702" s="12" t="n">
        <v>20985</v>
      </c>
      <c r="H702" s="6" t="n">
        <f>SUM(F702,G702)/2</f>
        <v>17549</v>
      </c>
    </row>
    <row r="703" s="18" customFormat="1" ht="14.399999999999999" customHeight="1">
      <c r="A703" s="10" t="s">
        <v>2006</v>
      </c>
      <c r="B703" s="10" t="s">
        <v>2007</v>
      </c>
      <c r="C703" s="10" t="n">
        <v>15</v>
      </c>
      <c r="D703" s="10" t="n">
        <v>23</v>
      </c>
      <c r="E703" s="6" t="n">
        <f>SUM(C703,D703)/2</f>
        <v>19</v>
      </c>
      <c r="F703" s="18" t="n">
        <v>7</v>
      </c>
      <c r="G703" s="18" t="n">
        <v>10</v>
      </c>
      <c r="H703" s="6" t="n">
        <f>SUM(F703,G703)/2</f>
        <v>8.5</v>
      </c>
    </row>
    <row r="704" s="18" customFormat="1" ht="14.399999999999999" customHeight="1">
      <c r="A704" s="10" t="s">
        <v>3659</v>
      </c>
      <c r="B704" s="10" t="s">
        <v>3660</v>
      </c>
      <c r="C704" s="13" t="n">
        <v>82981</v>
      </c>
      <c r="D704" s="13" t="n">
        <v>132553</v>
      </c>
      <c r="E704" s="6" t="n">
        <f>SUM(C704,D704)/2</f>
        <v>107767</v>
      </c>
      <c r="F704" s="12" t="n">
        <v>10848</v>
      </c>
      <c r="G704" s="12" t="n">
        <v>14533</v>
      </c>
      <c r="H704" s="6" t="n">
        <f>SUM(F704,G704)/2</f>
        <v>12690.5</v>
      </c>
    </row>
    <row r="705" s="18" customFormat="1" ht="14.399999999999999" customHeight="1">
      <c r="A705" s="10" t="s">
        <v>1755</v>
      </c>
      <c r="B705" s="10" t="s">
        <v>1756</v>
      </c>
      <c r="C705" s="10" t="n">
        <v>22</v>
      </c>
      <c r="D705" s="10" t="n">
        <v>32</v>
      </c>
      <c r="E705" s="6" t="n">
        <f>SUM(C705,D705)/2</f>
        <v>27</v>
      </c>
      <c r="F705" s="18" t="n">
        <v>16</v>
      </c>
      <c r="G705" s="18" t="n">
        <v>24</v>
      </c>
      <c r="H705" s="6" t="n">
        <f>SUM(F705,G705)/2</f>
        <v>20</v>
      </c>
    </row>
    <row r="706" s="18" customFormat="1" ht="14.399999999999999" customHeight="1">
      <c r="A706" s="10" t="s">
        <v>1310</v>
      </c>
      <c r="B706" s="10" t="s">
        <v>1311</v>
      </c>
      <c r="C706" s="13" t="n">
        <v>87248</v>
      </c>
      <c r="D706" s="13" t="n">
        <v>139368</v>
      </c>
      <c r="E706" s="6" t="n">
        <f>SUM(C706,D706)/2</f>
        <v>113308</v>
      </c>
      <c r="F706" s="12" t="n">
        <v>42716</v>
      </c>
      <c r="G706" s="12" t="n">
        <v>53151</v>
      </c>
      <c r="H706" s="6" t="n">
        <f>SUM(F706,G706)/2</f>
        <v>47933.5</v>
      </c>
    </row>
    <row r="707" s="18" customFormat="1" ht="14.399999999999999" customHeight="1">
      <c r="A707" s="10" t="s">
        <v>5817</v>
      </c>
      <c r="B707" s="10" t="s">
        <v>5818</v>
      </c>
      <c r="C707" s="10" t="n">
        <v>0</v>
      </c>
      <c r="D707" s="10" t="n">
        <v>0</v>
      </c>
      <c r="E707" s="6" t="n">
        <f>SUM(C707,D707)/2</f>
        <v>0</v>
      </c>
      <c r="F707" s="18" t="n">
        <v>0</v>
      </c>
      <c r="G707" s="18" t="n">
        <v>0</v>
      </c>
      <c r="H707" s="6" t="n">
        <f>SUM(F707,G707)/2</f>
        <v>0</v>
      </c>
    </row>
    <row r="708" s="18" customFormat="1" ht="14.399999999999999" customHeight="1">
      <c r="A708" s="10" t="s">
        <v>5035</v>
      </c>
      <c r="B708" s="10" t="s">
        <v>5036</v>
      </c>
      <c r="C708" s="13" t="n">
        <v>10055</v>
      </c>
      <c r="D708" s="13" t="n">
        <v>16059</v>
      </c>
      <c r="E708" s="6" t="n">
        <f>SUM(C708,D708)/2</f>
        <v>13057</v>
      </c>
      <c r="F708" s="12" t="n">
        <v>5822</v>
      </c>
      <c r="G708" s="12" t="n">
        <v>7266</v>
      </c>
      <c r="H708" s="6" t="n">
        <f>SUM(F708,G708)/2</f>
        <v>6544</v>
      </c>
    </row>
    <row r="709" s="18" customFormat="1" ht="14.399999999999999" customHeight="1">
      <c r="A709" s="10" t="s">
        <v>1417</v>
      </c>
      <c r="B709" s="10" t="s">
        <v>1418</v>
      </c>
      <c r="C709" s="10" t="n">
        <v>11</v>
      </c>
      <c r="D709" s="10" t="n">
        <v>19</v>
      </c>
      <c r="E709" s="6" t="n">
        <f>SUM(C709,D709)/2</f>
        <v>15</v>
      </c>
      <c r="F709" s="18" t="n">
        <v>6</v>
      </c>
      <c r="G709" s="18" t="n">
        <v>7</v>
      </c>
      <c r="H709" s="6" t="n">
        <f>SUM(F709,G709)/2</f>
        <v>6.5</v>
      </c>
    </row>
    <row r="710" s="18" customFormat="1" ht="14.399999999999999" customHeight="1">
      <c r="A710" s="10" t="s">
        <v>4167</v>
      </c>
      <c r="B710" s="10" t="s">
        <v>4168</v>
      </c>
      <c r="C710" s="13" t="n">
        <v>37419</v>
      </c>
      <c r="D710" s="13" t="n">
        <v>59773</v>
      </c>
      <c r="E710" s="6" t="n">
        <f>SUM(C710,D710)/2</f>
        <v>48596</v>
      </c>
      <c r="F710" s="12" t="n">
        <v>9098</v>
      </c>
      <c r="G710" s="12" t="n">
        <v>11777</v>
      </c>
      <c r="H710" s="6" t="n">
        <f>SUM(F710,G710)/2</f>
        <v>10437.5</v>
      </c>
    </row>
    <row r="711" s="18" customFormat="1" ht="14.399999999999999" customHeight="1">
      <c r="A711" s="10" t="s">
        <v>3419</v>
      </c>
      <c r="B711" s="10" t="s">
        <v>3420</v>
      </c>
      <c r="C711" s="13" t="n">
        <v>81659</v>
      </c>
      <c r="D711" s="13" t="n">
        <v>130441</v>
      </c>
      <c r="E711" s="6" t="n">
        <f>SUM(C711,D711)/2</f>
        <v>106050</v>
      </c>
      <c r="F711" s="12" t="n">
        <v>19220</v>
      </c>
      <c r="G711" s="12" t="n">
        <v>27627</v>
      </c>
      <c r="H711" s="6" t="n">
        <f>SUM(F711,G711)/2</f>
        <v>23423.5</v>
      </c>
    </row>
    <row r="712" s="18" customFormat="1" ht="14.399999999999999" customHeight="1">
      <c r="A712" s="10" t="s">
        <v>3621</v>
      </c>
      <c r="B712" s="10" t="s">
        <v>3622</v>
      </c>
      <c r="C712" s="13" t="n">
        <v>56878</v>
      </c>
      <c r="D712" s="13" t="n">
        <v>90856</v>
      </c>
      <c r="E712" s="6" t="n">
        <f>SUM(C712,D712)/2</f>
        <v>73867</v>
      </c>
      <c r="F712" s="12" t="n">
        <v>16450</v>
      </c>
      <c r="G712" s="12" t="n">
        <v>25605</v>
      </c>
      <c r="H712" s="6" t="n">
        <f>SUM(F712,G712)/2</f>
        <v>21027.5</v>
      </c>
    </row>
    <row r="713" s="18" customFormat="1" ht="14.399999999999999" customHeight="1">
      <c r="A713" s="10" t="s">
        <v>5117</v>
      </c>
      <c r="B713" s="10" t="s">
        <v>5118</v>
      </c>
      <c r="C713" s="13" t="n">
        <v>11178</v>
      </c>
      <c r="D713" s="13" t="n">
        <v>17856</v>
      </c>
      <c r="E713" s="6" t="n">
        <f>SUM(C713,D713)/2</f>
        <v>14517</v>
      </c>
      <c r="F713" s="12" t="n">
        <v>3591</v>
      </c>
      <c r="G713" s="12" t="n">
        <v>5909</v>
      </c>
      <c r="H713" s="6" t="n">
        <f>SUM(F713,G713)/2</f>
        <v>4750</v>
      </c>
    </row>
    <row r="714" s="18" customFormat="1" ht="14.399999999999999" customHeight="1">
      <c r="A714" s="10" t="s">
        <v>5819</v>
      </c>
      <c r="B714" s="10" t="s">
        <v>5820</v>
      </c>
      <c r="C714" s="13" t="n">
        <v>1612</v>
      </c>
      <c r="D714" s="13" t="n">
        <v>2576</v>
      </c>
      <c r="E714" s="6" t="n">
        <f>SUM(C714,D714)/2</f>
        <v>2094</v>
      </c>
      <c r="F714" s="12" t="n">
        <v>58608</v>
      </c>
      <c r="G714" s="12" t="n">
        <v>73463</v>
      </c>
      <c r="H714" s="6" t="n">
        <f>SUM(F714,G714)/2</f>
        <v>66035.5</v>
      </c>
    </row>
    <row r="715" s="18" customFormat="1" ht="14.399999999999999" customHeight="1">
      <c r="A715" s="10" t="s">
        <v>778</v>
      </c>
      <c r="B715" s="10" t="s">
        <v>779</v>
      </c>
      <c r="C715" s="13" t="n">
        <v>1010758</v>
      </c>
      <c r="D715" s="13" t="n">
        <v>1614587</v>
      </c>
      <c r="E715" s="6" t="n">
        <f>SUM(C715,D715)/2</f>
        <v>1312672.5</v>
      </c>
      <c r="F715" s="12" t="n">
        <v>337231</v>
      </c>
      <c r="G715" s="12" t="n">
        <v>482699</v>
      </c>
      <c r="H715" s="6" t="n">
        <f>SUM(F715,G715)/2</f>
        <v>409965</v>
      </c>
    </row>
    <row r="716" s="18" customFormat="1" ht="14.399999999999999" customHeight="1">
      <c r="A716" s="10" t="s">
        <v>3473</v>
      </c>
      <c r="B716" s="10" t="s">
        <v>3474</v>
      </c>
      <c r="C716" s="13" t="n">
        <v>82770</v>
      </c>
      <c r="D716" s="13" t="n">
        <v>132218</v>
      </c>
      <c r="E716" s="6" t="n">
        <f>SUM(C716,D716)/2</f>
        <v>107494</v>
      </c>
      <c r="F716" s="12" t="n">
        <v>17743</v>
      </c>
      <c r="G716" s="12" t="n">
        <v>23702</v>
      </c>
      <c r="H716" s="6" t="n">
        <f>SUM(F716,G716)/2</f>
        <v>20722.5</v>
      </c>
    </row>
    <row r="717" s="18" customFormat="1" ht="14.399999999999999" customHeight="1">
      <c r="A717" s="10" t="s">
        <v>2502</v>
      </c>
      <c r="B717" s="10" t="s">
        <v>2503</v>
      </c>
      <c r="C717" s="10" t="n">
        <v>52</v>
      </c>
      <c r="D717" s="10" t="n">
        <v>84</v>
      </c>
      <c r="E717" s="6" t="n">
        <f>SUM(C717,D717)/2</f>
        <v>68</v>
      </c>
      <c r="F717" s="18" t="n">
        <v>21</v>
      </c>
      <c r="G717" s="18" t="n">
        <v>84</v>
      </c>
      <c r="H717" s="6" t="n">
        <f>SUM(F717,G717)/2</f>
        <v>52.5</v>
      </c>
    </row>
    <row r="718" s="18" customFormat="1" ht="14.399999999999999" customHeight="1">
      <c r="A718" s="10" t="s">
        <v>1976</v>
      </c>
      <c r="B718" s="10" t="s">
        <v>1977</v>
      </c>
      <c r="C718" s="10" t="n">
        <v>18</v>
      </c>
      <c r="D718" s="10" t="n">
        <v>26</v>
      </c>
      <c r="E718" s="6" t="n">
        <f>SUM(C718,D718)/2</f>
        <v>22</v>
      </c>
      <c r="F718" s="18" t="n">
        <v>7</v>
      </c>
      <c r="G718" s="18" t="n">
        <v>10</v>
      </c>
      <c r="H718" s="6" t="n">
        <f>SUM(F718,G718)/2</f>
        <v>8.5</v>
      </c>
    </row>
    <row r="719" s="18" customFormat="1" ht="14.399999999999999" customHeight="1">
      <c r="A719" s="10" t="s">
        <v>2863</v>
      </c>
      <c r="B719" s="10" t="s">
        <v>2864</v>
      </c>
      <c r="C719" s="10"/>
      <c r="D719" s="10"/>
      <c r="E719" s="6" t="n">
        <f>SUM(C719,D719)/2</f>
        <v>0</v>
      </c>
      <c r="F719" s="18" t="n">
        <v>0</v>
      </c>
      <c r="G719" s="18" t="n">
        <v>0</v>
      </c>
      <c r="H719" s="6" t="n">
        <f>SUM(F719,G719)/2</f>
        <v>0</v>
      </c>
    </row>
    <row r="720" s="18" customFormat="1" ht="14.399999999999999" customHeight="1">
      <c r="A720" s="10" t="s">
        <v>5217</v>
      </c>
      <c r="B720" s="10" t="s">
        <v>5218</v>
      </c>
      <c r="C720" s="13" t="n">
        <v>11252</v>
      </c>
      <c r="D720" s="13" t="n">
        <v>17974</v>
      </c>
      <c r="E720" s="6" t="n">
        <f>SUM(C720,D720)/2</f>
        <v>14613</v>
      </c>
      <c r="F720" s="12" t="n">
        <v>1140</v>
      </c>
      <c r="G720" s="12" t="n">
        <v>1569</v>
      </c>
      <c r="H720" s="6" t="n">
        <f>SUM(F720,G720)/2</f>
        <v>1354.5</v>
      </c>
    </row>
    <row r="721" s="18" customFormat="1" ht="14.399999999999999" customHeight="1">
      <c r="A721" s="10" t="s">
        <v>5821</v>
      </c>
      <c r="B721" s="10" t="s">
        <v>5822</v>
      </c>
      <c r="C721" s="10" t="n">
        <v>0</v>
      </c>
      <c r="D721" s="10" t="n">
        <v>0</v>
      </c>
      <c r="E721" s="6" t="n">
        <f>SUM(C721,D721)/2</f>
        <v>0</v>
      </c>
      <c r="F721" s="18" t="n">
        <v>2</v>
      </c>
      <c r="G721" s="18" t="n">
        <v>2</v>
      </c>
      <c r="H721" s="6" t="n">
        <f>SUM(F721,G721)/2</f>
        <v>2</v>
      </c>
    </row>
    <row r="722" s="18" customFormat="1" ht="14.399999999999999" customHeight="1">
      <c r="A722" s="10" t="s">
        <v>5823</v>
      </c>
      <c r="B722" s="10" t="s">
        <v>5824</v>
      </c>
      <c r="C722" s="10" t="n">
        <v>1</v>
      </c>
      <c r="D722" s="10" t="n">
        <v>1</v>
      </c>
      <c r="E722" s="6" t="n">
        <f>SUM(C722,D722)/2</f>
        <v>1</v>
      </c>
      <c r="F722" s="18" t="n">
        <v>1</v>
      </c>
      <c r="G722" s="18" t="n">
        <v>1</v>
      </c>
      <c r="H722" s="6" t="n">
        <f>SUM(F722,G722)/2</f>
        <v>1</v>
      </c>
    </row>
    <row r="723" s="18" customFormat="1" ht="14.399999999999999" customHeight="1">
      <c r="A723" s="10" t="s">
        <v>2526</v>
      </c>
      <c r="B723" s="10" t="s">
        <v>2527</v>
      </c>
      <c r="C723" s="10" t="n">
        <v>10</v>
      </c>
      <c r="D723" s="10" t="n">
        <v>16</v>
      </c>
      <c r="E723" s="6" t="n">
        <f>SUM(C723,D723)/2</f>
        <v>13</v>
      </c>
      <c r="F723" s="18" t="n">
        <v>0</v>
      </c>
      <c r="G723" s="18" t="n">
        <v>0</v>
      </c>
      <c r="H723" s="6" t="n">
        <f>SUM(F723,G723)/2</f>
        <v>0</v>
      </c>
    </row>
    <row r="724" s="18" customFormat="1" ht="14.399999999999999" customHeight="1">
      <c r="A724" s="10" t="s">
        <v>3363</v>
      </c>
      <c r="B724" s="10" t="s">
        <v>3364</v>
      </c>
      <c r="C724" s="13" t="n">
        <v>59515</v>
      </c>
      <c r="D724" s="13" t="n">
        <v>95067</v>
      </c>
      <c r="E724" s="6" t="n">
        <f>SUM(C724,D724)/2</f>
        <v>77291</v>
      </c>
      <c r="F724" s="12" t="n">
        <v>28417</v>
      </c>
      <c r="G724" s="12" t="n">
        <v>35621</v>
      </c>
      <c r="H724" s="6" t="n">
        <f>SUM(F724,G724)/2</f>
        <v>32019</v>
      </c>
    </row>
    <row r="725" s="18" customFormat="1" ht="14.399999999999999" customHeight="1">
      <c r="A725" s="10" t="s">
        <v>5825</v>
      </c>
      <c r="B725" s="10" t="s">
        <v>5826</v>
      </c>
      <c r="C725" s="10" t="n">
        <v>0</v>
      </c>
      <c r="D725" s="10" t="n">
        <v>0</v>
      </c>
      <c r="E725" s="6" t="n">
        <f>SUM(C725,D725)/2</f>
        <v>0</v>
      </c>
      <c r="F725" s="18" t="n">
        <v>1</v>
      </c>
      <c r="G725" s="18" t="n">
        <v>1</v>
      </c>
      <c r="H725" s="6" t="n">
        <f>SUM(F725,G725)/2</f>
        <v>1</v>
      </c>
    </row>
    <row r="726" s="18" customFormat="1" ht="14.399999999999999" customHeight="1">
      <c r="A726" s="10" t="s">
        <v>2474</v>
      </c>
      <c r="B726" s="10" t="s">
        <v>2475</v>
      </c>
      <c r="C726" s="10" t="n">
        <v>13</v>
      </c>
      <c r="D726" s="10" t="n">
        <v>19</v>
      </c>
      <c r="E726" s="6" t="n">
        <f>SUM(C726,D726)/2</f>
        <v>16</v>
      </c>
      <c r="F726" s="18" t="n">
        <v>0</v>
      </c>
      <c r="G726" s="18" t="n">
        <v>0</v>
      </c>
      <c r="H726" s="6" t="n">
        <f>SUM(F726,G726)/2</f>
        <v>0</v>
      </c>
    </row>
    <row r="727" s="18" customFormat="1" ht="14.399999999999999" customHeight="1">
      <c r="A727" s="10" t="s">
        <v>3943</v>
      </c>
      <c r="B727" s="10" t="s">
        <v>3944</v>
      </c>
      <c r="C727" s="13" t="n">
        <v>14821</v>
      </c>
      <c r="D727" s="13" t="n">
        <v>23675</v>
      </c>
      <c r="E727" s="6" t="n">
        <f>SUM(C727,D727)/2</f>
        <v>19248</v>
      </c>
      <c r="F727" s="12" t="n">
        <v>17647</v>
      </c>
      <c r="G727" s="12" t="n">
        <v>25930</v>
      </c>
      <c r="H727" s="6" t="n">
        <f>SUM(F727,G727)/2</f>
        <v>21788.5</v>
      </c>
    </row>
    <row r="728" s="18" customFormat="1" ht="14.399999999999999" customHeight="1">
      <c r="A728" s="10" t="s">
        <v>5001</v>
      </c>
      <c r="B728" s="10" t="s">
        <v>5002</v>
      </c>
      <c r="C728" s="13" t="n">
        <v>3064</v>
      </c>
      <c r="D728" s="13" t="n">
        <v>4896</v>
      </c>
      <c r="E728" s="6" t="n">
        <f>SUM(C728,D728)/2</f>
        <v>3980</v>
      </c>
      <c r="F728" s="12" t="n">
        <v>6489</v>
      </c>
      <c r="G728" s="12" t="n">
        <v>11175</v>
      </c>
      <c r="H728" s="6" t="n">
        <f>SUM(F728,G728)/2</f>
        <v>8832</v>
      </c>
    </row>
    <row r="729" s="18" customFormat="1" ht="14.399999999999999" customHeight="1">
      <c r="A729" s="10" t="s">
        <v>5827</v>
      </c>
      <c r="B729" s="10" t="s">
        <v>5828</v>
      </c>
      <c r="C729" s="13" t="n">
        <v>51276</v>
      </c>
      <c r="D729" s="13" t="n">
        <v>81912</v>
      </c>
      <c r="E729" s="6" t="n">
        <f>SUM(C729,D729)/2</f>
        <v>66594</v>
      </c>
      <c r="F729" s="12" t="n">
        <v>31188</v>
      </c>
      <c r="G729" s="12" t="n">
        <v>41609</v>
      </c>
      <c r="H729" s="6" t="n">
        <f>SUM(F729,G729)/2</f>
        <v>36398.5</v>
      </c>
    </row>
    <row r="730" s="18" customFormat="1" ht="14.399999999999999" customHeight="1">
      <c r="A730" s="10" t="s">
        <v>4651</v>
      </c>
      <c r="B730" s="10" t="s">
        <v>4652</v>
      </c>
      <c r="C730" s="13" t="n">
        <v>25091</v>
      </c>
      <c r="D730" s="13" t="n">
        <v>40081</v>
      </c>
      <c r="E730" s="6" t="n">
        <f>SUM(C730,D730)/2</f>
        <v>32586</v>
      </c>
      <c r="F730" s="12" t="n">
        <v>5102</v>
      </c>
      <c r="G730" s="12" t="n">
        <v>8009</v>
      </c>
      <c r="H730" s="6" t="n">
        <f>SUM(F730,G730)/2</f>
        <v>6555.5</v>
      </c>
    </row>
    <row r="731" s="18" customFormat="1" ht="14.399999999999999" customHeight="1">
      <c r="A731" s="10" t="s">
        <v>853</v>
      </c>
      <c r="B731" s="10" t="s">
        <v>854</v>
      </c>
      <c r="C731" s="13" t="n">
        <v>577345</v>
      </c>
      <c r="D731" s="13" t="n">
        <v>922251</v>
      </c>
      <c r="E731" s="6" t="n">
        <f>SUM(C731,D731)/2</f>
        <v>749798</v>
      </c>
      <c r="F731" s="12" t="n">
        <v>263571</v>
      </c>
      <c r="G731" s="12" t="n">
        <v>359526</v>
      </c>
      <c r="H731" s="6" t="n">
        <f>SUM(F731,G731)/2</f>
        <v>311548.5</v>
      </c>
    </row>
    <row r="732" s="18" customFormat="1" ht="14.399999999999999" customHeight="1">
      <c r="A732" s="10" t="s">
        <v>5829</v>
      </c>
      <c r="B732" s="10" t="s">
        <v>5830</v>
      </c>
      <c r="C732" s="13" t="n">
        <v>17859</v>
      </c>
      <c r="D732" s="13" t="n">
        <v>28527</v>
      </c>
      <c r="E732" s="6" t="n">
        <f>SUM(C732,D732)/2</f>
        <v>23193</v>
      </c>
      <c r="F732" s="12" t="n">
        <v>2756</v>
      </c>
      <c r="G732" s="12" t="n">
        <v>4131</v>
      </c>
      <c r="H732" s="6" t="n">
        <f>SUM(F732,G732)/2</f>
        <v>3443.5</v>
      </c>
    </row>
    <row r="733" s="18" customFormat="1" ht="14.399999999999999" customHeight="1">
      <c r="A733" s="10" t="s">
        <v>841</v>
      </c>
      <c r="B733" s="10" t="s">
        <v>842</v>
      </c>
      <c r="C733" s="13" t="n">
        <v>426604</v>
      </c>
      <c r="D733" s="13" t="n">
        <v>681459</v>
      </c>
      <c r="E733" s="6" t="n">
        <f>SUM(C733,D733)/2</f>
        <v>554031.5</v>
      </c>
      <c r="F733" s="12" t="n">
        <v>309728</v>
      </c>
      <c r="G733" s="12" t="n">
        <v>447417</v>
      </c>
      <c r="H733" s="6" t="n">
        <f>SUM(F733,G733)/2</f>
        <v>378572.5</v>
      </c>
    </row>
    <row r="734" s="18" customFormat="1" ht="14.399999999999999" customHeight="1">
      <c r="A734" s="10" t="s">
        <v>1021</v>
      </c>
      <c r="B734" s="10" t="s">
        <v>1022</v>
      </c>
      <c r="C734" s="10" t="n">
        <v>7</v>
      </c>
      <c r="D734" s="10" t="n">
        <v>11</v>
      </c>
      <c r="E734" s="6" t="n">
        <f>SUM(C734,D734)/2</f>
        <v>9</v>
      </c>
      <c r="F734" s="18" t="n">
        <v>2</v>
      </c>
      <c r="G734" s="18" t="n">
        <v>3</v>
      </c>
      <c r="H734" s="6" t="n">
        <f>SUM(F734,G734)/2</f>
        <v>2.5</v>
      </c>
    </row>
    <row r="735" s="18" customFormat="1" ht="14.399999999999999" customHeight="1">
      <c r="A735" s="10" t="s">
        <v>2708</v>
      </c>
      <c r="B735" s="10" t="s">
        <v>2709</v>
      </c>
      <c r="C735" s="10" t="n">
        <v>3</v>
      </c>
      <c r="D735" s="10" t="n">
        <v>5</v>
      </c>
      <c r="E735" s="6" t="n">
        <f>SUM(C735,D735)/2</f>
        <v>4</v>
      </c>
      <c r="F735" s="18" t="n">
        <v>0</v>
      </c>
      <c r="G735" s="18" t="n">
        <v>0</v>
      </c>
      <c r="H735" s="6" t="n">
        <f>SUM(F735,G735)/2</f>
        <v>0</v>
      </c>
    </row>
    <row r="736" s="18" customFormat="1" ht="14.399999999999999" customHeight="1">
      <c r="A736" s="10" t="s">
        <v>340</v>
      </c>
      <c r="B736" s="10" t="s">
        <v>341</v>
      </c>
      <c r="C736" s="13" t="n">
        <v>2782</v>
      </c>
      <c r="D736" s="13" t="n">
        <v>4444</v>
      </c>
      <c r="E736" s="6" t="n">
        <f>SUM(C736,D736)/2</f>
        <v>3613</v>
      </c>
      <c r="F736" s="18" t="n">
        <v>748</v>
      </c>
      <c r="G736" s="18" t="n">
        <v>912</v>
      </c>
      <c r="H736" s="6" t="n">
        <f>SUM(F736,G736)/2</f>
        <v>830</v>
      </c>
    </row>
    <row r="737" s="18" customFormat="1" ht="14.399999999999999" customHeight="1">
      <c r="A737" s="10" t="s">
        <v>1575</v>
      </c>
      <c r="B737" s="10" t="s">
        <v>1576</v>
      </c>
      <c r="C737" s="10" t="n">
        <v>28</v>
      </c>
      <c r="D737" s="10" t="n">
        <v>44</v>
      </c>
      <c r="E737" s="6" t="n">
        <f>SUM(C737,D737)/2</f>
        <v>36</v>
      </c>
      <c r="F737" s="18" t="n">
        <v>31</v>
      </c>
      <c r="G737" s="18" t="n">
        <v>49</v>
      </c>
      <c r="H737" s="6" t="n">
        <f>SUM(F737,G737)/2</f>
        <v>40</v>
      </c>
    </row>
    <row r="738" s="18" customFormat="1" ht="14.399999999999999" customHeight="1">
      <c r="A738" s="10" t="s">
        <v>218</v>
      </c>
      <c r="B738" s="10" t="s">
        <v>219</v>
      </c>
      <c r="C738" s="13" t="n">
        <v>43648</v>
      </c>
      <c r="D738" s="13" t="n">
        <v>69722</v>
      </c>
      <c r="E738" s="6" t="n">
        <f>SUM(C738,D738)/2</f>
        <v>56685</v>
      </c>
      <c r="F738" s="12" t="n">
        <v>7623</v>
      </c>
      <c r="G738" s="12" t="n">
        <v>19067</v>
      </c>
      <c r="H738" s="6" t="n">
        <f>SUM(F738,G738)/2</f>
        <v>13345</v>
      </c>
    </row>
    <row r="739" s="18" customFormat="1" ht="14.399999999999999" customHeight="1">
      <c r="A739" s="10" t="s">
        <v>1292</v>
      </c>
      <c r="B739" s="10" t="s">
        <v>1293</v>
      </c>
      <c r="C739" s="13" t="n">
        <v>160705</v>
      </c>
      <c r="D739" s="13" t="n">
        <v>256713</v>
      </c>
      <c r="E739" s="6" t="n">
        <f>SUM(C739,D739)/2</f>
        <v>208709</v>
      </c>
      <c r="F739" s="12" t="n">
        <v>25503</v>
      </c>
      <c r="G739" s="12" t="n">
        <v>37202</v>
      </c>
      <c r="H739" s="6" t="n">
        <f>SUM(F739,G739)/2</f>
        <v>31352.5</v>
      </c>
    </row>
    <row r="740" s="18" customFormat="1" ht="14.399999999999999" customHeight="1">
      <c r="A740" s="10" t="s">
        <v>4373</v>
      </c>
      <c r="B740" s="10" t="s">
        <v>4374</v>
      </c>
      <c r="C740" s="13" t="n">
        <v>24863</v>
      </c>
      <c r="D740" s="13" t="n">
        <v>39713</v>
      </c>
      <c r="E740" s="6" t="n">
        <f>SUM(C740,D740)/2</f>
        <v>32288</v>
      </c>
      <c r="F740" s="12" t="n">
        <v>8000</v>
      </c>
      <c r="G740" s="12" t="n">
        <v>12572</v>
      </c>
      <c r="H740" s="6" t="n">
        <f>SUM(F740,G740)/2</f>
        <v>10286</v>
      </c>
    </row>
    <row r="741" s="18" customFormat="1" ht="14.399999999999999" customHeight="1">
      <c r="A741" s="10" t="s">
        <v>3267</v>
      </c>
      <c r="B741" s="10" t="s">
        <v>3268</v>
      </c>
      <c r="C741" s="13" t="n">
        <v>69371</v>
      </c>
      <c r="D741" s="13" t="n">
        <v>110813</v>
      </c>
      <c r="E741" s="6" t="n">
        <f>SUM(C741,D741)/2</f>
        <v>90092</v>
      </c>
      <c r="F741" s="12" t="n">
        <v>29326</v>
      </c>
      <c r="G741" s="12" t="n">
        <v>44714</v>
      </c>
      <c r="H741" s="6" t="n">
        <f>SUM(F741,G741)/2</f>
        <v>37020</v>
      </c>
    </row>
    <row r="742" s="18" customFormat="1" ht="14.399999999999999" customHeight="1">
      <c r="A742" s="10" t="s">
        <v>5831</v>
      </c>
      <c r="B742" s="10" t="s">
        <v>5832</v>
      </c>
      <c r="C742" s="13" t="n">
        <v>3291</v>
      </c>
      <c r="D742" s="13" t="n">
        <v>5255</v>
      </c>
      <c r="E742" s="6" t="n">
        <f>SUM(C742,D742)/2</f>
        <v>4273</v>
      </c>
      <c r="F742" s="12" t="n">
        <v>7098</v>
      </c>
      <c r="G742" s="12" t="n">
        <v>10585</v>
      </c>
      <c r="H742" s="6" t="n">
        <f>SUM(F742,G742)/2</f>
        <v>8841.5</v>
      </c>
    </row>
    <row r="743" s="18" customFormat="1" ht="14.399999999999999" customHeight="1">
      <c r="A743" s="10" t="s">
        <v>4607</v>
      </c>
      <c r="B743" s="10" t="s">
        <v>4608</v>
      </c>
      <c r="C743" s="13" t="n">
        <v>23825</v>
      </c>
      <c r="D743" s="13" t="n">
        <v>38061</v>
      </c>
      <c r="E743" s="6" t="n">
        <f>SUM(C743,D743)/2</f>
        <v>30943</v>
      </c>
      <c r="F743" s="12" t="n">
        <v>6429</v>
      </c>
      <c r="G743" s="12" t="n">
        <v>8735</v>
      </c>
      <c r="H743" s="6" t="n">
        <f>SUM(F743,G743)/2</f>
        <v>7582</v>
      </c>
    </row>
    <row r="744" s="18" customFormat="1" ht="14.399999999999999" customHeight="1">
      <c r="A744" s="10" t="s">
        <v>5833</v>
      </c>
      <c r="B744" s="10" t="s">
        <v>5834</v>
      </c>
      <c r="C744" s="13" t="n">
        <v>3618</v>
      </c>
      <c r="D744" s="13" t="n">
        <v>5780</v>
      </c>
      <c r="E744" s="6" t="n">
        <f>SUM(C744,D744)/2</f>
        <v>4699</v>
      </c>
      <c r="F744" s="12" t="n">
        <v>4170</v>
      </c>
      <c r="G744" s="12" t="n">
        <v>5925</v>
      </c>
      <c r="H744" s="6" t="n">
        <f>SUM(F744,G744)/2</f>
        <v>5047.5</v>
      </c>
    </row>
    <row r="745" s="18" customFormat="1" ht="14.399999999999999" customHeight="1">
      <c r="A745" s="10" t="s">
        <v>4853</v>
      </c>
      <c r="B745" s="10" t="s">
        <v>4854</v>
      </c>
      <c r="C745" s="13" t="n">
        <v>12388</v>
      </c>
      <c r="D745" s="13" t="n">
        <v>19788</v>
      </c>
      <c r="E745" s="6" t="n">
        <f>SUM(C745,D745)/2</f>
        <v>16088</v>
      </c>
      <c r="F745" s="12" t="n">
        <v>6814</v>
      </c>
      <c r="G745" s="12" t="n">
        <v>8935</v>
      </c>
      <c r="H745" s="6" t="n">
        <f>SUM(F745,G745)/2</f>
        <v>7874.5</v>
      </c>
    </row>
    <row r="746" s="18" customFormat="1" ht="14.399999999999999" customHeight="1">
      <c r="A746" s="10" t="s">
        <v>2865</v>
      </c>
      <c r="B746" s="10" t="s">
        <v>2866</v>
      </c>
      <c r="C746" s="10" t="n">
        <v>0</v>
      </c>
      <c r="D746" s="10" t="n">
        <v>0</v>
      </c>
      <c r="E746" s="6" t="n">
        <f>SUM(C746,D746)/2</f>
        <v>0</v>
      </c>
      <c r="F746" s="18" t="n">
        <v>0</v>
      </c>
      <c r="G746" s="18" t="n">
        <v>0</v>
      </c>
      <c r="H746" s="6" t="n">
        <f>SUM(F746,G746)/2</f>
        <v>0</v>
      </c>
    </row>
    <row r="747" s="18" customFormat="1" ht="14.399999999999999" customHeight="1">
      <c r="A747" s="10" t="s">
        <v>24</v>
      </c>
      <c r="B747" s="10" t="s">
        <v>25</v>
      </c>
      <c r="C747" s="13" t="n">
        <v>7062717</v>
      </c>
      <c r="D747" s="13" t="n">
        <v>11282001</v>
      </c>
      <c r="E747" s="6" t="n">
        <f>SUM(C747,D747)/2</f>
        <v>9172359</v>
      </c>
      <c r="F747" s="12" t="n">
        <v>1376416</v>
      </c>
      <c r="G747" s="12" t="n">
        <v>1882209</v>
      </c>
      <c r="H747" s="6" t="n">
        <f>SUM(F747,G747)/2</f>
        <v>1629312.5</v>
      </c>
    </row>
    <row r="748" s="18" customFormat="1" ht="14.399999999999999" customHeight="1">
      <c r="A748" s="10" t="s">
        <v>2194</v>
      </c>
      <c r="B748" s="10" t="s">
        <v>2195</v>
      </c>
      <c r="C748" s="13" t="n">
        <v>234334</v>
      </c>
      <c r="D748" s="13" t="n">
        <v>374326</v>
      </c>
      <c r="E748" s="6" t="n">
        <f>SUM(C748,D748)/2</f>
        <v>304330</v>
      </c>
      <c r="F748" s="12" t="n">
        <v>37587</v>
      </c>
      <c r="G748" s="12" t="n">
        <v>52185</v>
      </c>
      <c r="H748" s="6" t="n">
        <f>SUM(F748,G748)/2</f>
        <v>44886</v>
      </c>
    </row>
    <row r="749" s="18" customFormat="1" ht="14.399999999999999" customHeight="1">
      <c r="A749" s="10" t="s">
        <v>5835</v>
      </c>
      <c r="B749" s="10" t="s">
        <v>5836</v>
      </c>
      <c r="C749" s="13" t="n">
        <v>6400</v>
      </c>
      <c r="D749" s="13" t="n">
        <v>10224</v>
      </c>
      <c r="E749" s="6" t="n">
        <f>SUM(C749,D749)/2</f>
        <v>8312</v>
      </c>
      <c r="F749" s="12" t="n">
        <v>5151</v>
      </c>
      <c r="G749" s="12" t="n">
        <v>7141</v>
      </c>
      <c r="H749" s="6" t="n">
        <f>SUM(F749,G749)/2</f>
        <v>6146</v>
      </c>
    </row>
    <row r="750" s="18" customFormat="1" ht="14.399999999999999" customHeight="1">
      <c r="A750" s="10" t="s">
        <v>18</v>
      </c>
      <c r="B750" s="10" t="s">
        <v>19</v>
      </c>
      <c r="C750" s="13" t="n">
        <v>5032769</v>
      </c>
      <c r="D750" s="13" t="n">
        <v>8039359</v>
      </c>
      <c r="E750" s="6" t="n">
        <f>SUM(C750,D750)/2</f>
        <v>6536064</v>
      </c>
      <c r="F750" s="12" t="n">
        <v>2834552</v>
      </c>
      <c r="G750" s="12" t="n">
        <v>4290498</v>
      </c>
      <c r="H750" s="6" t="n">
        <f>SUM(F750,G750)/2</f>
        <v>3562525</v>
      </c>
    </row>
    <row r="751" s="18" customFormat="1" ht="14.399999999999999" customHeight="1">
      <c r="A751" s="10" t="s">
        <v>1795</v>
      </c>
      <c r="B751" s="10" t="s">
        <v>1796</v>
      </c>
      <c r="C751" s="10" t="n">
        <v>31</v>
      </c>
      <c r="D751" s="10" t="n">
        <v>47</v>
      </c>
      <c r="E751" s="6" t="n">
        <f>SUM(C751,D751)/2</f>
        <v>39</v>
      </c>
      <c r="F751" s="18" t="n">
        <v>11</v>
      </c>
      <c r="G751" s="18" t="n">
        <v>18</v>
      </c>
      <c r="H751" s="6" t="n">
        <f>SUM(F751,G751)/2</f>
        <v>14.5</v>
      </c>
    </row>
    <row r="752" s="18" customFormat="1" ht="14.399999999999999" customHeight="1">
      <c r="A752" s="10" t="s">
        <v>1725</v>
      </c>
      <c r="B752" s="10" t="s">
        <v>1726</v>
      </c>
      <c r="C752" s="10" t="n">
        <v>70</v>
      </c>
      <c r="D752" s="10" t="n">
        <v>112</v>
      </c>
      <c r="E752" s="6" t="n">
        <f>SUM(C752,D752)/2</f>
        <v>91</v>
      </c>
      <c r="F752" s="18" t="n">
        <v>8</v>
      </c>
      <c r="G752" s="18" t="n">
        <v>13</v>
      </c>
      <c r="H752" s="6" t="n">
        <f>SUM(F752,G752)/2</f>
        <v>10.5</v>
      </c>
    </row>
    <row r="753" s="18" customFormat="1" ht="14.399999999999999" customHeight="1">
      <c r="A753" s="10" t="s">
        <v>1200</v>
      </c>
      <c r="B753" s="10" t="s">
        <v>1201</v>
      </c>
      <c r="C753" s="13" t="n">
        <v>76324</v>
      </c>
      <c r="D753" s="13" t="n">
        <v>121920</v>
      </c>
      <c r="E753" s="6" t="n">
        <f>SUM(C753,D753)/2</f>
        <v>99122</v>
      </c>
      <c r="F753" s="12" t="n">
        <v>66428</v>
      </c>
      <c r="G753" s="12" t="n">
        <v>93763</v>
      </c>
      <c r="H753" s="6" t="n">
        <f>SUM(F753,G753)/2</f>
        <v>80095.5</v>
      </c>
    </row>
    <row r="754" s="18" customFormat="1" ht="14.399999999999999" customHeight="1">
      <c r="A754" s="10" t="s">
        <v>5837</v>
      </c>
      <c r="B754" s="10" t="s">
        <v>5838</v>
      </c>
      <c r="C754" s="13" t="n">
        <v>20363</v>
      </c>
      <c r="D754" s="13" t="n">
        <v>32527</v>
      </c>
      <c r="E754" s="6" t="n">
        <f>SUM(C754,D754)/2</f>
        <v>26445</v>
      </c>
      <c r="F754" s="18" t="n">
        <v>1273</v>
      </c>
      <c r="G754" s="18" t="n">
        <v>3361</v>
      </c>
      <c r="H754" s="6" t="n">
        <f>SUM(F754,G754)/2</f>
        <v>2317</v>
      </c>
    </row>
    <row r="755" s="18" customFormat="1" ht="14.399999999999999" customHeight="1">
      <c r="A755" s="10" t="s">
        <v>5839</v>
      </c>
      <c r="B755" s="10" t="s">
        <v>5840</v>
      </c>
      <c r="C755" s="10" t="n">
        <v>277</v>
      </c>
      <c r="D755" s="10" t="n">
        <v>443</v>
      </c>
      <c r="E755" s="6" t="n">
        <f>SUM(C755,D755)/2</f>
        <v>360</v>
      </c>
      <c r="F755" s="18" t="n">
        <v>26</v>
      </c>
      <c r="G755" s="18" t="n">
        <v>40</v>
      </c>
      <c r="H755" s="6" t="n">
        <f>SUM(F755,G755)/2</f>
        <v>33</v>
      </c>
    </row>
    <row r="756" s="18" customFormat="1" ht="14.399999999999999" customHeight="1">
      <c r="A756" s="10" t="s">
        <v>1240</v>
      </c>
      <c r="B756" s="10" t="s">
        <v>1241</v>
      </c>
      <c r="C756" s="13" t="n">
        <v>243044</v>
      </c>
      <c r="D756" s="13" t="n">
        <v>388238</v>
      </c>
      <c r="E756" s="6" t="n">
        <f>SUM(C756,D756)/2</f>
        <v>315641</v>
      </c>
      <c r="F756" s="12" t="n">
        <v>16498</v>
      </c>
      <c r="G756" s="12" t="n">
        <v>21009</v>
      </c>
      <c r="H756" s="6" t="n">
        <f>SUM(F756,G756)/2</f>
        <v>18753.5</v>
      </c>
    </row>
    <row r="757" s="18" customFormat="1" ht="14.399999999999999" customHeight="1">
      <c r="A757" s="10" t="s">
        <v>997</v>
      </c>
      <c r="B757" s="10" t="s">
        <v>998</v>
      </c>
      <c r="C757" s="13" t="n">
        <v>310438</v>
      </c>
      <c r="D757" s="13" t="n">
        <v>495896</v>
      </c>
      <c r="E757" s="6" t="n">
        <f>SUM(C757,D757)/2</f>
        <v>403167</v>
      </c>
      <c r="F757" s="12" t="n">
        <v>137714</v>
      </c>
      <c r="G757" s="12" t="n">
        <v>202143</v>
      </c>
      <c r="H757" s="6" t="n">
        <f>SUM(F757,G757)/2</f>
        <v>169928.5</v>
      </c>
    </row>
    <row r="758" s="18" customFormat="1" ht="14.399999999999999" customHeight="1">
      <c r="A758" s="10" t="s">
        <v>1063</v>
      </c>
      <c r="B758" s="10" t="s">
        <v>1064</v>
      </c>
      <c r="C758" s="13" t="n">
        <v>618086</v>
      </c>
      <c r="D758" s="13" t="n">
        <v>987330</v>
      </c>
      <c r="E758" s="6" t="n">
        <f>SUM(C758,D758)/2</f>
        <v>802708</v>
      </c>
      <c r="F758" s="12" t="n">
        <v>49826</v>
      </c>
      <c r="G758" s="12" t="n">
        <v>66692</v>
      </c>
      <c r="H758" s="6" t="n">
        <f>SUM(F758,G758)/2</f>
        <v>58259</v>
      </c>
    </row>
    <row r="759" s="18" customFormat="1" ht="14.399999999999999" customHeight="1">
      <c r="A759" s="10" t="s">
        <v>971</v>
      </c>
      <c r="B759" s="10" t="s">
        <v>972</v>
      </c>
      <c r="C759" s="13" t="n">
        <v>475344</v>
      </c>
      <c r="D759" s="13" t="n">
        <v>759316</v>
      </c>
      <c r="E759" s="6" t="n">
        <f>SUM(C759,D759)/2</f>
        <v>617330</v>
      </c>
      <c r="F759" s="12" t="n">
        <v>120932</v>
      </c>
      <c r="G759" s="12" t="n">
        <v>180969</v>
      </c>
      <c r="H759" s="6" t="n">
        <f>SUM(F759,G759)/2</f>
        <v>150950.5</v>
      </c>
    </row>
    <row r="760" s="18" customFormat="1" ht="14.399999999999999" customHeight="1">
      <c r="A760" s="10" t="s">
        <v>5841</v>
      </c>
      <c r="B760" s="10" t="s">
        <v>5842</v>
      </c>
      <c r="C760" s="10" t="n">
        <v>215</v>
      </c>
      <c r="D760" s="10" t="n">
        <v>341</v>
      </c>
      <c r="E760" s="6" t="n">
        <f>SUM(C760,D760)/2</f>
        <v>278</v>
      </c>
      <c r="F760" s="18" t="n">
        <v>216</v>
      </c>
      <c r="G760" s="18" t="n">
        <v>240</v>
      </c>
      <c r="H760" s="6" t="n">
        <f>SUM(F760,G760)/2</f>
        <v>228</v>
      </c>
    </row>
    <row r="761" s="18" customFormat="1" ht="14.399999999999999" customHeight="1">
      <c r="A761" s="10" t="s">
        <v>4723</v>
      </c>
      <c r="B761" s="10" t="s">
        <v>4724</v>
      </c>
      <c r="C761" s="13" t="n">
        <v>24383</v>
      </c>
      <c r="D761" s="13" t="n">
        <v>38951</v>
      </c>
      <c r="E761" s="6" t="n">
        <f>SUM(C761,D761)/2</f>
        <v>31667</v>
      </c>
      <c r="F761" s="12" t="n">
        <v>4657</v>
      </c>
      <c r="G761" s="12" t="n">
        <v>7284</v>
      </c>
      <c r="H761" s="6" t="n">
        <f>SUM(F761,G761)/2</f>
        <v>5970.5</v>
      </c>
    </row>
    <row r="762" s="18" customFormat="1" ht="14.399999999999999" customHeight="1">
      <c r="A762" s="10" t="s">
        <v>4249</v>
      </c>
      <c r="B762" s="10" t="s">
        <v>4250</v>
      </c>
      <c r="C762" s="13" t="n">
        <v>24442</v>
      </c>
      <c r="D762" s="13" t="n">
        <v>39046</v>
      </c>
      <c r="E762" s="6" t="n">
        <f>SUM(C762,D762)/2</f>
        <v>31744</v>
      </c>
      <c r="F762" s="18" t="n">
        <v>10210</v>
      </c>
      <c r="G762" s="18" t="n">
        <v>14918</v>
      </c>
      <c r="H762" s="6" t="n">
        <f>SUM(F762,G762)/2</f>
        <v>12564</v>
      </c>
    </row>
    <row r="763" s="18" customFormat="1" ht="14.399999999999999" customHeight="1">
      <c r="A763" s="10" t="s">
        <v>4951</v>
      </c>
      <c r="B763" s="10" t="s">
        <v>4952</v>
      </c>
      <c r="C763" s="13" t="n">
        <v>13920</v>
      </c>
      <c r="D763" s="13" t="n">
        <v>22234</v>
      </c>
      <c r="E763" s="6" t="n">
        <f>SUM(C763,D763)/2</f>
        <v>18077</v>
      </c>
      <c r="F763" s="12" t="n">
        <v>4799</v>
      </c>
      <c r="G763" s="12" t="n">
        <v>7984</v>
      </c>
      <c r="H763" s="6" t="n">
        <f>SUM(F763,G763)/2</f>
        <v>6391.5</v>
      </c>
    </row>
    <row r="764" s="18" customFormat="1" ht="14.399999999999999" customHeight="1">
      <c r="A764" s="10" t="s">
        <v>5225</v>
      </c>
      <c r="B764" s="10" t="s">
        <v>5226</v>
      </c>
      <c r="C764" s="13" t="n">
        <v>7213</v>
      </c>
      <c r="D764" s="13" t="n">
        <v>11521</v>
      </c>
      <c r="E764" s="6" t="n">
        <f>SUM(C764,D764)/2</f>
        <v>9367</v>
      </c>
      <c r="F764" s="12" t="n">
        <v>1882</v>
      </c>
      <c r="G764" s="12" t="n">
        <v>2570</v>
      </c>
      <c r="H764" s="6" t="n">
        <f>SUM(F764,G764)/2</f>
        <v>2226</v>
      </c>
    </row>
    <row r="765" s="18" customFormat="1" ht="14.399999999999999" customHeight="1">
      <c r="A765" s="10" t="s">
        <v>4823</v>
      </c>
      <c r="B765" s="10" t="s">
        <v>4824</v>
      </c>
      <c r="C765" s="13" t="n">
        <v>27103</v>
      </c>
      <c r="D765" s="13" t="n">
        <v>43296</v>
      </c>
      <c r="E765" s="6" t="n">
        <f>SUM(C765,D765)/2</f>
        <v>35199.5</v>
      </c>
      <c r="F765" s="18" t="n">
        <v>3106</v>
      </c>
      <c r="G765" s="18" t="n">
        <v>5011</v>
      </c>
      <c r="H765" s="6" t="n">
        <f>SUM(F765,G765)/2</f>
        <v>4058.5</v>
      </c>
    </row>
    <row r="766" s="18" customFormat="1" ht="14.399999999999999" customHeight="1">
      <c r="A766" s="10" t="s">
        <v>3323</v>
      </c>
      <c r="B766" s="10" t="s">
        <v>3324</v>
      </c>
      <c r="C766" s="13" t="n">
        <v>57713</v>
      </c>
      <c r="D766" s="13" t="n">
        <v>92191</v>
      </c>
      <c r="E766" s="6" t="n">
        <f>SUM(C766,D766)/2</f>
        <v>74952</v>
      </c>
      <c r="F766" s="12" t="n">
        <v>29347</v>
      </c>
      <c r="G766" s="12" t="n">
        <v>40533</v>
      </c>
      <c r="H766" s="6" t="n">
        <f>SUM(F766,G766)/2</f>
        <v>34940</v>
      </c>
    </row>
    <row r="767" s="18" customFormat="1" ht="14.399999999999999" customHeight="1">
      <c r="A767" s="10" t="s">
        <v>4057</v>
      </c>
      <c r="B767" s="10" t="s">
        <v>4058</v>
      </c>
      <c r="C767" s="13" t="n">
        <v>33782</v>
      </c>
      <c r="D767" s="13" t="n">
        <v>53962</v>
      </c>
      <c r="E767" s="6" t="n">
        <f>SUM(C767,D767)/2</f>
        <v>43872</v>
      </c>
      <c r="F767" s="12" t="n">
        <v>11099</v>
      </c>
      <c r="G767" s="12" t="n">
        <v>16647</v>
      </c>
      <c r="H767" s="6" t="n">
        <f>SUM(F767,G767)/2</f>
        <v>13873</v>
      </c>
    </row>
    <row r="768" s="18" customFormat="1" ht="14.399999999999999" customHeight="1">
      <c r="A768" s="10" t="s">
        <v>1879</v>
      </c>
      <c r="B768" s="10" t="s">
        <v>1880</v>
      </c>
      <c r="C768" s="10" t="n">
        <v>4</v>
      </c>
      <c r="D768" s="10" t="n">
        <v>4</v>
      </c>
      <c r="E768" s="6" t="n">
        <f>SUM(C768,D768)/2</f>
        <v>4</v>
      </c>
      <c r="F768" s="18" t="n">
        <v>14</v>
      </c>
      <c r="G768" s="18" t="n">
        <v>21</v>
      </c>
      <c r="H768" s="6" t="n">
        <f>SUM(F768,G768)/2</f>
        <v>17.5</v>
      </c>
    </row>
    <row r="769" s="18" customFormat="1" ht="14.399999999999999" customHeight="1">
      <c r="A769" s="10" t="s">
        <v>2396</v>
      </c>
      <c r="B769" s="10" t="s">
        <v>2397</v>
      </c>
      <c r="C769" s="13" t="n">
        <v>186689</v>
      </c>
      <c r="D769" s="13" t="n">
        <v>298217</v>
      </c>
      <c r="E769" s="6" t="n">
        <f>SUM(C769,D769)/2</f>
        <v>242453</v>
      </c>
      <c r="F769" s="12" t="n">
        <v>29260</v>
      </c>
      <c r="G769" s="12" t="n">
        <v>44051</v>
      </c>
      <c r="H769" s="6" t="n">
        <f>SUM(F769,G769)/2</f>
        <v>36655.5</v>
      </c>
    </row>
    <row r="770" s="18" customFormat="1" ht="14.399999999999999" customHeight="1">
      <c r="A770" s="10" t="s">
        <v>1978</v>
      </c>
      <c r="B770" s="10" t="s">
        <v>1979</v>
      </c>
      <c r="C770" s="13" t="n">
        <v>210088</v>
      </c>
      <c r="D770" s="13" t="n">
        <v>335594</v>
      </c>
      <c r="E770" s="6" t="n">
        <f>SUM(C770,D770)/2</f>
        <v>272841</v>
      </c>
      <c r="F770" s="12" t="n">
        <v>52734</v>
      </c>
      <c r="G770" s="12" t="n">
        <v>74518</v>
      </c>
      <c r="H770" s="6" t="n">
        <f>SUM(F770,G770)/2</f>
        <v>63626</v>
      </c>
    </row>
    <row r="771" s="18" customFormat="1" ht="14.399999999999999" customHeight="1">
      <c r="A771" s="10" t="s">
        <v>965</v>
      </c>
      <c r="B771" s="10" t="s">
        <v>966</v>
      </c>
      <c r="C771" s="13" t="n">
        <v>983162</v>
      </c>
      <c r="D771" s="13" t="n">
        <v>1570506</v>
      </c>
      <c r="E771" s="6" t="n">
        <f>SUM(C771,D771)/2</f>
        <v>1276834</v>
      </c>
      <c r="F771" s="12" t="n">
        <v>12384</v>
      </c>
      <c r="G771" s="12" t="n">
        <v>16098</v>
      </c>
      <c r="H771" s="6" t="n">
        <f>SUM(F771,G771)/2</f>
        <v>14241</v>
      </c>
    </row>
    <row r="772" s="18" customFormat="1" ht="14.399999999999999" customHeight="1">
      <c r="A772" s="10" t="s">
        <v>1803</v>
      </c>
      <c r="B772" s="10" t="s">
        <v>1804</v>
      </c>
      <c r="C772" s="10" t="n">
        <v>21</v>
      </c>
      <c r="D772" s="10" t="n">
        <v>33</v>
      </c>
      <c r="E772" s="6" t="n">
        <f>SUM(C772,D772)/2</f>
        <v>27</v>
      </c>
      <c r="F772" s="18" t="n">
        <v>13</v>
      </c>
      <c r="G772" s="18" t="n">
        <v>19</v>
      </c>
      <c r="H772" s="6" t="n">
        <f>SUM(F772,G772)/2</f>
        <v>16</v>
      </c>
    </row>
    <row r="773" s="18" customFormat="1" ht="14.399999999999999" customHeight="1">
      <c r="A773" s="10" t="s">
        <v>2436</v>
      </c>
      <c r="B773" s="10" t="s">
        <v>2437</v>
      </c>
      <c r="C773" s="10" t="n">
        <v>2</v>
      </c>
      <c r="D773" s="10" t="n">
        <v>2</v>
      </c>
      <c r="E773" s="6" t="n">
        <f>SUM(C773,D773)/2</f>
        <v>2</v>
      </c>
      <c r="F773" s="18" t="n">
        <v>3</v>
      </c>
      <c r="G773" s="18" t="n">
        <v>4</v>
      </c>
      <c r="H773" s="6" t="n">
        <f>SUM(F773,G773)/2</f>
        <v>3.5</v>
      </c>
    </row>
    <row r="774" s="18" customFormat="1" ht="14.399999999999999" customHeight="1">
      <c r="A774" s="10" t="s">
        <v>4807</v>
      </c>
      <c r="B774" s="10" t="s">
        <v>4808</v>
      </c>
      <c r="C774" s="13" t="n">
        <v>17415</v>
      </c>
      <c r="D774" s="13" t="n">
        <v>27819</v>
      </c>
      <c r="E774" s="6" t="n">
        <f>SUM(C774,D774)/2</f>
        <v>22617</v>
      </c>
      <c r="F774" s="12" t="n">
        <v>6062</v>
      </c>
      <c r="G774" s="12" t="n">
        <v>7678</v>
      </c>
      <c r="H774" s="6" t="n">
        <f>SUM(F774,G774)/2</f>
        <v>6870</v>
      </c>
    </row>
    <row r="775" s="18" customFormat="1" ht="14.399999999999999" customHeight="1">
      <c r="A775" s="10" t="s">
        <v>5843</v>
      </c>
      <c r="B775" s="10" t="s">
        <v>5844</v>
      </c>
      <c r="C775" s="10"/>
      <c r="D775" s="10"/>
      <c r="E775" s="6" t="n">
        <f>SUM(C775,D775)/2</f>
        <v>0</v>
      </c>
      <c r="F775" s="12" t="n">
        <v>21733</v>
      </c>
      <c r="G775" s="12" t="n">
        <v>36607</v>
      </c>
      <c r="H775" s="6" t="n">
        <f>SUM(F775,G775)/2</f>
        <v>29170</v>
      </c>
    </row>
    <row r="776" s="18" customFormat="1" ht="14.399999999999999" customHeight="1">
      <c r="A776" s="10" t="s">
        <v>3509</v>
      </c>
      <c r="B776" s="10" t="s">
        <v>3510</v>
      </c>
      <c r="C776" s="13" t="n">
        <v>116602</v>
      </c>
      <c r="D776" s="13" t="n">
        <v>186260</v>
      </c>
      <c r="E776" s="6" t="n">
        <f>SUM(C776,D776)/2</f>
        <v>151431</v>
      </c>
      <c r="F776" s="12" t="n">
        <v>7987</v>
      </c>
      <c r="G776" s="12" t="n">
        <v>11757</v>
      </c>
      <c r="H776" s="6" t="n">
        <f>SUM(F776,G776)/2</f>
        <v>9872</v>
      </c>
    </row>
    <row r="777" s="18" customFormat="1" ht="14.399999999999999" customHeight="1">
      <c r="A777" s="10" t="s">
        <v>2350</v>
      </c>
      <c r="B777" s="10" t="s">
        <v>2351</v>
      </c>
      <c r="C777" s="10" t="n">
        <v>19</v>
      </c>
      <c r="D777" s="10" t="n">
        <v>29</v>
      </c>
      <c r="E777" s="6" t="n">
        <f>SUM(C777,D777)/2</f>
        <v>24</v>
      </c>
      <c r="F777" s="18" t="n">
        <v>0</v>
      </c>
      <c r="G777" s="18" t="n">
        <v>0</v>
      </c>
      <c r="H777" s="6" t="n">
        <f>SUM(F777,G777)/2</f>
        <v>0</v>
      </c>
    </row>
    <row r="778" s="18" customFormat="1" ht="14.399999999999999" customHeight="1">
      <c r="A778" s="10" t="s">
        <v>3421</v>
      </c>
      <c r="B778" s="10" t="s">
        <v>3422</v>
      </c>
      <c r="C778" s="13" t="n">
        <v>40497</v>
      </c>
      <c r="D778" s="13" t="n">
        <v>64691</v>
      </c>
      <c r="E778" s="6" t="n">
        <f>SUM(C778,D778)/2</f>
        <v>52594</v>
      </c>
      <c r="F778" s="12" t="n">
        <v>27669</v>
      </c>
      <c r="G778" s="12" t="n">
        <v>41824</v>
      </c>
      <c r="H778" s="6" t="n">
        <f>SUM(F778,G778)/2</f>
        <v>34746.5</v>
      </c>
    </row>
    <row r="779" s="18" customFormat="1" ht="14.399999999999999" customHeight="1">
      <c r="A779" s="10" t="s">
        <v>5845</v>
      </c>
      <c r="B779" s="10" t="s">
        <v>5846</v>
      </c>
      <c r="C779" s="13" t="n">
        <v>29455</v>
      </c>
      <c r="D779" s="13" t="n">
        <v>47053</v>
      </c>
      <c r="E779" s="6" t="n">
        <f>SUM(C779,D779)/2</f>
        <v>38254</v>
      </c>
      <c r="F779" s="12" t="n">
        <v>7808</v>
      </c>
      <c r="G779" s="12" t="n">
        <v>11437</v>
      </c>
      <c r="H779" s="6" t="n">
        <f>SUM(F779,G779)/2</f>
        <v>9622.5</v>
      </c>
    </row>
    <row r="780" s="18" customFormat="1" ht="14.399999999999999" customHeight="1">
      <c r="A780" s="10" t="s">
        <v>1819</v>
      </c>
      <c r="B780" s="10" t="s">
        <v>1820</v>
      </c>
      <c r="C780" s="10" t="n">
        <v>29</v>
      </c>
      <c r="D780" s="10" t="n">
        <v>47</v>
      </c>
      <c r="E780" s="6" t="n">
        <f>SUM(C780,D780)/2</f>
        <v>38</v>
      </c>
      <c r="F780" s="18" t="n">
        <v>10</v>
      </c>
      <c r="G780" s="18" t="n">
        <v>16</v>
      </c>
      <c r="H780" s="6" t="n">
        <f>SUM(F780,G780)/2</f>
        <v>13</v>
      </c>
    </row>
    <row r="781" s="18" customFormat="1" ht="14.399999999999999" customHeight="1">
      <c r="A781" s="10" t="s">
        <v>434</v>
      </c>
      <c r="B781" s="10" t="s">
        <v>435</v>
      </c>
      <c r="C781" s="13" t="n">
        <v>1391</v>
      </c>
      <c r="D781" s="13" t="n">
        <v>2223</v>
      </c>
      <c r="E781" s="6" t="n">
        <f>SUM(C781,D781)/2</f>
        <v>1807</v>
      </c>
      <c r="F781" s="18" t="n">
        <v>652</v>
      </c>
      <c r="G781" s="18" t="n">
        <v>783</v>
      </c>
      <c r="H781" s="6" t="n">
        <f>SUM(F781,G781)/2</f>
        <v>717.5</v>
      </c>
    </row>
    <row r="782" s="18" customFormat="1" ht="14.399999999999999" customHeight="1">
      <c r="A782" s="10" t="s">
        <v>5203</v>
      </c>
      <c r="B782" s="10" t="s">
        <v>5204</v>
      </c>
      <c r="C782" s="13" t="n">
        <v>2313</v>
      </c>
      <c r="D782" s="13" t="n">
        <v>3695</v>
      </c>
      <c r="E782" s="6" t="n">
        <f>SUM(C782,D782)/2</f>
        <v>3004</v>
      </c>
      <c r="F782" s="12" t="n">
        <v>3855</v>
      </c>
      <c r="G782" s="12" t="n">
        <v>5865</v>
      </c>
      <c r="H782" s="6" t="n">
        <f>SUM(F782,G782)/2</f>
        <v>4860</v>
      </c>
    </row>
    <row r="783" s="18" customFormat="1" ht="14.399999999999999" customHeight="1">
      <c r="A783" s="10" t="s">
        <v>4811</v>
      </c>
      <c r="B783" s="10" t="s">
        <v>4812</v>
      </c>
      <c r="C783" s="13" t="n">
        <v>21849</v>
      </c>
      <c r="D783" s="13" t="n">
        <v>34899</v>
      </c>
      <c r="E783" s="6" t="n">
        <f>SUM(C783,D783)/2</f>
        <v>28374</v>
      </c>
      <c r="F783" s="12" t="n">
        <v>4682</v>
      </c>
      <c r="G783" s="12" t="n">
        <v>6468</v>
      </c>
      <c r="H783" s="6" t="n">
        <f>SUM(F783,G783)/2</f>
        <v>5575</v>
      </c>
    </row>
    <row r="784" s="18" customFormat="1" ht="14.399999999999999" customHeight="1">
      <c r="A784" s="10" t="s">
        <v>5847</v>
      </c>
      <c r="B784" s="10" t="s">
        <v>5848</v>
      </c>
      <c r="C784" s="13" t="n">
        <v>220280</v>
      </c>
      <c r="D784" s="13" t="n">
        <v>351878</v>
      </c>
      <c r="E784" s="6" t="n">
        <f>SUM(C784,D784)/2</f>
        <v>286079</v>
      </c>
      <c r="F784" s="12" t="n">
        <v>127433</v>
      </c>
      <c r="G784" s="12" t="n">
        <v>205889</v>
      </c>
      <c r="H784" s="6" t="n">
        <f>SUM(F784,G784)/2</f>
        <v>166661</v>
      </c>
    </row>
    <row r="785" s="18" customFormat="1" ht="14.399999999999999" customHeight="1">
      <c r="A785" s="10" t="s">
        <v>4773</v>
      </c>
      <c r="B785" s="10" t="s">
        <v>4774</v>
      </c>
      <c r="C785" s="13" t="n">
        <v>12176</v>
      </c>
      <c r="D785" s="13" t="n">
        <v>19450</v>
      </c>
      <c r="E785" s="6" t="n">
        <f>SUM(C785,D785)/2</f>
        <v>15813</v>
      </c>
      <c r="F785" s="12" t="n">
        <v>7376</v>
      </c>
      <c r="G785" s="12" t="n">
        <v>10004</v>
      </c>
      <c r="H785" s="6" t="n">
        <f>SUM(F785,G785)/2</f>
        <v>8690</v>
      </c>
    </row>
    <row r="786" s="18" customFormat="1" ht="14.399999999999999" customHeight="1">
      <c r="A786" s="10" t="s">
        <v>3977</v>
      </c>
      <c r="B786" s="10" t="s">
        <v>3978</v>
      </c>
      <c r="C786" s="13" t="n">
        <v>13480</v>
      </c>
      <c r="D786" s="13" t="n">
        <v>21532</v>
      </c>
      <c r="E786" s="6" t="n">
        <f>SUM(C786,D786)/2</f>
        <v>17506</v>
      </c>
      <c r="F786" s="12" t="n">
        <v>17812</v>
      </c>
      <c r="G786" s="12" t="n">
        <v>25552</v>
      </c>
      <c r="H786" s="6" t="n">
        <f>SUM(F786,G786)/2</f>
        <v>21682</v>
      </c>
    </row>
    <row r="787" s="18" customFormat="1" ht="14.399999999999999" customHeight="1">
      <c r="A787" s="10" t="s">
        <v>2867</v>
      </c>
      <c r="B787" s="10" t="s">
        <v>2868</v>
      </c>
      <c r="C787" s="10" t="n">
        <v>0</v>
      </c>
      <c r="D787" s="10" t="n">
        <v>0</v>
      </c>
      <c r="E787" s="6" t="n">
        <f>SUM(C787,D787)/2</f>
        <v>0</v>
      </c>
      <c r="F787" s="18" t="n">
        <v>0</v>
      </c>
      <c r="G787" s="18" t="n">
        <v>0</v>
      </c>
      <c r="H787" s="6" t="n">
        <f>SUM(F787,G787)/2</f>
        <v>0</v>
      </c>
    </row>
    <row r="788" s="18" customFormat="1" ht="14.399999999999999" customHeight="1">
      <c r="A788" s="10" t="s">
        <v>3537</v>
      </c>
      <c r="B788" s="10" t="s">
        <v>3538</v>
      </c>
      <c r="C788" s="13" t="n">
        <v>99872</v>
      </c>
      <c r="D788" s="13" t="n">
        <v>159536</v>
      </c>
      <c r="E788" s="6" t="n">
        <f>SUM(C788,D788)/2</f>
        <v>129704</v>
      </c>
      <c r="F788" s="12" t="n">
        <v>10738</v>
      </c>
      <c r="G788" s="12" t="n">
        <v>16372</v>
      </c>
      <c r="H788" s="6" t="n">
        <f>SUM(F788,G788)/2</f>
        <v>13555</v>
      </c>
    </row>
    <row r="789" s="18" customFormat="1" ht="14.399999999999999" customHeight="1">
      <c r="A789" s="10" t="s">
        <v>2578</v>
      </c>
      <c r="B789" s="10" t="s">
        <v>2579</v>
      </c>
      <c r="C789" s="10" t="n">
        <v>0</v>
      </c>
      <c r="D789" s="10" t="n">
        <v>0</v>
      </c>
      <c r="E789" s="6" t="n">
        <f>SUM(C789,D789)/2</f>
        <v>0</v>
      </c>
      <c r="F789" s="18" t="n">
        <v>2</v>
      </c>
      <c r="G789" s="18" t="n">
        <v>2</v>
      </c>
      <c r="H789" s="6" t="n">
        <f>SUM(F789,G789)/2</f>
        <v>2</v>
      </c>
    </row>
    <row r="790" s="18" customFormat="1" ht="14.399999999999999" customHeight="1">
      <c r="A790" s="10" t="s">
        <v>714</v>
      </c>
      <c r="B790" s="10" t="s">
        <v>715</v>
      </c>
      <c r="C790" s="13" t="n">
        <v>2495840</v>
      </c>
      <c r="D790" s="13" t="n">
        <v>3986864</v>
      </c>
      <c r="E790" s="6" t="n">
        <f>SUM(C790,D790)/2</f>
        <v>3241352</v>
      </c>
      <c r="F790" s="12" t="n">
        <v>226652</v>
      </c>
      <c r="G790" s="12" t="n">
        <v>826550</v>
      </c>
      <c r="H790" s="6" t="n">
        <f>SUM(F790,G790)/2</f>
        <v>526601</v>
      </c>
    </row>
    <row r="791" s="18" customFormat="1" ht="14.399999999999999" customHeight="1">
      <c r="A791" s="10" t="s">
        <v>692</v>
      </c>
      <c r="B791" s="10" t="s">
        <v>693</v>
      </c>
      <c r="C791" s="13" t="n">
        <v>7061637</v>
      </c>
      <c r="D791" s="13" t="n">
        <v>11280279</v>
      </c>
      <c r="E791" s="6" t="n">
        <f>SUM(C791,D791)/2</f>
        <v>9170958</v>
      </c>
      <c r="F791" s="12" t="n">
        <v>677878</v>
      </c>
      <c r="G791" s="12" t="n">
        <v>1295560</v>
      </c>
      <c r="H791" s="6" t="n">
        <f>SUM(F791,G791)/2</f>
        <v>986719</v>
      </c>
    </row>
    <row r="792" s="18" customFormat="1" ht="14.399999999999999" customHeight="1">
      <c r="A792" s="10" t="s">
        <v>2528</v>
      </c>
      <c r="B792" s="10" t="s">
        <v>2529</v>
      </c>
      <c r="C792" s="10" t="n">
        <v>10</v>
      </c>
      <c r="D792" s="10" t="n">
        <v>16</v>
      </c>
      <c r="E792" s="6" t="n">
        <f>SUM(C792,D792)/2</f>
        <v>13</v>
      </c>
      <c r="F792" s="18" t="n">
        <v>0</v>
      </c>
      <c r="G792" s="18" t="n">
        <v>0</v>
      </c>
      <c r="H792" s="6" t="n">
        <f>SUM(F792,G792)/2</f>
        <v>0</v>
      </c>
    </row>
    <row r="793" s="18" customFormat="1" ht="14.399999999999999" customHeight="1">
      <c r="A793" s="10" t="s">
        <v>5849</v>
      </c>
      <c r="B793" s="10" t="s">
        <v>5850</v>
      </c>
      <c r="C793" s="10" t="n">
        <v>181</v>
      </c>
      <c r="D793" s="10" t="n">
        <v>287</v>
      </c>
      <c r="E793" s="6" t="n">
        <f>SUM(C793,D793)/2</f>
        <v>234</v>
      </c>
      <c r="F793" s="18" t="n">
        <v>11</v>
      </c>
      <c r="G793" s="18" t="n">
        <v>14</v>
      </c>
      <c r="H793" s="6" t="n">
        <f>SUM(F793,G793)/2</f>
        <v>12.5</v>
      </c>
    </row>
    <row r="794" s="18" customFormat="1" ht="14.399999999999999" customHeight="1">
      <c r="A794" s="10" t="s">
        <v>1923</v>
      </c>
      <c r="B794" s="10" t="s">
        <v>1924</v>
      </c>
      <c r="C794" s="10" t="n">
        <v>4</v>
      </c>
      <c r="D794" s="10" t="n">
        <v>6</v>
      </c>
      <c r="E794" s="6" t="n">
        <f>SUM(C794,D794)/2</f>
        <v>5</v>
      </c>
      <c r="F794" s="18" t="n">
        <v>12</v>
      </c>
      <c r="G794" s="18" t="n">
        <v>16</v>
      </c>
      <c r="H794" s="6" t="n">
        <f>SUM(F794,G794)/2</f>
        <v>14</v>
      </c>
    </row>
    <row r="795" s="18" customFormat="1" ht="14.399999999999999" customHeight="1">
      <c r="A795" s="10" t="s">
        <v>5851</v>
      </c>
      <c r="B795" s="10" t="s">
        <v>5852</v>
      </c>
      <c r="C795" s="10" t="n">
        <v>168</v>
      </c>
      <c r="D795" s="10" t="n">
        <v>268</v>
      </c>
      <c r="E795" s="6" t="n">
        <f>SUM(C795,D795)/2</f>
        <v>218</v>
      </c>
      <c r="F795" s="18" t="n">
        <v>105</v>
      </c>
      <c r="G795" s="18" t="n">
        <v>126</v>
      </c>
      <c r="H795" s="6" t="n">
        <f>SUM(F795,G795)/2</f>
        <v>115.5</v>
      </c>
    </row>
    <row r="796" s="18" customFormat="1" ht="14.399999999999999" customHeight="1">
      <c r="A796" s="10" t="s">
        <v>2490</v>
      </c>
      <c r="B796" s="10" t="s">
        <v>2491</v>
      </c>
      <c r="C796" s="10" t="n">
        <v>12</v>
      </c>
      <c r="D796" s="10" t="n">
        <v>18</v>
      </c>
      <c r="E796" s="6" t="n">
        <f>SUM(C796,D796)/2</f>
        <v>15</v>
      </c>
      <c r="F796" s="18" t="n">
        <v>0</v>
      </c>
      <c r="G796" s="18" t="n">
        <v>0</v>
      </c>
      <c r="H796" s="6" t="n">
        <f>SUM(F796,G796)/2</f>
        <v>0</v>
      </c>
    </row>
    <row r="797" s="18" customFormat="1" ht="14.399999999999999" customHeight="1">
      <c r="A797" s="10" t="s">
        <v>1823</v>
      </c>
      <c r="B797" s="10" t="s">
        <v>1824</v>
      </c>
      <c r="C797" s="10" t="n">
        <v>54</v>
      </c>
      <c r="D797" s="10" t="n">
        <v>86</v>
      </c>
      <c r="E797" s="6" t="n">
        <f>SUM(C797,D797)/2</f>
        <v>70</v>
      </c>
      <c r="F797" s="18" t="n">
        <v>5</v>
      </c>
      <c r="G797" s="18" t="n">
        <v>7</v>
      </c>
      <c r="H797" s="6" t="n">
        <f>SUM(F797,G797)/2</f>
        <v>6</v>
      </c>
    </row>
    <row r="798" s="18" customFormat="1" ht="14.399999999999999" customHeight="1">
      <c r="A798" s="10" t="s">
        <v>2204</v>
      </c>
      <c r="B798" s="10" t="s">
        <v>2205</v>
      </c>
      <c r="C798" s="10" t="n">
        <v>23</v>
      </c>
      <c r="D798" s="10" t="n">
        <v>37</v>
      </c>
      <c r="E798" s="6" t="n">
        <f>SUM(C798,D798)/2</f>
        <v>30</v>
      </c>
      <c r="F798" s="18" t="n">
        <v>1</v>
      </c>
      <c r="G798" s="18" t="n">
        <v>1</v>
      </c>
      <c r="H798" s="6" t="n">
        <f>SUM(F798,G798)/2</f>
        <v>1</v>
      </c>
    </row>
    <row r="799" s="18" customFormat="1" ht="14.399999999999999" customHeight="1">
      <c r="A799" s="10" t="s">
        <v>5853</v>
      </c>
      <c r="B799" s="10" t="s">
        <v>5854</v>
      </c>
      <c r="C799" s="10" t="n">
        <v>198</v>
      </c>
      <c r="D799" s="10" t="n">
        <v>314</v>
      </c>
      <c r="E799" s="6" t="n">
        <f>SUM(C799,D799)/2</f>
        <v>256</v>
      </c>
      <c r="F799" s="18" t="n">
        <v>9</v>
      </c>
      <c r="G799" s="18" t="n">
        <v>12</v>
      </c>
      <c r="H799" s="6" t="n">
        <f>SUM(F799,G799)/2</f>
        <v>10.5</v>
      </c>
    </row>
    <row r="800" s="18" customFormat="1" ht="14.399999999999999" customHeight="1">
      <c r="A800" s="10" t="s">
        <v>5855</v>
      </c>
      <c r="B800" s="10" t="s">
        <v>5856</v>
      </c>
      <c r="C800" s="13" t="n">
        <v>59877</v>
      </c>
      <c r="D800" s="13" t="n">
        <v>95647</v>
      </c>
      <c r="E800" s="6" t="n">
        <f>SUM(C800,D800)/2</f>
        <v>77762</v>
      </c>
      <c r="F800" s="12" t="n">
        <v>12753</v>
      </c>
      <c r="G800" s="12" t="n">
        <v>15795</v>
      </c>
      <c r="H800" s="6" t="n">
        <f>SUM(F800,G800)/2</f>
        <v>14274</v>
      </c>
    </row>
    <row r="801" s="18" customFormat="1" ht="14.399999999999999" customHeight="1">
      <c r="A801" s="10" t="s">
        <v>4467</v>
      </c>
      <c r="B801" s="10" t="s">
        <v>4468</v>
      </c>
      <c r="C801" s="13" t="n">
        <v>32943</v>
      </c>
      <c r="D801" s="13" t="n">
        <v>52623</v>
      </c>
      <c r="E801" s="6" t="n">
        <f>SUM(C801,D801)/2</f>
        <v>42783</v>
      </c>
      <c r="F801" s="12" t="n">
        <v>5504</v>
      </c>
      <c r="G801" s="12" t="n">
        <v>7981</v>
      </c>
      <c r="H801" s="6" t="n">
        <f>SUM(F801,G801)/2</f>
        <v>6742.5</v>
      </c>
    </row>
    <row r="802" s="18" customFormat="1" ht="14.399999999999999" customHeight="1">
      <c r="A802" s="10" t="s">
        <v>5857</v>
      </c>
      <c r="B802" s="10" t="s">
        <v>5858</v>
      </c>
      <c r="C802" s="10"/>
      <c r="D802" s="10"/>
      <c r="E802" s="6" t="n">
        <f>SUM(C802,D802)/2</f>
        <v>0</v>
      </c>
      <c r="F802" s="18" t="n">
        <v>221</v>
      </c>
      <c r="G802" s="18" t="n">
        <v>246</v>
      </c>
      <c r="H802" s="6" t="n">
        <f>SUM(F802,G802)/2</f>
        <v>233.5</v>
      </c>
    </row>
    <row r="803" s="18" customFormat="1" ht="14.399999999999999" customHeight="1">
      <c r="A803" s="10" t="s">
        <v>5308</v>
      </c>
      <c r="B803" s="10" t="s">
        <v>5309</v>
      </c>
      <c r="C803" s="10" t="n">
        <v>381</v>
      </c>
      <c r="D803" s="10" t="n">
        <v>609</v>
      </c>
      <c r="E803" s="6" t="n">
        <f>SUM(C803,D803)/2</f>
        <v>495</v>
      </c>
      <c r="F803" s="18" t="n">
        <v>447</v>
      </c>
      <c r="G803" s="18" t="n">
        <v>684</v>
      </c>
      <c r="H803" s="6" t="n">
        <f>SUM(F803,G803)/2</f>
        <v>565.5</v>
      </c>
    </row>
    <row r="804" s="18" customFormat="1" ht="14.399999999999999" customHeight="1">
      <c r="A804" s="10" t="s">
        <v>4115</v>
      </c>
      <c r="B804" s="10" t="s">
        <v>4116</v>
      </c>
      <c r="C804" s="13" t="n">
        <v>20693</v>
      </c>
      <c r="D804" s="13" t="n">
        <v>33054</v>
      </c>
      <c r="E804" s="6" t="n">
        <f>SUM(C804,D804)/2</f>
        <v>26873.5</v>
      </c>
      <c r="F804" s="12" t="n">
        <v>14028</v>
      </c>
      <c r="G804" s="12" t="n">
        <v>18429</v>
      </c>
      <c r="H804" s="6" t="n">
        <f>SUM(F804,G804)/2</f>
        <v>16228.5</v>
      </c>
    </row>
    <row r="805" s="18" customFormat="1" ht="14.399999999999999" customHeight="1">
      <c r="A805" s="10" t="s">
        <v>3649</v>
      </c>
      <c r="B805" s="10" t="s">
        <v>3650</v>
      </c>
      <c r="C805" s="13" t="n">
        <v>55154</v>
      </c>
      <c r="D805" s="13" t="n">
        <v>88104</v>
      </c>
      <c r="E805" s="6" t="n">
        <f>SUM(C805,D805)/2</f>
        <v>71629</v>
      </c>
      <c r="F805" s="12" t="n">
        <v>16335</v>
      </c>
      <c r="G805" s="12" t="n">
        <v>25201</v>
      </c>
      <c r="H805" s="6" t="n">
        <f>SUM(F805,G805)/2</f>
        <v>20768</v>
      </c>
    </row>
    <row r="806" s="18" customFormat="1" ht="14.399999999999999" customHeight="1">
      <c r="A806" s="10" t="s">
        <v>4431</v>
      </c>
      <c r="B806" s="10" t="s">
        <v>4432</v>
      </c>
      <c r="C806" s="13" t="n">
        <v>23700</v>
      </c>
      <c r="D806" s="13" t="n">
        <v>37856</v>
      </c>
      <c r="E806" s="6" t="n">
        <f>SUM(C806,D806)/2</f>
        <v>30778</v>
      </c>
      <c r="F806" s="12" t="n">
        <v>7955</v>
      </c>
      <c r="G806" s="12" t="n">
        <v>11747</v>
      </c>
      <c r="H806" s="6" t="n">
        <f>SUM(F806,G806)/2</f>
        <v>9851</v>
      </c>
    </row>
    <row r="807" s="18" customFormat="1" ht="14.399999999999999" customHeight="1">
      <c r="A807" s="10" t="s">
        <v>4945</v>
      </c>
      <c r="B807" s="10" t="s">
        <v>4946</v>
      </c>
      <c r="C807" s="13" t="n">
        <v>17517</v>
      </c>
      <c r="D807" s="13" t="n">
        <v>27981</v>
      </c>
      <c r="E807" s="6" t="n">
        <f>SUM(C807,D807)/2</f>
        <v>22749</v>
      </c>
      <c r="F807" s="12" t="n">
        <v>4370</v>
      </c>
      <c r="G807" s="12" t="n">
        <v>6477</v>
      </c>
      <c r="H807" s="6" t="n">
        <f>SUM(F807,G807)/2</f>
        <v>5423.5</v>
      </c>
    </row>
    <row r="808" s="18" customFormat="1" ht="14.399999999999999" customHeight="1">
      <c r="A808" s="10" t="s">
        <v>3501</v>
      </c>
      <c r="B808" s="10" t="s">
        <v>3502</v>
      </c>
      <c r="C808" s="13" t="n">
        <v>104216</v>
      </c>
      <c r="D808" s="13" t="n">
        <v>166472</v>
      </c>
      <c r="E808" s="6" t="n">
        <f>SUM(C808,D808)/2</f>
        <v>135344</v>
      </c>
      <c r="F808" s="12" t="n">
        <v>11839</v>
      </c>
      <c r="G808" s="12" t="n">
        <v>14910</v>
      </c>
      <c r="H808" s="6" t="n">
        <f>SUM(F808,G808)/2</f>
        <v>13374.5</v>
      </c>
    </row>
    <row r="809" s="18" customFormat="1" ht="14.399999999999999" customHeight="1">
      <c r="A809" s="10" t="s">
        <v>5859</v>
      </c>
      <c r="B809" s="10" t="s">
        <v>5860</v>
      </c>
      <c r="C809" s="10" t="n">
        <v>48</v>
      </c>
      <c r="D809" s="10" t="n">
        <v>76</v>
      </c>
      <c r="E809" s="6" t="n">
        <f>SUM(C809,D809)/2</f>
        <v>62</v>
      </c>
      <c r="F809" s="18" t="n">
        <v>0</v>
      </c>
      <c r="G809" s="18" t="n">
        <v>0</v>
      </c>
      <c r="H809" s="6" t="n">
        <f>SUM(F809,G809)/2</f>
        <v>0</v>
      </c>
    </row>
    <row r="810" s="18" customFormat="1" ht="14.399999999999999" customHeight="1">
      <c r="A810" s="10" t="s">
        <v>3825</v>
      </c>
      <c r="B810" s="10" t="s">
        <v>3826</v>
      </c>
      <c r="C810" s="13" t="n">
        <v>52796</v>
      </c>
      <c r="D810" s="13" t="n">
        <v>84338</v>
      </c>
      <c r="E810" s="6" t="n">
        <f>SUM(C810,D810)/2</f>
        <v>68567</v>
      </c>
      <c r="F810" s="12" t="n">
        <v>11587</v>
      </c>
      <c r="G810" s="12" t="n">
        <v>17897</v>
      </c>
      <c r="H810" s="6" t="n">
        <f>SUM(F810,G810)/2</f>
        <v>14742</v>
      </c>
    </row>
    <row r="811" s="18" customFormat="1" ht="14.399999999999999" customHeight="1">
      <c r="A811" s="10" t="s">
        <v>4463</v>
      </c>
      <c r="B811" s="10" t="s">
        <v>4464</v>
      </c>
      <c r="C811" s="13" t="n">
        <v>22046</v>
      </c>
      <c r="D811" s="13" t="n">
        <v>35218</v>
      </c>
      <c r="E811" s="6" t="n">
        <f>SUM(C811,D811)/2</f>
        <v>28632</v>
      </c>
      <c r="F811" s="12" t="n">
        <v>8093</v>
      </c>
      <c r="G811" s="12" t="n">
        <v>11451</v>
      </c>
      <c r="H811" s="6" t="n">
        <f>SUM(F811,G811)/2</f>
        <v>9772</v>
      </c>
    </row>
    <row r="812" s="18" customFormat="1" ht="14.399999999999999" customHeight="1">
      <c r="A812" s="10" t="s">
        <v>4549</v>
      </c>
      <c r="B812" s="10" t="s">
        <v>4550</v>
      </c>
      <c r="C812" s="13" t="n">
        <v>16402</v>
      </c>
      <c r="D812" s="13" t="n">
        <v>26202</v>
      </c>
      <c r="E812" s="6" t="n">
        <f>SUM(C812,D812)/2</f>
        <v>21302</v>
      </c>
      <c r="F812" s="12" t="n">
        <v>8376</v>
      </c>
      <c r="G812" s="12" t="n">
        <v>11934</v>
      </c>
      <c r="H812" s="6" t="n">
        <f>SUM(F812,G812)/2</f>
        <v>10155</v>
      </c>
    </row>
    <row r="813" s="18" customFormat="1" ht="14.399999999999999" customHeight="1">
      <c r="A813" s="10" t="s">
        <v>1817</v>
      </c>
      <c r="B813" s="10" t="s">
        <v>1818</v>
      </c>
      <c r="C813" s="10" t="n">
        <v>23</v>
      </c>
      <c r="D813" s="10" t="n">
        <v>35</v>
      </c>
      <c r="E813" s="6" t="n">
        <f>SUM(C813,D813)/2</f>
        <v>29</v>
      </c>
      <c r="F813" s="18" t="n">
        <v>10</v>
      </c>
      <c r="G813" s="18" t="n">
        <v>20</v>
      </c>
      <c r="H813" s="6" t="n">
        <f>SUM(F813,G813)/2</f>
        <v>15</v>
      </c>
    </row>
    <row r="814" s="18" customFormat="1" ht="14.399999999999999" customHeight="1">
      <c r="A814" s="10" t="s">
        <v>3823</v>
      </c>
      <c r="B814" s="10" t="s">
        <v>3824</v>
      </c>
      <c r="C814" s="13" t="n">
        <v>29341</v>
      </c>
      <c r="D814" s="13" t="n">
        <v>46871</v>
      </c>
      <c r="E814" s="6" t="n">
        <f>SUM(C814,D814)/2</f>
        <v>38106</v>
      </c>
      <c r="F814" s="12" t="n">
        <v>16862</v>
      </c>
      <c r="G814" s="12" t="n">
        <v>25721</v>
      </c>
      <c r="H814" s="6" t="n">
        <f>SUM(F814,G814)/2</f>
        <v>21291.5</v>
      </c>
    </row>
    <row r="815" s="18" customFormat="1" ht="14.399999999999999" customHeight="1">
      <c r="A815" s="10" t="s">
        <v>2404</v>
      </c>
      <c r="B815" s="10" t="s">
        <v>2405</v>
      </c>
      <c r="C815" s="10" t="n">
        <v>0</v>
      </c>
      <c r="D815" s="10" t="n">
        <v>0</v>
      </c>
      <c r="E815" s="6" t="n">
        <f>SUM(C815,D815)/2</f>
        <v>0</v>
      </c>
      <c r="F815" s="18" t="n">
        <v>4</v>
      </c>
      <c r="G815" s="18" t="n">
        <v>5</v>
      </c>
      <c r="H815" s="6" t="n">
        <f>SUM(F815,G815)/2</f>
        <v>4.5</v>
      </c>
    </row>
    <row r="816" s="18" customFormat="1" ht="14.399999999999999" customHeight="1">
      <c r="A816" s="10" t="s">
        <v>1338</v>
      </c>
      <c r="B816" s="10" t="s">
        <v>1339</v>
      </c>
      <c r="C816" s="10" t="n">
        <v>203</v>
      </c>
      <c r="D816" s="10" t="n">
        <v>321</v>
      </c>
      <c r="E816" s="6" t="n">
        <f>SUM(C816,D816)/2</f>
        <v>262</v>
      </c>
      <c r="F816" s="18" t="n">
        <v>24</v>
      </c>
      <c r="G816" s="18" t="n">
        <v>33</v>
      </c>
      <c r="H816" s="6" t="n">
        <f>SUM(F816,G816)/2</f>
        <v>28.5</v>
      </c>
    </row>
    <row r="817" s="18" customFormat="1" ht="14.399999999999999" customHeight="1">
      <c r="A817" s="10" t="s">
        <v>3285</v>
      </c>
      <c r="B817" s="10" t="s">
        <v>3286</v>
      </c>
      <c r="C817" s="13" t="n">
        <v>30207</v>
      </c>
      <c r="D817" s="13" t="n">
        <v>48253</v>
      </c>
      <c r="E817" s="6" t="n">
        <f>SUM(C817,D817)/2</f>
        <v>39230</v>
      </c>
      <c r="F817" s="12" t="n">
        <v>36382</v>
      </c>
      <c r="G817" s="12" t="n">
        <v>55980</v>
      </c>
      <c r="H817" s="6" t="n">
        <f>SUM(F817,G817)/2</f>
        <v>46181</v>
      </c>
    </row>
    <row r="818" s="18" customFormat="1" ht="14.399999999999999" customHeight="1">
      <c r="A818" s="10" t="s">
        <v>3789</v>
      </c>
      <c r="B818" s="10" t="s">
        <v>3790</v>
      </c>
      <c r="C818" s="13" t="n">
        <v>30120</v>
      </c>
      <c r="D818" s="13" t="n">
        <v>48112</v>
      </c>
      <c r="E818" s="6" t="n">
        <f>SUM(C818,D818)/2</f>
        <v>39116</v>
      </c>
      <c r="F818" s="12" t="n">
        <v>20415</v>
      </c>
      <c r="G818" s="12" t="n">
        <v>23454</v>
      </c>
      <c r="H818" s="6" t="n">
        <f>SUM(F818,G818)/2</f>
        <v>21934.5</v>
      </c>
    </row>
    <row r="819" s="18" customFormat="1" ht="14.399999999999999" customHeight="1">
      <c r="A819" s="10" t="s">
        <v>1490</v>
      </c>
      <c r="B819" s="10" t="s">
        <v>1491</v>
      </c>
      <c r="C819" s="13" t="n">
        <v>288765</v>
      </c>
      <c r="D819" s="13" t="n">
        <v>461273</v>
      </c>
      <c r="E819" s="6" t="n">
        <f>SUM(C819,D819)/2</f>
        <v>375019</v>
      </c>
      <c r="F819" s="12" t="n">
        <v>54636</v>
      </c>
      <c r="G819" s="12" t="n">
        <v>82051</v>
      </c>
      <c r="H819" s="6" t="n">
        <f>SUM(F819,G819)/2</f>
        <v>68343.5</v>
      </c>
    </row>
    <row r="820" s="18" customFormat="1" ht="14.399999999999999" customHeight="1">
      <c r="A820" s="10" t="s">
        <v>4003</v>
      </c>
      <c r="B820" s="10" t="s">
        <v>4004</v>
      </c>
      <c r="C820" s="13" t="n">
        <v>25509</v>
      </c>
      <c r="D820" s="13" t="n">
        <v>40745</v>
      </c>
      <c r="E820" s="6" t="n">
        <f>SUM(C820,D820)/2</f>
        <v>33127</v>
      </c>
      <c r="F820" s="12" t="n">
        <v>14288</v>
      </c>
      <c r="G820" s="12" t="n">
        <v>21024</v>
      </c>
      <c r="H820" s="6" t="n">
        <f>SUM(F820,G820)/2</f>
        <v>17656</v>
      </c>
    </row>
    <row r="821" s="18" customFormat="1" ht="14.399999999999999" customHeight="1">
      <c r="A821" s="10" t="s">
        <v>1194</v>
      </c>
      <c r="B821" s="10" t="s">
        <v>1195</v>
      </c>
      <c r="C821" s="13" t="n">
        <v>191569</v>
      </c>
      <c r="D821" s="13" t="n">
        <v>306013</v>
      </c>
      <c r="E821" s="6" t="n">
        <f>SUM(C821,D821)/2</f>
        <v>248791</v>
      </c>
      <c r="F821" s="12" t="n">
        <v>42953</v>
      </c>
      <c r="G821" s="12" t="n">
        <v>61762</v>
      </c>
      <c r="H821" s="6" t="n">
        <f>SUM(F821,G821)/2</f>
        <v>52357.5</v>
      </c>
    </row>
    <row r="822" s="18" customFormat="1" ht="14.399999999999999" customHeight="1">
      <c r="A822" s="10" t="s">
        <v>2414</v>
      </c>
      <c r="B822" s="10" t="s">
        <v>2415</v>
      </c>
      <c r="C822" s="10" t="n">
        <v>126</v>
      </c>
      <c r="D822" s="10" t="n">
        <v>200</v>
      </c>
      <c r="E822" s="6" t="n">
        <f>SUM(C822,D822)/2</f>
        <v>163</v>
      </c>
      <c r="F822" s="18" t="n">
        <v>135</v>
      </c>
      <c r="G822" s="18" t="n">
        <v>156</v>
      </c>
      <c r="H822" s="6" t="n">
        <f>SUM(F822,G822)/2</f>
        <v>145.5</v>
      </c>
    </row>
    <row r="823" s="18" customFormat="1" ht="14.399999999999999" customHeight="1">
      <c r="A823" s="10" t="s">
        <v>3085</v>
      </c>
      <c r="B823" s="10" t="s">
        <v>3086</v>
      </c>
      <c r="C823" s="13" t="n">
        <v>106594</v>
      </c>
      <c r="D823" s="13" t="n">
        <v>170274</v>
      </c>
      <c r="E823" s="6" t="n">
        <f>SUM(C823,D823)/2</f>
        <v>138434</v>
      </c>
      <c r="F823" s="12" t="n">
        <v>31662</v>
      </c>
      <c r="G823" s="12" t="n">
        <v>44990</v>
      </c>
      <c r="H823" s="6" t="n">
        <f>SUM(F823,G823)/2</f>
        <v>38326</v>
      </c>
    </row>
    <row r="824" s="18" customFormat="1" ht="14.399999999999999" customHeight="1">
      <c r="A824" s="10" t="s">
        <v>5861</v>
      </c>
      <c r="B824" s="10" t="s">
        <v>5862</v>
      </c>
      <c r="C824" s="10" t="n">
        <v>24</v>
      </c>
      <c r="D824" s="10" t="n">
        <v>38</v>
      </c>
      <c r="E824" s="6" t="n">
        <f>SUM(C824,D824)/2</f>
        <v>31</v>
      </c>
      <c r="F824" s="18" t="n">
        <v>8</v>
      </c>
      <c r="G824" s="18" t="n">
        <v>8</v>
      </c>
      <c r="H824" s="6" t="n">
        <f>SUM(F824,G824)/2</f>
        <v>8</v>
      </c>
    </row>
    <row r="825" s="18" customFormat="1" ht="14.399999999999999" customHeight="1">
      <c r="A825" s="10" t="s">
        <v>2170</v>
      </c>
      <c r="B825" s="10" t="s">
        <v>2171</v>
      </c>
      <c r="C825" s="13" t="n">
        <v>119421</v>
      </c>
      <c r="D825" s="13" t="n">
        <v>190761</v>
      </c>
      <c r="E825" s="6" t="n">
        <f>SUM(C825,D825)/2</f>
        <v>155091</v>
      </c>
      <c r="F825" s="12" t="n">
        <v>54067</v>
      </c>
      <c r="G825" s="12" t="n">
        <v>81414</v>
      </c>
      <c r="H825" s="6" t="n">
        <f>SUM(F825,G825)/2</f>
        <v>67740.5</v>
      </c>
    </row>
    <row r="826" s="18" customFormat="1" ht="14.399999999999999" customHeight="1">
      <c r="A826" s="10" t="s">
        <v>3669</v>
      </c>
      <c r="B826" s="10" t="s">
        <v>3670</v>
      </c>
      <c r="C826" s="13" t="n">
        <v>48553</v>
      </c>
      <c r="D826" s="13" t="n">
        <v>77559</v>
      </c>
      <c r="E826" s="6" t="n">
        <f>SUM(C826,D826)/2</f>
        <v>63056</v>
      </c>
      <c r="F826" s="12" t="n">
        <v>17955</v>
      </c>
      <c r="G826" s="12" t="n">
        <v>25997</v>
      </c>
      <c r="H826" s="6" t="n">
        <f>SUM(F826,G826)/2</f>
        <v>21976</v>
      </c>
    </row>
    <row r="827" s="18" customFormat="1" ht="14.399999999999999" customHeight="1">
      <c r="A827" s="10" t="s">
        <v>3633</v>
      </c>
      <c r="B827" s="10" t="s">
        <v>3634</v>
      </c>
      <c r="C827" s="13" t="n">
        <v>37027</v>
      </c>
      <c r="D827" s="13" t="n">
        <v>59149</v>
      </c>
      <c r="E827" s="6" t="n">
        <f>SUM(C827,D827)/2</f>
        <v>48088</v>
      </c>
      <c r="F827" s="12" t="n">
        <v>21113</v>
      </c>
      <c r="G827" s="12" t="n">
        <v>31176</v>
      </c>
      <c r="H827" s="6" t="n">
        <f>SUM(F827,G827)/2</f>
        <v>26144.5</v>
      </c>
    </row>
    <row r="828" s="18" customFormat="1" ht="14.399999999999999" customHeight="1">
      <c r="A828" s="10" t="s">
        <v>4749</v>
      </c>
      <c r="B828" s="10" t="s">
        <v>4750</v>
      </c>
      <c r="C828" s="13" t="n">
        <v>11443</v>
      </c>
      <c r="D828" s="13" t="n">
        <v>18277</v>
      </c>
      <c r="E828" s="6" t="n">
        <f>SUM(C828,D828)/2</f>
        <v>14860</v>
      </c>
      <c r="F828" s="12" t="n">
        <v>7840</v>
      </c>
      <c r="G828" s="12" t="n">
        <v>10404</v>
      </c>
      <c r="H828" s="6" t="n">
        <f>SUM(F828,G828)/2</f>
        <v>9122</v>
      </c>
    </row>
    <row r="829" s="18" customFormat="1" ht="14.399999999999999" customHeight="1">
      <c r="A829" s="10" t="s">
        <v>4141</v>
      </c>
      <c r="B829" s="10" t="s">
        <v>4142</v>
      </c>
      <c r="C829" s="13" t="n">
        <v>47367</v>
      </c>
      <c r="D829" s="13" t="n">
        <v>75667</v>
      </c>
      <c r="E829" s="6" t="n">
        <f>SUM(C829,D829)/2</f>
        <v>61517</v>
      </c>
      <c r="F829" s="12" t="n">
        <v>7203</v>
      </c>
      <c r="G829" s="12" t="n">
        <v>9244</v>
      </c>
      <c r="H829" s="6" t="n">
        <f>SUM(F829,G829)/2</f>
        <v>8223.5</v>
      </c>
    </row>
    <row r="830" s="18" customFormat="1" ht="14.399999999999999" customHeight="1">
      <c r="A830" s="10" t="s">
        <v>1254</v>
      </c>
      <c r="B830" s="10" t="s">
        <v>1255</v>
      </c>
      <c r="C830" s="13" t="n">
        <v>45239</v>
      </c>
      <c r="D830" s="13" t="n">
        <v>72263</v>
      </c>
      <c r="E830" s="6" t="n">
        <f>SUM(C830,D830)/2</f>
        <v>58751</v>
      </c>
      <c r="F830" s="12" t="n">
        <v>52792</v>
      </c>
      <c r="G830" s="12" t="n">
        <v>88724</v>
      </c>
      <c r="H830" s="6" t="n">
        <f>SUM(F830,G830)/2</f>
        <v>70758</v>
      </c>
    </row>
    <row r="831" s="18" customFormat="1" ht="14.399999999999999" customHeight="1">
      <c r="A831" s="10" t="s">
        <v>4729</v>
      </c>
      <c r="B831" s="10" t="s">
        <v>4730</v>
      </c>
      <c r="C831" s="13" t="n">
        <v>10902</v>
      </c>
      <c r="D831" s="13" t="n">
        <v>17414</v>
      </c>
      <c r="E831" s="6" t="n">
        <f>SUM(C831,D831)/2</f>
        <v>14158</v>
      </c>
      <c r="F831" s="12" t="n">
        <v>7695</v>
      </c>
      <c r="G831" s="12" t="n">
        <v>11647</v>
      </c>
      <c r="H831" s="6" t="n">
        <f>SUM(F831,G831)/2</f>
        <v>9671</v>
      </c>
    </row>
    <row r="832" s="18" customFormat="1" ht="14.399999999999999" customHeight="1">
      <c r="A832" s="10" t="s">
        <v>5284</v>
      </c>
      <c r="B832" s="10" t="s">
        <v>5285</v>
      </c>
      <c r="C832" s="13" t="n">
        <v>49430</v>
      </c>
      <c r="D832" s="13" t="n">
        <v>78958</v>
      </c>
      <c r="E832" s="6" t="n">
        <f>SUM(C832,D832)/2</f>
        <v>64194</v>
      </c>
      <c r="F832" s="12" t="n">
        <v>177785</v>
      </c>
      <c r="G832" s="12" t="n">
        <v>239040</v>
      </c>
      <c r="H832" s="6" t="n">
        <f>SUM(F832,G832)/2</f>
        <v>208412.5</v>
      </c>
    </row>
    <row r="833" s="18" customFormat="1" ht="14.399999999999999" customHeight="1">
      <c r="A833" s="10" t="s">
        <v>5265</v>
      </c>
      <c r="B833" s="10" t="s">
        <v>5266</v>
      </c>
      <c r="C833" s="13" t="n">
        <v>179334</v>
      </c>
      <c r="D833" s="13" t="n">
        <v>286468</v>
      </c>
      <c r="E833" s="6" t="n">
        <f>SUM(C833,D833)/2</f>
        <v>232901</v>
      </c>
      <c r="F833" s="12" t="n">
        <v>166556</v>
      </c>
      <c r="G833" s="12" t="n">
        <v>242094</v>
      </c>
      <c r="H833" s="6" t="n">
        <f>SUM(F833,G833)/2</f>
        <v>204325</v>
      </c>
    </row>
    <row r="834" s="18" customFormat="1" ht="14.399999999999999" customHeight="1">
      <c r="A834" s="10" t="s">
        <v>1132</v>
      </c>
      <c r="B834" s="10" t="s">
        <v>1133</v>
      </c>
      <c r="C834" s="13" t="n">
        <v>586105</v>
      </c>
      <c r="D834" s="13" t="n">
        <v>936249</v>
      </c>
      <c r="E834" s="6" t="n">
        <f>SUM(C834,D834)/2</f>
        <v>761177</v>
      </c>
      <c r="F834" s="12" t="n">
        <v>13506</v>
      </c>
      <c r="G834" s="12" t="n">
        <v>18479</v>
      </c>
      <c r="H834" s="6" t="n">
        <f>SUM(F834,G834)/2</f>
        <v>15992.5</v>
      </c>
    </row>
    <row r="835" s="18" customFormat="1" ht="14.399999999999999" customHeight="1">
      <c r="A835" s="10" t="s">
        <v>949</v>
      </c>
      <c r="B835" s="10" t="s">
        <v>950</v>
      </c>
      <c r="C835" s="13" t="n">
        <v>646253</v>
      </c>
      <c r="D835" s="13" t="n">
        <v>1032327</v>
      </c>
      <c r="E835" s="6" t="n">
        <f>SUM(C835,D835)/2</f>
        <v>839290</v>
      </c>
      <c r="F835" s="12" t="n">
        <v>80754</v>
      </c>
      <c r="G835" s="12" t="n">
        <v>193938</v>
      </c>
      <c r="H835" s="6" t="n">
        <f>SUM(F835,G835)/2</f>
        <v>137346</v>
      </c>
    </row>
    <row r="836" s="18" customFormat="1" ht="14.399999999999999" customHeight="1">
      <c r="A836" s="10" t="s">
        <v>4143</v>
      </c>
      <c r="B836" s="10" t="s">
        <v>4144</v>
      </c>
      <c r="C836" s="13" t="n">
        <v>34986</v>
      </c>
      <c r="D836" s="13" t="n">
        <v>55884</v>
      </c>
      <c r="E836" s="6" t="n">
        <f>SUM(C836,D836)/2</f>
        <v>45435</v>
      </c>
      <c r="F836" s="12" t="n">
        <v>9325</v>
      </c>
      <c r="G836" s="12" t="n">
        <v>13810</v>
      </c>
      <c r="H836" s="6" t="n">
        <f>SUM(F836,G836)/2</f>
        <v>11567.5</v>
      </c>
    </row>
    <row r="837" s="18" customFormat="1" ht="14.399999999999999" customHeight="1">
      <c r="A837" s="10" t="s">
        <v>5863</v>
      </c>
      <c r="B837" s="10" t="s">
        <v>5864</v>
      </c>
      <c r="C837" s="13" t="n">
        <v>29746</v>
      </c>
      <c r="D837" s="13" t="n">
        <v>47512</v>
      </c>
      <c r="E837" s="6" t="n">
        <f>SUM(C837,D837)/2</f>
        <v>38629</v>
      </c>
      <c r="F837" s="12" t="n">
        <v>6981</v>
      </c>
      <c r="G837" s="12" t="n">
        <v>12766</v>
      </c>
      <c r="H837" s="6" t="n">
        <f>SUM(F837,G837)/2</f>
        <v>9873.5</v>
      </c>
    </row>
    <row r="838" s="18" customFormat="1" ht="14.399999999999999" customHeight="1">
      <c r="A838" s="10" t="s">
        <v>3631</v>
      </c>
      <c r="B838" s="10" t="s">
        <v>3632</v>
      </c>
      <c r="C838" s="13" t="n">
        <v>96033</v>
      </c>
      <c r="D838" s="13" t="n">
        <v>153403</v>
      </c>
      <c r="E838" s="6" t="n">
        <f>SUM(C838,D838)/2</f>
        <v>124718</v>
      </c>
      <c r="F838" s="12" t="n">
        <v>8206</v>
      </c>
      <c r="G838" s="12" t="n">
        <v>11565</v>
      </c>
      <c r="H838" s="6" t="n">
        <f>SUM(F838,G838)/2</f>
        <v>9885.5</v>
      </c>
    </row>
    <row r="839" s="18" customFormat="1" ht="14.399999999999999" customHeight="1">
      <c r="A839" s="10" t="s">
        <v>5155</v>
      </c>
      <c r="B839" s="10" t="s">
        <v>5156</v>
      </c>
      <c r="C839" s="13" t="n">
        <v>6402</v>
      </c>
      <c r="D839" s="13" t="n">
        <v>10228</v>
      </c>
      <c r="E839" s="6" t="n">
        <f>SUM(C839,D839)/2</f>
        <v>8315</v>
      </c>
      <c r="F839" s="12" t="n">
        <v>4415</v>
      </c>
      <c r="G839" s="12" t="n">
        <v>6352</v>
      </c>
      <c r="H839" s="6" t="n">
        <f>SUM(F839,G839)/2</f>
        <v>5383.5</v>
      </c>
    </row>
    <row r="840" s="18" customFormat="1" ht="14.399999999999999" customHeight="1">
      <c r="A840" s="10" t="s">
        <v>4223</v>
      </c>
      <c r="B840" s="10" t="s">
        <v>4224</v>
      </c>
      <c r="C840" s="13" t="n">
        <v>26154</v>
      </c>
      <c r="D840" s="13" t="n">
        <v>41780</v>
      </c>
      <c r="E840" s="6" t="n">
        <f>SUM(C840,D840)/2</f>
        <v>33967</v>
      </c>
      <c r="F840" s="12" t="n">
        <v>10011</v>
      </c>
      <c r="G840" s="12" t="n">
        <v>14973</v>
      </c>
      <c r="H840" s="6" t="n">
        <f>SUM(F840,G840)/2</f>
        <v>12492</v>
      </c>
    </row>
    <row r="841" s="18" customFormat="1" ht="14.399999999999999" customHeight="1">
      <c r="A841" s="10" t="s">
        <v>4183</v>
      </c>
      <c r="B841" s="10" t="s">
        <v>4184</v>
      </c>
      <c r="C841" s="13" t="n">
        <v>40482</v>
      </c>
      <c r="D841" s="13" t="n">
        <v>64664</v>
      </c>
      <c r="E841" s="6" t="n">
        <f>SUM(C841,D841)/2</f>
        <v>52573</v>
      </c>
      <c r="F841" s="12" t="n">
        <v>8222</v>
      </c>
      <c r="G841" s="12" t="n">
        <v>10574</v>
      </c>
      <c r="H841" s="6" t="n">
        <f>SUM(F841,G841)/2</f>
        <v>9398</v>
      </c>
    </row>
    <row r="842" s="18" customFormat="1" ht="14.399999999999999" customHeight="1">
      <c r="A842" s="10" t="s">
        <v>222</v>
      </c>
      <c r="B842" s="10" t="s">
        <v>223</v>
      </c>
      <c r="C842" s="13" t="n">
        <v>25319</v>
      </c>
      <c r="D842" s="13" t="n">
        <v>40447</v>
      </c>
      <c r="E842" s="6" t="n">
        <f>SUM(C842,D842)/2</f>
        <v>32883</v>
      </c>
      <c r="F842" s="12" t="n">
        <v>5087</v>
      </c>
      <c r="G842" s="12" t="n">
        <v>7200</v>
      </c>
      <c r="H842" s="6" t="n">
        <f>SUM(F842,G842)/2</f>
        <v>6143.5</v>
      </c>
    </row>
    <row r="843" s="18" customFormat="1" ht="14.399999999999999" customHeight="1">
      <c r="A843" s="10" t="s">
        <v>2304</v>
      </c>
      <c r="B843" s="10" t="s">
        <v>2305</v>
      </c>
      <c r="C843" s="10" t="n">
        <v>5</v>
      </c>
      <c r="D843" s="10" t="n">
        <v>7</v>
      </c>
      <c r="E843" s="6" t="n">
        <f>SUM(C843,D843)/2</f>
        <v>6</v>
      </c>
      <c r="F843" s="18" t="n">
        <v>4</v>
      </c>
      <c r="G843" s="18" t="n">
        <v>5</v>
      </c>
      <c r="H843" s="6" t="n">
        <f>SUM(F843,G843)/2</f>
        <v>4.5</v>
      </c>
    </row>
    <row r="844" s="18" customFormat="1" ht="14.399999999999999" customHeight="1">
      <c r="A844" s="10" t="s">
        <v>1229</v>
      </c>
      <c r="B844" s="10" t="s">
        <v>1230</v>
      </c>
      <c r="C844" s="10" t="n">
        <v>430</v>
      </c>
      <c r="D844" s="10" t="n">
        <v>686</v>
      </c>
      <c r="E844" s="6" t="n">
        <f>SUM(C844,D844)/2</f>
        <v>558</v>
      </c>
      <c r="F844" s="18" t="n">
        <v>53</v>
      </c>
      <c r="G844" s="18" t="n">
        <v>74</v>
      </c>
      <c r="H844" s="6" t="n">
        <f>SUM(F844,G844)/2</f>
        <v>63.5</v>
      </c>
    </row>
    <row r="845" s="18" customFormat="1" ht="14.399999999999999" customHeight="1">
      <c r="A845" s="10" t="s">
        <v>4471</v>
      </c>
      <c r="B845" s="10" t="s">
        <v>4472</v>
      </c>
      <c r="C845" s="13" t="n">
        <v>21246</v>
      </c>
      <c r="D845" s="13" t="n">
        <v>33938</v>
      </c>
      <c r="E845" s="6" t="n">
        <f>SUM(C845,D845)/2</f>
        <v>27592</v>
      </c>
      <c r="F845" s="12" t="n">
        <v>8524</v>
      </c>
      <c r="G845" s="12" t="n">
        <v>11345</v>
      </c>
      <c r="H845" s="6" t="n">
        <f>SUM(F845,G845)/2</f>
        <v>9934.5</v>
      </c>
    </row>
    <row r="846" s="18" customFormat="1" ht="14.399999999999999" customHeight="1">
      <c r="A846" s="10" t="s">
        <v>4783</v>
      </c>
      <c r="B846" s="10" t="s">
        <v>4784</v>
      </c>
      <c r="C846" s="13" t="n">
        <v>24285</v>
      </c>
      <c r="D846" s="13" t="n">
        <v>38795</v>
      </c>
      <c r="E846" s="6" t="n">
        <f>SUM(C846,D846)/2</f>
        <v>31540</v>
      </c>
      <c r="F846" s="12" t="n">
        <v>4010</v>
      </c>
      <c r="G846" s="12" t="n">
        <v>6447</v>
      </c>
      <c r="H846" s="6" t="n">
        <f>SUM(F846,G846)/2</f>
        <v>5228.5</v>
      </c>
    </row>
    <row r="847" s="18" customFormat="1" ht="14.399999999999999" customHeight="1">
      <c r="A847" s="10" t="s">
        <v>302</v>
      </c>
      <c r="B847" s="10" t="s">
        <v>303</v>
      </c>
      <c r="C847" s="13" t="n">
        <v>3151</v>
      </c>
      <c r="D847" s="13" t="n">
        <v>5035</v>
      </c>
      <c r="E847" s="6" t="n">
        <f>SUM(C847,D847)/2</f>
        <v>4093</v>
      </c>
      <c r="F847" s="18" t="n">
        <v>628</v>
      </c>
      <c r="G847" s="18" t="n">
        <v>835</v>
      </c>
      <c r="H847" s="6" t="n">
        <f>SUM(F847,G847)/2</f>
        <v>731.5</v>
      </c>
    </row>
    <row r="848" s="18" customFormat="1" ht="14.399999999999999" customHeight="1">
      <c r="A848" s="10" t="s">
        <v>4151</v>
      </c>
      <c r="B848" s="10" t="s">
        <v>4152</v>
      </c>
      <c r="C848" s="13" t="n">
        <v>37291</v>
      </c>
      <c r="D848" s="13" t="n">
        <v>59569</v>
      </c>
      <c r="E848" s="6" t="n">
        <f>SUM(C848,D848)/2</f>
        <v>48430</v>
      </c>
      <c r="F848" s="12" t="n">
        <v>8272</v>
      </c>
      <c r="G848" s="12" t="n">
        <v>13371</v>
      </c>
      <c r="H848" s="6" t="n">
        <f>SUM(F848,G848)/2</f>
        <v>10821.5</v>
      </c>
    </row>
    <row r="849" s="18" customFormat="1" ht="14.399999999999999" customHeight="1">
      <c r="A849" s="10" t="s">
        <v>2869</v>
      </c>
      <c r="B849" s="10" t="s">
        <v>2870</v>
      </c>
      <c r="C849" s="10" t="n">
        <v>0</v>
      </c>
      <c r="D849" s="10" t="n">
        <v>0</v>
      </c>
      <c r="E849" s="6" t="n">
        <f>SUM(C849,D849)/2</f>
        <v>0</v>
      </c>
      <c r="F849" s="18" t="n">
        <v>0</v>
      </c>
      <c r="G849" s="18" t="n">
        <v>0</v>
      </c>
      <c r="H849" s="6" t="n">
        <f>SUM(F849,G849)/2</f>
        <v>0</v>
      </c>
    </row>
    <row r="850" s="18" customFormat="1" ht="14.399999999999999" customHeight="1">
      <c r="A850" s="10" t="s">
        <v>5865</v>
      </c>
      <c r="B850" s="10" t="s">
        <v>5866</v>
      </c>
      <c r="C850" s="13" t="n">
        <v>6561</v>
      </c>
      <c r="D850" s="13" t="n">
        <v>10479</v>
      </c>
      <c r="E850" s="6" t="n">
        <f>SUM(C850,D850)/2</f>
        <v>8520</v>
      </c>
      <c r="F850" s="12" t="n">
        <v>8226</v>
      </c>
      <c r="G850" s="12" t="n">
        <v>11409</v>
      </c>
      <c r="H850" s="6" t="n">
        <f>SUM(F850,G850)/2</f>
        <v>9817.5</v>
      </c>
    </row>
    <row r="851" s="18" customFormat="1" ht="14.399999999999999" customHeight="1">
      <c r="A851" s="10" t="s">
        <v>5867</v>
      </c>
      <c r="B851" s="10" t="s">
        <v>5868</v>
      </c>
      <c r="C851" s="10" t="n">
        <v>123</v>
      </c>
      <c r="D851" s="10" t="n">
        <v>197</v>
      </c>
      <c r="E851" s="6" t="n">
        <f>SUM(C851,D851)/2</f>
        <v>160</v>
      </c>
      <c r="F851" s="18" t="n">
        <v>42</v>
      </c>
      <c r="G851" s="18" t="n">
        <v>63</v>
      </c>
      <c r="H851" s="6" t="n">
        <f>SUM(F851,G851)/2</f>
        <v>52.5</v>
      </c>
    </row>
    <row r="852" s="18" customFormat="1" ht="14.399999999999999" customHeight="1">
      <c r="A852" s="10" t="s">
        <v>5500</v>
      </c>
      <c r="B852" s="10" t="s">
        <v>5501</v>
      </c>
      <c r="C852" s="10" t="n">
        <v>362</v>
      </c>
      <c r="D852" s="10" t="n">
        <v>576</v>
      </c>
      <c r="E852" s="6" t="n">
        <f>SUM(C852,D852)/2</f>
        <v>469</v>
      </c>
      <c r="F852" s="18" t="n">
        <v>38</v>
      </c>
      <c r="G852" s="18" t="n">
        <v>58</v>
      </c>
      <c r="H852" s="6" t="n">
        <f>SUM(F852,G852)/2</f>
        <v>48</v>
      </c>
    </row>
    <row r="853" s="18" customFormat="1" ht="14.399999999999999" customHeight="1">
      <c r="A853" s="10" t="s">
        <v>1937</v>
      </c>
      <c r="B853" s="10" t="s">
        <v>1938</v>
      </c>
      <c r="C853" s="10" t="n">
        <v>9</v>
      </c>
      <c r="D853" s="10" t="n">
        <v>15</v>
      </c>
      <c r="E853" s="6" t="n">
        <f>SUM(C853,D853)/2</f>
        <v>12</v>
      </c>
      <c r="F853" s="18" t="n">
        <v>9</v>
      </c>
      <c r="G853" s="18" t="n">
        <v>15</v>
      </c>
      <c r="H853" s="6" t="n">
        <f>SUM(F853,G853)/2</f>
        <v>12</v>
      </c>
    </row>
    <row r="854" s="18" customFormat="1" ht="14.399999999999999" customHeight="1">
      <c r="A854" s="10" t="s">
        <v>4573</v>
      </c>
      <c r="B854" s="10" t="s">
        <v>4574</v>
      </c>
      <c r="C854" s="13" t="n">
        <v>9912</v>
      </c>
      <c r="D854" s="13" t="n">
        <v>15832</v>
      </c>
      <c r="E854" s="6" t="n">
        <f>SUM(C854,D854)/2</f>
        <v>12872</v>
      </c>
      <c r="F854" s="12" t="n">
        <v>9351</v>
      </c>
      <c r="G854" s="12" t="n">
        <v>14145</v>
      </c>
      <c r="H854" s="6" t="n">
        <f>SUM(F854,G854)/2</f>
        <v>11748</v>
      </c>
    </row>
    <row r="855" s="18" customFormat="1" ht="14.399999999999999" customHeight="1">
      <c r="A855" s="10" t="s">
        <v>5869</v>
      </c>
      <c r="B855" s="10" t="s">
        <v>5870</v>
      </c>
      <c r="C855" s="10" t="n">
        <v>41</v>
      </c>
      <c r="D855" s="10" t="n">
        <v>63</v>
      </c>
      <c r="E855" s="6" t="n">
        <f>SUM(C855,D855)/2</f>
        <v>52</v>
      </c>
      <c r="F855" s="18" t="n">
        <v>8</v>
      </c>
      <c r="G855" s="18" t="n">
        <v>11</v>
      </c>
      <c r="H855" s="6" t="n">
        <f>SUM(F855,G855)/2</f>
        <v>9.5</v>
      </c>
    </row>
    <row r="856" s="18" customFormat="1" ht="14.399999999999999" customHeight="1">
      <c r="A856" s="10" t="s">
        <v>4059</v>
      </c>
      <c r="B856" s="10" t="s">
        <v>4060</v>
      </c>
      <c r="C856" s="13" t="n">
        <v>56892</v>
      </c>
      <c r="D856" s="13" t="n">
        <v>90880</v>
      </c>
      <c r="E856" s="6" t="n">
        <f>SUM(C856,D856)/2</f>
        <v>73886</v>
      </c>
      <c r="F856" s="12" t="n">
        <v>6503</v>
      </c>
      <c r="G856" s="12" t="n">
        <v>8430</v>
      </c>
      <c r="H856" s="6" t="n">
        <f>SUM(F856,G856)/2</f>
        <v>7466.5</v>
      </c>
    </row>
    <row r="857" s="18" customFormat="1" ht="14.399999999999999" customHeight="1">
      <c r="A857" s="10" t="s">
        <v>5079</v>
      </c>
      <c r="B857" s="10" t="s">
        <v>5080</v>
      </c>
      <c r="C857" s="13" t="n">
        <v>5681</v>
      </c>
      <c r="D857" s="13" t="n">
        <v>9075</v>
      </c>
      <c r="E857" s="6" t="n">
        <f>SUM(C857,D857)/2</f>
        <v>7378</v>
      </c>
      <c r="F857" s="12" t="n">
        <v>5845</v>
      </c>
      <c r="G857" s="12" t="n">
        <v>8397</v>
      </c>
      <c r="H857" s="6" t="n">
        <f>SUM(F857,G857)/2</f>
        <v>7121</v>
      </c>
    </row>
    <row r="858" s="18" customFormat="1" ht="14.399999999999999" customHeight="1">
      <c r="A858" s="10" t="s">
        <v>5871</v>
      </c>
      <c r="B858" s="10" t="s">
        <v>5872</v>
      </c>
      <c r="C858" s="13" t="n">
        <v>46153</v>
      </c>
      <c r="D858" s="13" t="n">
        <v>73729</v>
      </c>
      <c r="E858" s="6" t="n">
        <f>SUM(C858,D858)/2</f>
        <v>59941</v>
      </c>
      <c r="F858" s="12" t="n">
        <v>22965</v>
      </c>
      <c r="G858" s="12" t="n">
        <v>33056</v>
      </c>
      <c r="H858" s="6" t="n">
        <f>SUM(F858,G858)/2</f>
        <v>28010.5</v>
      </c>
    </row>
    <row r="859" s="18" customFormat="1" ht="14.399999999999999" customHeight="1">
      <c r="A859" s="10" t="s">
        <v>2085</v>
      </c>
      <c r="B859" s="10" t="s">
        <v>2086</v>
      </c>
      <c r="C859" s="10" t="n">
        <v>25</v>
      </c>
      <c r="D859" s="10" t="n">
        <v>39</v>
      </c>
      <c r="E859" s="6" t="n">
        <f>SUM(C859,D859)/2</f>
        <v>32</v>
      </c>
      <c r="F859" s="18" t="n">
        <v>3</v>
      </c>
      <c r="G859" s="18" t="n">
        <v>3</v>
      </c>
      <c r="H859" s="6" t="n">
        <f>SUM(F859,G859)/2</f>
        <v>3</v>
      </c>
    </row>
    <row r="860" s="18" customFormat="1" ht="14.399999999999999" customHeight="1">
      <c r="A860" s="10" t="s">
        <v>3175</v>
      </c>
      <c r="B860" s="10" t="s">
        <v>3176</v>
      </c>
      <c r="C860" s="13" t="n">
        <v>42219</v>
      </c>
      <c r="D860" s="13" t="n">
        <v>67441</v>
      </c>
      <c r="E860" s="6" t="n">
        <f>SUM(C860,D860)/2</f>
        <v>54830</v>
      </c>
      <c r="F860" s="12" t="n">
        <v>42943</v>
      </c>
      <c r="G860" s="12" t="n">
        <v>57777</v>
      </c>
      <c r="H860" s="6" t="n">
        <f>SUM(F860,G860)/2</f>
        <v>50360</v>
      </c>
    </row>
    <row r="861" s="18" customFormat="1" ht="14.399999999999999" customHeight="1">
      <c r="A861" s="10" t="s">
        <v>2252</v>
      </c>
      <c r="B861" s="10" t="s">
        <v>2253</v>
      </c>
      <c r="C861" s="10" t="n">
        <v>21</v>
      </c>
      <c r="D861" s="10" t="n">
        <v>31</v>
      </c>
      <c r="E861" s="6" t="n">
        <f>SUM(C861,D861)/2</f>
        <v>26</v>
      </c>
      <c r="F861" s="18" t="n">
        <v>1</v>
      </c>
      <c r="G861" s="18" t="n">
        <v>1</v>
      </c>
      <c r="H861" s="6" t="n">
        <f>SUM(F861,G861)/2</f>
        <v>1</v>
      </c>
    </row>
    <row r="862" s="18" customFormat="1" ht="14.399999999999999" customHeight="1">
      <c r="A862" s="10" t="s">
        <v>5873</v>
      </c>
      <c r="B862" s="10" t="s">
        <v>5874</v>
      </c>
      <c r="C862" s="13" t="n">
        <v>6638</v>
      </c>
      <c r="D862" s="13" t="n">
        <v>10600</v>
      </c>
      <c r="E862" s="6" t="n">
        <f>SUM(C862,D862)/2</f>
        <v>8619</v>
      </c>
      <c r="F862" s="12" t="n">
        <v>12330</v>
      </c>
      <c r="G862" s="12" t="n">
        <v>16167</v>
      </c>
      <c r="H862" s="6" t="n">
        <f>SUM(F862,G862)/2</f>
        <v>14248.5</v>
      </c>
    </row>
    <row r="863" s="18" customFormat="1" ht="14.399999999999999" customHeight="1">
      <c r="A863" s="10" t="s">
        <v>5127</v>
      </c>
      <c r="B863" s="10" t="s">
        <v>5128</v>
      </c>
      <c r="C863" s="13" t="n">
        <v>6007</v>
      </c>
      <c r="D863" s="13" t="n">
        <v>9597</v>
      </c>
      <c r="E863" s="6" t="n">
        <f>SUM(C863,D863)/2</f>
        <v>7802</v>
      </c>
      <c r="F863" s="12" t="n">
        <v>5289</v>
      </c>
      <c r="G863" s="12" t="n">
        <v>6642</v>
      </c>
      <c r="H863" s="6" t="n">
        <f>SUM(F863,G863)/2</f>
        <v>5965.5</v>
      </c>
    </row>
    <row r="864" s="18" customFormat="1" ht="14.399999999999999" customHeight="1">
      <c r="A864" s="10" t="s">
        <v>5875</v>
      </c>
      <c r="B864" s="10" t="s">
        <v>5876</v>
      </c>
      <c r="C864" s="13" t="n">
        <v>10755</v>
      </c>
      <c r="D864" s="13" t="n">
        <v>17177</v>
      </c>
      <c r="E864" s="6" t="n">
        <f>SUM(C864,D864)/2</f>
        <v>13966</v>
      </c>
      <c r="F864" s="12" t="n">
        <v>5128</v>
      </c>
      <c r="G864" s="12" t="n">
        <v>8279</v>
      </c>
      <c r="H864" s="6" t="n">
        <f>SUM(F864,G864)/2</f>
        <v>6703.5</v>
      </c>
    </row>
    <row r="865" s="18" customFormat="1" ht="14.399999999999999" customHeight="1">
      <c r="A865" s="10" t="s">
        <v>2226</v>
      </c>
      <c r="B865" s="10" t="s">
        <v>2227</v>
      </c>
      <c r="C865" s="10" t="n">
        <v>177</v>
      </c>
      <c r="D865" s="10" t="n">
        <v>279</v>
      </c>
      <c r="E865" s="6" t="n">
        <f>SUM(C865,D865)/2</f>
        <v>228</v>
      </c>
      <c r="F865" s="18" t="n">
        <v>25</v>
      </c>
      <c r="G865" s="18" t="n">
        <v>46</v>
      </c>
      <c r="H865" s="6" t="n">
        <f>SUM(F865,G865)/2</f>
        <v>35.5</v>
      </c>
    </row>
    <row r="866" s="18" customFormat="1" ht="14.399999999999999" customHeight="1">
      <c r="A866" s="10" t="s">
        <v>989</v>
      </c>
      <c r="B866" s="10" t="s">
        <v>990</v>
      </c>
      <c r="C866" s="13" t="n">
        <v>429533</v>
      </c>
      <c r="D866" s="13" t="n">
        <v>686137</v>
      </c>
      <c r="E866" s="6" t="n">
        <f>SUM(C866,D866)/2</f>
        <v>557835</v>
      </c>
      <c r="F866" s="12" t="n">
        <v>119036</v>
      </c>
      <c r="G866" s="12" t="n">
        <v>167709</v>
      </c>
      <c r="H866" s="6" t="n">
        <f>SUM(F866,G866)/2</f>
        <v>143372.5</v>
      </c>
    </row>
    <row r="867" s="18" customFormat="1" ht="14.399999999999999" customHeight="1">
      <c r="A867" s="10" t="s">
        <v>897</v>
      </c>
      <c r="B867" s="10" t="s">
        <v>898</v>
      </c>
      <c r="C867" s="13" t="n">
        <v>684447</v>
      </c>
      <c r="D867" s="13" t="n">
        <v>1093337</v>
      </c>
      <c r="E867" s="6" t="n">
        <f>SUM(C867,D867)/2</f>
        <v>888892</v>
      </c>
      <c r="F867" s="12" t="n">
        <v>165050</v>
      </c>
      <c r="G867" s="12" t="n">
        <v>228838</v>
      </c>
      <c r="H867" s="6" t="n">
        <f>SUM(F867,G867)/2</f>
        <v>196944</v>
      </c>
    </row>
    <row r="868" s="18" customFormat="1" ht="14.399999999999999" customHeight="1">
      <c r="A868" s="10" t="s">
        <v>5103</v>
      </c>
      <c r="B868" s="10" t="s">
        <v>5104</v>
      </c>
      <c r="C868" s="13" t="n">
        <v>9022</v>
      </c>
      <c r="D868" s="13" t="n">
        <v>14414</v>
      </c>
      <c r="E868" s="6" t="n">
        <f>SUM(C868,D868)/2</f>
        <v>11718</v>
      </c>
      <c r="F868" s="12" t="n">
        <v>4814</v>
      </c>
      <c r="G868" s="12" t="n">
        <v>6440</v>
      </c>
      <c r="H868" s="6" t="n">
        <f>SUM(F868,G868)/2</f>
        <v>5627</v>
      </c>
    </row>
    <row r="869" s="18" customFormat="1" ht="14.399999999999999" customHeight="1">
      <c r="A869" s="10" t="s">
        <v>764</v>
      </c>
      <c r="B869" s="10" t="s">
        <v>765</v>
      </c>
      <c r="C869" s="13" t="n">
        <v>777893</v>
      </c>
      <c r="D869" s="13" t="n">
        <v>1242609</v>
      </c>
      <c r="E869" s="6" t="n">
        <f>SUM(C869,D869)/2</f>
        <v>1010251</v>
      </c>
      <c r="F869" s="12" t="n">
        <v>453515</v>
      </c>
      <c r="G869" s="12" t="n">
        <v>653319</v>
      </c>
      <c r="H869" s="6" t="n">
        <f>SUM(F869,G869)/2</f>
        <v>553417</v>
      </c>
    </row>
    <row r="870" s="18" customFormat="1" ht="14.399999999999999" customHeight="1">
      <c r="A870" s="10" t="s">
        <v>4881</v>
      </c>
      <c r="B870" s="10" t="s">
        <v>4882</v>
      </c>
      <c r="C870" s="13" t="n">
        <v>8012</v>
      </c>
      <c r="D870" s="13" t="n">
        <v>12796</v>
      </c>
      <c r="E870" s="6" t="n">
        <f>SUM(C870,D870)/2</f>
        <v>10404</v>
      </c>
      <c r="F870" s="12" t="n">
        <v>7337</v>
      </c>
      <c r="G870" s="12" t="n">
        <v>10248</v>
      </c>
      <c r="H870" s="6" t="n">
        <f>SUM(F870,G870)/2</f>
        <v>8792.5</v>
      </c>
    </row>
    <row r="871" s="18" customFormat="1" ht="14.399999999999999" customHeight="1">
      <c r="A871" s="10" t="s">
        <v>5877</v>
      </c>
      <c r="B871" s="10" t="s">
        <v>5878</v>
      </c>
      <c r="C871" s="10" t="n">
        <v>250</v>
      </c>
      <c r="D871" s="10" t="n">
        <v>400</v>
      </c>
      <c r="E871" s="6" t="n">
        <f>SUM(C871,D871)/2</f>
        <v>325</v>
      </c>
      <c r="F871" s="18" t="n">
        <v>211</v>
      </c>
      <c r="G871" s="18" t="n">
        <v>252</v>
      </c>
      <c r="H871" s="6" t="n">
        <f>SUM(F871,G871)/2</f>
        <v>231.5</v>
      </c>
    </row>
    <row r="872" s="18" customFormat="1" ht="14.399999999999999" customHeight="1">
      <c r="A872" s="10" t="s">
        <v>5879</v>
      </c>
      <c r="B872" s="10" t="s">
        <v>5880</v>
      </c>
      <c r="C872" s="10"/>
      <c r="D872" s="10"/>
      <c r="E872" s="6" t="n">
        <f>SUM(C872,D872)/2</f>
        <v>0</v>
      </c>
      <c r="F872" s="12" t="n">
        <v>11275611</v>
      </c>
      <c r="G872" s="12" t="n">
        <v>12645218</v>
      </c>
      <c r="H872" s="6" t="n">
        <f>SUM(F872,G872)/2</f>
        <v>11960414.5</v>
      </c>
    </row>
    <row r="873" s="18" customFormat="1" ht="14.399999999999999" customHeight="1">
      <c r="A873" s="10" t="s">
        <v>3315</v>
      </c>
      <c r="B873" s="10" t="s">
        <v>3316</v>
      </c>
      <c r="C873" s="13" t="n">
        <v>112406</v>
      </c>
      <c r="D873" s="13" t="n">
        <v>179558</v>
      </c>
      <c r="E873" s="6" t="n">
        <f>SUM(C873,D873)/2</f>
        <v>145982</v>
      </c>
      <c r="F873" s="12" t="n">
        <v>8250</v>
      </c>
      <c r="G873" s="12" t="n">
        <v>33853</v>
      </c>
      <c r="H873" s="6" t="n">
        <f>SUM(F873,G873)/2</f>
        <v>21051.5</v>
      </c>
    </row>
    <row r="874" s="18" customFormat="1" ht="14.399999999999999" customHeight="1">
      <c r="A874" s="10" t="s">
        <v>1599</v>
      </c>
      <c r="B874" s="10" t="s">
        <v>1600</v>
      </c>
      <c r="C874" s="13" t="n">
        <v>320029</v>
      </c>
      <c r="D874" s="13" t="n">
        <v>511215</v>
      </c>
      <c r="E874" s="6" t="n">
        <f>SUM(C874,D874)/2</f>
        <v>415622</v>
      </c>
      <c r="F874" s="12" t="n">
        <v>26472</v>
      </c>
      <c r="G874" s="12" t="n">
        <v>34347</v>
      </c>
      <c r="H874" s="6" t="n">
        <f>SUM(F874,G874)/2</f>
        <v>30409.5</v>
      </c>
    </row>
    <row r="875" s="18" customFormat="1" ht="14.399999999999999" customHeight="1">
      <c r="A875" s="10" t="s">
        <v>3221</v>
      </c>
      <c r="B875" s="10" t="s">
        <v>3222</v>
      </c>
      <c r="C875" s="13" t="n">
        <v>62415</v>
      </c>
      <c r="D875" s="13" t="n">
        <v>99702</v>
      </c>
      <c r="E875" s="6" t="n">
        <f>SUM(C875,D875)/2</f>
        <v>81058.5</v>
      </c>
      <c r="F875" s="12" t="n">
        <v>32092</v>
      </c>
      <c r="G875" s="12" t="n">
        <v>49787</v>
      </c>
      <c r="H875" s="6" t="n">
        <f>SUM(F875,G875)/2</f>
        <v>40939.5</v>
      </c>
    </row>
    <row r="876" s="18" customFormat="1" ht="14.399999999999999" customHeight="1">
      <c r="A876" s="10" t="s">
        <v>5173</v>
      </c>
      <c r="B876" s="10" t="s">
        <v>5174</v>
      </c>
      <c r="C876" s="13" t="n">
        <v>8021</v>
      </c>
      <c r="D876" s="13" t="n">
        <v>12811</v>
      </c>
      <c r="E876" s="6" t="n">
        <f>SUM(C876,D876)/2</f>
        <v>10416</v>
      </c>
      <c r="F876" s="12" t="n">
        <v>3821</v>
      </c>
      <c r="G876" s="12" t="n">
        <v>5126</v>
      </c>
      <c r="H876" s="6" t="n">
        <f>SUM(F876,G876)/2</f>
        <v>4473.5</v>
      </c>
    </row>
    <row r="877" s="18" customFormat="1" ht="14.399999999999999" customHeight="1">
      <c r="A877" s="10" t="s">
        <v>3229</v>
      </c>
      <c r="B877" s="10" t="s">
        <v>3230</v>
      </c>
      <c r="C877" s="13" t="n">
        <v>132627</v>
      </c>
      <c r="D877" s="13" t="n">
        <v>211857</v>
      </c>
      <c r="E877" s="6" t="n">
        <f>SUM(C877,D877)/2</f>
        <v>172242</v>
      </c>
      <c r="F877" s="12" t="n">
        <v>12298</v>
      </c>
      <c r="G877" s="12" t="n">
        <v>30409</v>
      </c>
      <c r="H877" s="6" t="n">
        <f>SUM(F877,G877)/2</f>
        <v>21353.5</v>
      </c>
    </row>
    <row r="878" s="18" customFormat="1" ht="14.399999999999999" customHeight="1">
      <c r="A878" s="10" t="s">
        <v>5438</v>
      </c>
      <c r="B878" s="10" t="s">
        <v>5439</v>
      </c>
      <c r="C878" s="10" t="n">
        <v>283</v>
      </c>
      <c r="D878" s="10" t="n">
        <v>451</v>
      </c>
      <c r="E878" s="6" t="n">
        <f>SUM(C878,D878)/2</f>
        <v>367</v>
      </c>
      <c r="F878" s="18" t="n">
        <v>131</v>
      </c>
      <c r="G878" s="18" t="n">
        <v>151</v>
      </c>
      <c r="H878" s="6" t="n">
        <f>SUM(F878,G878)/2</f>
        <v>141</v>
      </c>
    </row>
    <row r="879" s="18" customFormat="1" ht="14.399999999999999" customHeight="1">
      <c r="A879" s="10" t="s">
        <v>5881</v>
      </c>
      <c r="B879" s="10" t="s">
        <v>5882</v>
      </c>
      <c r="C879" s="13" t="n">
        <v>16741</v>
      </c>
      <c r="D879" s="13" t="n">
        <v>26741</v>
      </c>
      <c r="E879" s="6" t="n">
        <f>SUM(C879,D879)/2</f>
        <v>21741</v>
      </c>
      <c r="F879" s="12" t="n">
        <v>4200</v>
      </c>
      <c r="G879" s="12" t="n">
        <v>5946</v>
      </c>
      <c r="H879" s="6" t="n">
        <f>SUM(F879,G879)/2</f>
        <v>5073</v>
      </c>
    </row>
    <row r="880" s="18" customFormat="1" ht="14.399999999999999" customHeight="1">
      <c r="A880" s="10" t="s">
        <v>3817</v>
      </c>
      <c r="B880" s="10" t="s">
        <v>3818</v>
      </c>
      <c r="C880" s="13" t="n">
        <v>22420</v>
      </c>
      <c r="D880" s="13" t="n">
        <v>35816</v>
      </c>
      <c r="E880" s="6" t="n">
        <f>SUM(C880,D880)/2</f>
        <v>29118</v>
      </c>
      <c r="F880" s="12" t="n">
        <v>19907</v>
      </c>
      <c r="G880" s="12" t="n">
        <v>26838</v>
      </c>
      <c r="H880" s="6" t="n">
        <f>SUM(F880,G880)/2</f>
        <v>23372.5</v>
      </c>
    </row>
    <row r="881" s="18" customFormat="1" ht="14.399999999999999" customHeight="1">
      <c r="A881" s="10" t="s">
        <v>1873</v>
      </c>
      <c r="B881" s="10" t="s">
        <v>1874</v>
      </c>
      <c r="C881" s="10" t="n">
        <v>22</v>
      </c>
      <c r="D881" s="10" t="n">
        <v>36</v>
      </c>
      <c r="E881" s="6" t="n">
        <f>SUM(C881,D881)/2</f>
        <v>29</v>
      </c>
      <c r="F881" s="18" t="n">
        <v>4</v>
      </c>
      <c r="G881" s="18" t="n">
        <v>21</v>
      </c>
      <c r="H881" s="6" t="n">
        <f>SUM(F881,G881)/2</f>
        <v>12.5</v>
      </c>
    </row>
    <row r="882" s="18" customFormat="1" ht="14.399999999999999" customHeight="1">
      <c r="A882" s="10" t="s">
        <v>2176</v>
      </c>
      <c r="B882" s="10" t="s">
        <v>2177</v>
      </c>
      <c r="C882" s="10" t="n">
        <v>7</v>
      </c>
      <c r="D882" s="10" t="n">
        <v>11</v>
      </c>
      <c r="E882" s="6" t="n">
        <f>SUM(C882,D882)/2</f>
        <v>9</v>
      </c>
      <c r="F882" s="18" t="n">
        <v>5</v>
      </c>
      <c r="G882" s="18" t="n">
        <v>7</v>
      </c>
      <c r="H882" s="6" t="n">
        <f>SUM(F882,G882)/2</f>
        <v>6</v>
      </c>
    </row>
    <row r="883" s="18" customFormat="1" ht="14.399999999999999" customHeight="1">
      <c r="A883" s="10" t="s">
        <v>2638</v>
      </c>
      <c r="B883" s="10" t="s">
        <v>2639</v>
      </c>
      <c r="C883" s="10" t="n">
        <v>1</v>
      </c>
      <c r="D883" s="10" t="n">
        <v>1</v>
      </c>
      <c r="E883" s="6" t="n">
        <f>SUM(C883,D883)/2</f>
        <v>1</v>
      </c>
      <c r="F883" s="18" t="n">
        <v>1</v>
      </c>
      <c r="G883" s="18" t="n">
        <v>1</v>
      </c>
      <c r="H883" s="6" t="n">
        <f>SUM(F883,G883)/2</f>
        <v>1</v>
      </c>
    </row>
    <row r="884" s="18" customFormat="1" ht="14.399999999999999" customHeight="1">
      <c r="A884" s="10" t="s">
        <v>2402</v>
      </c>
      <c r="B884" s="10" t="s">
        <v>2403</v>
      </c>
      <c r="C884" s="10" t="n">
        <v>301</v>
      </c>
      <c r="D884" s="10" t="n">
        <v>479</v>
      </c>
      <c r="E884" s="6" t="n">
        <f>SUM(C884,D884)/2</f>
        <v>390</v>
      </c>
      <c r="F884" s="18" t="n">
        <v>49</v>
      </c>
      <c r="G884" s="18" t="n">
        <v>156</v>
      </c>
      <c r="H884" s="6" t="n">
        <f>SUM(F884,G884)/2</f>
        <v>102.5</v>
      </c>
    </row>
    <row r="885" s="18" customFormat="1" ht="14.399999999999999" customHeight="1">
      <c r="A885" s="10" t="s">
        <v>2566</v>
      </c>
      <c r="B885" s="10" t="s">
        <v>2567</v>
      </c>
      <c r="C885" s="10" t="n">
        <v>1</v>
      </c>
      <c r="D885" s="10" t="n">
        <v>1</v>
      </c>
      <c r="E885" s="6" t="n">
        <f>SUM(C885,D885)/2</f>
        <v>1</v>
      </c>
      <c r="F885" s="18" t="n">
        <v>2</v>
      </c>
      <c r="G885" s="18" t="n">
        <v>2</v>
      </c>
      <c r="H885" s="6" t="n">
        <f>SUM(F885,G885)/2</f>
        <v>2</v>
      </c>
    </row>
    <row r="886" s="18" customFormat="1" ht="14.399999999999999" customHeight="1">
      <c r="A886" s="10" t="s">
        <v>5883</v>
      </c>
      <c r="B886" s="10" t="s">
        <v>5884</v>
      </c>
      <c r="C886" s="10" t="n">
        <v>5</v>
      </c>
      <c r="D886" s="10" t="n">
        <v>7</v>
      </c>
      <c r="E886" s="6" t="n">
        <f>SUM(C886,D886)/2</f>
        <v>6</v>
      </c>
      <c r="F886" s="18" t="n">
        <v>0</v>
      </c>
      <c r="G886" s="18" t="n">
        <v>0</v>
      </c>
      <c r="H886" s="6" t="n">
        <f>SUM(F886,G886)/2</f>
        <v>0</v>
      </c>
    </row>
    <row r="887" s="18" customFormat="1" ht="14.399999999999999" customHeight="1">
      <c r="A887" s="10" t="s">
        <v>3985</v>
      </c>
      <c r="B887" s="10" t="s">
        <v>3986</v>
      </c>
      <c r="C887" s="13" t="n">
        <v>45570</v>
      </c>
      <c r="D887" s="13" t="n">
        <v>72796</v>
      </c>
      <c r="E887" s="6" t="n">
        <f>SUM(C887,D887)/2</f>
        <v>59183</v>
      </c>
      <c r="F887" s="12" t="n">
        <v>10873</v>
      </c>
      <c r="G887" s="12" t="n">
        <v>14453</v>
      </c>
      <c r="H887" s="6" t="n">
        <f>SUM(F887,G887)/2</f>
        <v>12663</v>
      </c>
    </row>
    <row r="888" s="18" customFormat="1" ht="14.399999999999999" customHeight="1">
      <c r="A888" s="10" t="s">
        <v>5885</v>
      </c>
      <c r="B888" s="10" t="s">
        <v>5886</v>
      </c>
      <c r="C888" s="13" t="n">
        <v>4912</v>
      </c>
      <c r="D888" s="13" t="n">
        <v>7844</v>
      </c>
      <c r="E888" s="6" t="n">
        <f>SUM(C888,D888)/2</f>
        <v>6378</v>
      </c>
      <c r="F888" s="12" t="n">
        <v>7984</v>
      </c>
      <c r="G888" s="12" t="n">
        <v>10717</v>
      </c>
      <c r="H888" s="6" t="n">
        <f>SUM(F888,G888)/2</f>
        <v>9350.5</v>
      </c>
    </row>
    <row r="889" s="18" customFormat="1" ht="14.399999999999999" customHeight="1">
      <c r="A889" s="10" t="s">
        <v>1857</v>
      </c>
      <c r="B889" s="10" t="s">
        <v>1858</v>
      </c>
      <c r="C889" s="10" t="n">
        <v>24</v>
      </c>
      <c r="D889" s="10" t="n">
        <v>38</v>
      </c>
      <c r="E889" s="6" t="n">
        <f>SUM(C889,D889)/2</f>
        <v>31</v>
      </c>
      <c r="F889" s="18" t="n">
        <v>12</v>
      </c>
      <c r="G889" s="18" t="n">
        <v>14</v>
      </c>
      <c r="H889" s="6" t="n">
        <f>SUM(F889,G889)/2</f>
        <v>13</v>
      </c>
    </row>
    <row r="890" s="18" customFormat="1" ht="14.399999999999999" customHeight="1">
      <c r="A890" s="10" t="s">
        <v>867</v>
      </c>
      <c r="B890" s="10" t="s">
        <v>868</v>
      </c>
      <c r="C890" s="13" t="n">
        <v>610747</v>
      </c>
      <c r="D890" s="13" t="n">
        <v>975613</v>
      </c>
      <c r="E890" s="6" t="n">
        <f>SUM(C890,D890)/2</f>
        <v>793180</v>
      </c>
      <c r="F890" s="12" t="n">
        <v>222223</v>
      </c>
      <c r="G890" s="12" t="n">
        <v>302310</v>
      </c>
      <c r="H890" s="6" t="n">
        <f>SUM(F890,G890)/2</f>
        <v>262266.5</v>
      </c>
    </row>
    <row r="891" s="18" customFormat="1" ht="14.399999999999999" customHeight="1">
      <c r="A891" s="10" t="s">
        <v>5458</v>
      </c>
      <c r="B891" s="10" t="s">
        <v>5459</v>
      </c>
      <c r="C891" s="13" t="n">
        <v>184100</v>
      </c>
      <c r="D891" s="13" t="n">
        <v>294084</v>
      </c>
      <c r="E891" s="6" t="n">
        <f>SUM(C891,D891)/2</f>
        <v>239092</v>
      </c>
      <c r="F891" s="12" t="n">
        <v>40495</v>
      </c>
      <c r="G891" s="12" t="n">
        <v>58054</v>
      </c>
      <c r="H891" s="6" t="n">
        <f>SUM(F891,G891)/2</f>
        <v>49274.5</v>
      </c>
    </row>
    <row r="892" s="18" customFormat="1" ht="14.399999999999999" customHeight="1">
      <c r="A892" s="10" t="s">
        <v>774</v>
      </c>
      <c r="B892" s="10" t="s">
        <v>775</v>
      </c>
      <c r="C892" s="13" t="n">
        <v>1601814</v>
      </c>
      <c r="D892" s="13" t="n">
        <v>2558740</v>
      </c>
      <c r="E892" s="6" t="n">
        <f>SUM(C892,D892)/2</f>
        <v>2080277</v>
      </c>
      <c r="F892" s="12" t="n">
        <v>151155</v>
      </c>
      <c r="G892" s="12" t="n">
        <v>354504</v>
      </c>
      <c r="H892" s="6" t="n">
        <f>SUM(F892,G892)/2</f>
        <v>252829.5</v>
      </c>
    </row>
    <row r="893" s="18" customFormat="1" ht="14.399999999999999" customHeight="1">
      <c r="A893" s="10" t="s">
        <v>2871</v>
      </c>
      <c r="B893" s="10" t="s">
        <v>2872</v>
      </c>
      <c r="C893" s="10" t="n">
        <v>0</v>
      </c>
      <c r="D893" s="10" t="n">
        <v>0</v>
      </c>
      <c r="E893" s="6" t="n">
        <f>SUM(C893,D893)/2</f>
        <v>0</v>
      </c>
      <c r="F893" s="18" t="n">
        <v>0</v>
      </c>
      <c r="G893" s="18" t="n">
        <v>0</v>
      </c>
      <c r="H893" s="6" t="n">
        <f>SUM(F893,G893)/2</f>
        <v>0</v>
      </c>
    </row>
    <row r="894" s="18" customFormat="1" ht="14.399999999999999" customHeight="1">
      <c r="A894" s="10" t="s">
        <v>2284</v>
      </c>
      <c r="B894" s="10" t="s">
        <v>2285</v>
      </c>
      <c r="C894" s="13" t="n">
        <v>365337</v>
      </c>
      <c r="D894" s="13" t="n">
        <v>583589</v>
      </c>
      <c r="E894" s="6" t="n">
        <f>SUM(C894,D894)/2</f>
        <v>474463</v>
      </c>
      <c r="F894" s="12" t="n">
        <v>39091</v>
      </c>
      <c r="G894" s="12" t="n">
        <v>58689</v>
      </c>
      <c r="H894" s="6" t="n">
        <f>SUM(F894,G894)/2</f>
        <v>48890</v>
      </c>
    </row>
    <row r="895" s="18" customFormat="1" ht="14.399999999999999" customHeight="1">
      <c r="A895" s="10" t="s">
        <v>2873</v>
      </c>
      <c r="B895" s="10" t="s">
        <v>2874</v>
      </c>
      <c r="C895" s="10" t="n">
        <v>0</v>
      </c>
      <c r="D895" s="10" t="n">
        <v>0</v>
      </c>
      <c r="E895" s="6" t="n">
        <f>SUM(C895,D895)/2</f>
        <v>0</v>
      </c>
      <c r="F895" s="18" t="n">
        <v>0</v>
      </c>
      <c r="G895" s="18" t="n">
        <v>0</v>
      </c>
      <c r="H895" s="6" t="n">
        <f>SUM(F895,G895)/2</f>
        <v>0</v>
      </c>
    </row>
    <row r="896" s="18" customFormat="1" ht="14.399999999999999" customHeight="1">
      <c r="A896" s="10" t="s">
        <v>1003</v>
      </c>
      <c r="B896" s="10" t="s">
        <v>1004</v>
      </c>
      <c r="C896" s="13" t="n">
        <v>60782</v>
      </c>
      <c r="D896" s="13" t="n">
        <v>97096</v>
      </c>
      <c r="E896" s="6" t="n">
        <f>SUM(C896,D896)/2</f>
        <v>78939</v>
      </c>
      <c r="F896" s="12" t="n">
        <v>16658</v>
      </c>
      <c r="G896" s="12" t="n">
        <v>22065</v>
      </c>
      <c r="H896" s="6" t="n">
        <f>SUM(F896,G896)/2</f>
        <v>19361.5</v>
      </c>
    </row>
    <row r="897" s="18" customFormat="1" ht="14.399999999999999" customHeight="1">
      <c r="A897" s="10" t="s">
        <v>2875</v>
      </c>
      <c r="B897" s="10" t="s">
        <v>2876</v>
      </c>
      <c r="C897" s="10" t="n">
        <v>0</v>
      </c>
      <c r="D897" s="10" t="n">
        <v>0</v>
      </c>
      <c r="E897" s="6" t="n">
        <f>SUM(C897,D897)/2</f>
        <v>0</v>
      </c>
      <c r="F897" s="18" t="n">
        <v>0</v>
      </c>
      <c r="G897" s="18" t="n">
        <v>0</v>
      </c>
      <c r="H897" s="6" t="n">
        <f>SUM(F897,G897)/2</f>
        <v>0</v>
      </c>
    </row>
    <row r="898" s="18" customFormat="1" ht="14.399999999999999" customHeight="1">
      <c r="A898" s="10" t="s">
        <v>5887</v>
      </c>
      <c r="B898" s="10" t="s">
        <v>5888</v>
      </c>
      <c r="C898" s="10" t="n">
        <v>46</v>
      </c>
      <c r="D898" s="10" t="n">
        <v>74</v>
      </c>
      <c r="E898" s="6" t="n">
        <f>SUM(C898,D898)/2</f>
        <v>60</v>
      </c>
      <c r="F898" s="18" t="n">
        <v>12</v>
      </c>
      <c r="G898" s="18" t="n">
        <v>18</v>
      </c>
      <c r="H898" s="6" t="n">
        <f>SUM(F898,G898)/2</f>
        <v>15</v>
      </c>
    </row>
    <row r="899" s="18" customFormat="1" ht="14.399999999999999" customHeight="1">
      <c r="A899" s="10" t="s">
        <v>1867</v>
      </c>
      <c r="B899" s="10" t="s">
        <v>1868</v>
      </c>
      <c r="C899" s="10" t="n">
        <v>9</v>
      </c>
      <c r="D899" s="10" t="n">
        <v>15</v>
      </c>
      <c r="E899" s="6" t="n">
        <f>SUM(C899,D899)/2</f>
        <v>12</v>
      </c>
      <c r="F899" s="18" t="n">
        <v>14</v>
      </c>
      <c r="G899" s="18" t="n">
        <v>19</v>
      </c>
      <c r="H899" s="6" t="n">
        <f>SUM(F899,G899)/2</f>
        <v>16.5</v>
      </c>
    </row>
    <row r="900" s="18" customFormat="1" ht="14.399999999999999" customHeight="1">
      <c r="A900" s="10" t="s">
        <v>4083</v>
      </c>
      <c r="B900" s="10" t="s">
        <v>4084</v>
      </c>
      <c r="C900" s="13" t="n">
        <v>27122</v>
      </c>
      <c r="D900" s="13" t="n">
        <v>43326</v>
      </c>
      <c r="E900" s="6" t="n">
        <f>SUM(C900,D900)/2</f>
        <v>35224</v>
      </c>
      <c r="F900" s="12" t="n">
        <v>12244</v>
      </c>
      <c r="G900" s="12" t="n">
        <v>18191</v>
      </c>
      <c r="H900" s="6" t="n">
        <f>SUM(F900,G900)/2</f>
        <v>15217.5</v>
      </c>
    </row>
    <row r="901" s="18" customFormat="1" ht="14.399999999999999" customHeight="1">
      <c r="A901" s="10" t="s">
        <v>5889</v>
      </c>
      <c r="B901" s="10" t="s">
        <v>5890</v>
      </c>
      <c r="C901" s="13" t="n">
        <v>16990</v>
      </c>
      <c r="D901" s="13" t="n">
        <v>27140</v>
      </c>
      <c r="E901" s="6" t="n">
        <f>SUM(C901,D901)/2</f>
        <v>22065</v>
      </c>
      <c r="F901" s="12" t="n">
        <v>8512</v>
      </c>
      <c r="G901" s="12" t="n">
        <v>11214</v>
      </c>
      <c r="H901" s="6" t="n">
        <f>SUM(F901,G901)/2</f>
        <v>9863</v>
      </c>
    </row>
    <row r="902" s="18" customFormat="1" ht="14.399999999999999" customHeight="1">
      <c r="A902" s="10" t="s">
        <v>4615</v>
      </c>
      <c r="B902" s="10" t="s">
        <v>4616</v>
      </c>
      <c r="C902" s="13" t="n">
        <v>27331</v>
      </c>
      <c r="D902" s="13" t="n">
        <v>43659</v>
      </c>
      <c r="E902" s="6" t="n">
        <f>SUM(C902,D902)/2</f>
        <v>35495</v>
      </c>
      <c r="F902" s="12" t="n">
        <v>5266</v>
      </c>
      <c r="G902" s="12" t="n">
        <v>7601</v>
      </c>
      <c r="H902" s="6" t="n">
        <f>SUM(F902,G902)/2</f>
        <v>6433.5</v>
      </c>
    </row>
    <row r="903" s="18" customFormat="1" ht="14.399999999999999" customHeight="1">
      <c r="A903" s="10" t="s">
        <v>5384</v>
      </c>
      <c r="B903" s="10" t="s">
        <v>5385</v>
      </c>
      <c r="C903" s="10" t="n">
        <v>466</v>
      </c>
      <c r="D903" s="10" t="n">
        <v>744</v>
      </c>
      <c r="E903" s="6" t="n">
        <f>SUM(C903,D903)/2</f>
        <v>605</v>
      </c>
      <c r="F903" s="18" t="n">
        <v>217</v>
      </c>
      <c r="G903" s="18" t="n">
        <v>253</v>
      </c>
      <c r="H903" s="6" t="n">
        <f>SUM(F903,G903)/2</f>
        <v>235</v>
      </c>
    </row>
    <row r="904" s="18" customFormat="1" ht="14.399999999999999" customHeight="1">
      <c r="A904" s="10" t="s">
        <v>4503</v>
      </c>
      <c r="B904" s="10" t="s">
        <v>4504</v>
      </c>
      <c r="C904" s="13" t="n">
        <v>22264</v>
      </c>
      <c r="D904" s="13" t="n">
        <v>35564</v>
      </c>
      <c r="E904" s="6" t="n">
        <f>SUM(C904,D904)/2</f>
        <v>28914</v>
      </c>
      <c r="F904" s="12" t="n">
        <v>7621</v>
      </c>
      <c r="G904" s="12" t="n">
        <v>10903</v>
      </c>
      <c r="H904" s="6" t="n">
        <f>SUM(F904,G904)/2</f>
        <v>9262</v>
      </c>
    </row>
    <row r="905" s="18" customFormat="1" ht="14.399999999999999" customHeight="1">
      <c r="A905" s="10" t="s">
        <v>3643</v>
      </c>
      <c r="B905" s="10" t="s">
        <v>3644</v>
      </c>
      <c r="C905" s="13" t="n">
        <v>90132</v>
      </c>
      <c r="D905" s="13" t="n">
        <v>143976</v>
      </c>
      <c r="E905" s="6" t="n">
        <f>SUM(C905,D905)/2</f>
        <v>117054</v>
      </c>
      <c r="F905" s="12" t="n">
        <v>9797</v>
      </c>
      <c r="G905" s="12" t="n">
        <v>12695</v>
      </c>
      <c r="H905" s="6" t="n">
        <f>SUM(F905,G905)/2</f>
        <v>11246</v>
      </c>
    </row>
    <row r="906" s="18" customFormat="1" ht="14.399999999999999" customHeight="1">
      <c r="A906" s="10" t="s">
        <v>2877</v>
      </c>
      <c r="B906" s="10" t="s">
        <v>2878</v>
      </c>
      <c r="C906" s="10" t="n">
        <v>0</v>
      </c>
      <c r="D906" s="10" t="n">
        <v>0</v>
      </c>
      <c r="E906" s="6" t="n">
        <f>SUM(C906,D906)/2</f>
        <v>0</v>
      </c>
      <c r="F906" s="18" t="n">
        <v>0</v>
      </c>
      <c r="G906" s="18" t="n">
        <v>0</v>
      </c>
      <c r="H906" s="6" t="n">
        <f>SUM(F906,G906)/2</f>
        <v>0</v>
      </c>
    </row>
    <row r="907" s="18" customFormat="1" ht="14.399999999999999" customHeight="1">
      <c r="A907" s="10" t="s">
        <v>190</v>
      </c>
      <c r="B907" s="10" t="s">
        <v>191</v>
      </c>
      <c r="C907" s="13" t="n">
        <v>1402</v>
      </c>
      <c r="D907" s="13" t="n">
        <v>2238</v>
      </c>
      <c r="E907" s="6" t="n">
        <f>SUM(C907,D907)/2</f>
        <v>1820</v>
      </c>
      <c r="F907" s="18" t="n">
        <v>1183</v>
      </c>
      <c r="G907" s="18" t="n">
        <v>1314</v>
      </c>
      <c r="H907" s="6" t="n">
        <f>SUM(F907,G907)/2</f>
        <v>1248.5</v>
      </c>
    </row>
    <row r="908" s="18" customFormat="1" ht="14.399999999999999" customHeight="1">
      <c r="A908" s="10" t="s">
        <v>3227</v>
      </c>
      <c r="B908" s="10" t="s">
        <v>3228</v>
      </c>
      <c r="C908" s="13" t="n">
        <v>83112</v>
      </c>
      <c r="D908" s="13" t="n">
        <v>132762</v>
      </c>
      <c r="E908" s="6" t="n">
        <f>SUM(C908,D908)/2</f>
        <v>107937</v>
      </c>
      <c r="F908" s="12" t="n">
        <v>28023</v>
      </c>
      <c r="G908" s="12" t="n">
        <v>42127</v>
      </c>
      <c r="H908" s="6" t="n">
        <f>SUM(F908,G908)/2</f>
        <v>35075</v>
      </c>
    </row>
    <row r="909" s="18" customFormat="1" ht="14.399999999999999" customHeight="1">
      <c r="A909" s="10" t="s">
        <v>2797</v>
      </c>
      <c r="B909" s="10" t="s">
        <v>2798</v>
      </c>
      <c r="C909" s="10" t="n">
        <v>1</v>
      </c>
      <c r="D909" s="10" t="n">
        <v>1</v>
      </c>
      <c r="E909" s="6" t="n">
        <f>SUM(C909,D909)/2</f>
        <v>1</v>
      </c>
      <c r="F909" s="18" t="n">
        <v>0</v>
      </c>
      <c r="G909" s="18" t="n">
        <v>0</v>
      </c>
      <c r="H909" s="6" t="n">
        <f>SUM(F909,G909)/2</f>
        <v>0</v>
      </c>
    </row>
    <row r="910" s="18" customFormat="1" ht="14.399999999999999" customHeight="1">
      <c r="A910" s="10" t="s">
        <v>3661</v>
      </c>
      <c r="B910" s="10" t="s">
        <v>3662</v>
      </c>
      <c r="C910" s="13" t="n">
        <v>81422</v>
      </c>
      <c r="D910" s="13" t="n">
        <v>130064</v>
      </c>
      <c r="E910" s="6" t="n">
        <f>SUM(C910,D910)/2</f>
        <v>105743</v>
      </c>
      <c r="F910" s="12" t="n">
        <v>11163</v>
      </c>
      <c r="G910" s="12" t="n">
        <v>14893</v>
      </c>
      <c r="H910" s="6" t="n">
        <f>SUM(F910,G910)/2</f>
        <v>13028</v>
      </c>
    </row>
    <row r="911" s="18" customFormat="1" ht="14.399999999999999" customHeight="1">
      <c r="A911" s="10" t="s">
        <v>744</v>
      </c>
      <c r="B911" s="10" t="s">
        <v>745</v>
      </c>
      <c r="C911" s="13" t="n">
        <v>652761</v>
      </c>
      <c r="D911" s="13" t="n">
        <v>1042723</v>
      </c>
      <c r="E911" s="6" t="n">
        <f>SUM(C911,D911)/2</f>
        <v>847742</v>
      </c>
      <c r="F911" s="12" t="n">
        <v>714611</v>
      </c>
      <c r="G911" s="12" t="n">
        <v>794633</v>
      </c>
      <c r="H911" s="6" t="n">
        <f>SUM(F911,G911)/2</f>
        <v>754622</v>
      </c>
    </row>
    <row r="912" s="18" customFormat="1" ht="14.399999999999999" customHeight="1">
      <c r="A912" s="10" t="s">
        <v>5891</v>
      </c>
      <c r="B912" s="10" t="s">
        <v>5892</v>
      </c>
      <c r="C912" s="10" t="n">
        <v>0</v>
      </c>
      <c r="D912" s="10" t="n">
        <v>0</v>
      </c>
      <c r="E912" s="6" t="n">
        <f>SUM(C912,D912)/2</f>
        <v>0</v>
      </c>
      <c r="F912" s="18" t="n">
        <v>0</v>
      </c>
      <c r="G912" s="18" t="n">
        <v>0</v>
      </c>
      <c r="H912" s="6" t="n">
        <f>SUM(F912,G912)/2</f>
        <v>0</v>
      </c>
    </row>
    <row r="913" s="18" customFormat="1" ht="14.399999999999999" customHeight="1">
      <c r="A913" s="10" t="s">
        <v>2658</v>
      </c>
      <c r="B913" s="10" t="s">
        <v>2659</v>
      </c>
      <c r="C913" s="10" t="n">
        <v>4</v>
      </c>
      <c r="D913" s="10" t="n">
        <v>6</v>
      </c>
      <c r="E913" s="6" t="n">
        <f>SUM(C913,D913)/2</f>
        <v>5</v>
      </c>
      <c r="F913" s="18" t="n">
        <v>0</v>
      </c>
      <c r="G913" s="18" t="n">
        <v>0</v>
      </c>
      <c r="H913" s="6" t="n">
        <f>SUM(F913,G913)/2</f>
        <v>0</v>
      </c>
    </row>
    <row r="914" s="18" customFormat="1" ht="14.399999999999999" customHeight="1">
      <c r="A914" s="10" t="s">
        <v>2004</v>
      </c>
      <c r="B914" s="10" t="s">
        <v>2005</v>
      </c>
      <c r="C914" s="10" t="n">
        <v>39</v>
      </c>
      <c r="D914" s="10" t="n">
        <v>61</v>
      </c>
      <c r="E914" s="6" t="n">
        <f>SUM(C914,D914)/2</f>
        <v>50</v>
      </c>
      <c r="F914" s="18" t="n">
        <v>2</v>
      </c>
      <c r="G914" s="18" t="n">
        <v>2</v>
      </c>
      <c r="H914" s="6" t="n">
        <f>SUM(F914,G914)/2</f>
        <v>2</v>
      </c>
    </row>
    <row r="915" s="18" customFormat="1" ht="14.399999999999999" customHeight="1">
      <c r="A915" s="10" t="s">
        <v>4443</v>
      </c>
      <c r="B915" s="10" t="s">
        <v>4444</v>
      </c>
      <c r="C915" s="13" t="n">
        <v>25221</v>
      </c>
      <c r="D915" s="13" t="n">
        <v>40287</v>
      </c>
      <c r="E915" s="6" t="n">
        <f>SUM(C915,D915)/2</f>
        <v>32754</v>
      </c>
      <c r="F915" s="12" t="n">
        <v>7827</v>
      </c>
      <c r="G915" s="12" t="n">
        <v>10864</v>
      </c>
      <c r="H915" s="6" t="n">
        <f>SUM(F915,G915)/2</f>
        <v>9345.5</v>
      </c>
    </row>
    <row r="916" s="18" customFormat="1" ht="14.399999999999999" customHeight="1">
      <c r="A916" s="10" t="s">
        <v>5893</v>
      </c>
      <c r="B916" s="10" t="s">
        <v>5894</v>
      </c>
      <c r="C916" s="13" t="n">
        <v>22267</v>
      </c>
      <c r="D916" s="13" t="n">
        <v>35569</v>
      </c>
      <c r="E916" s="6" t="n">
        <f>SUM(C916,D916)/2</f>
        <v>28918</v>
      </c>
      <c r="F916" s="12" t="n">
        <v>7253</v>
      </c>
      <c r="G916" s="12" t="n">
        <v>10117</v>
      </c>
      <c r="H916" s="6" t="n">
        <f>SUM(F916,G916)/2</f>
        <v>8685</v>
      </c>
    </row>
    <row r="917" s="18" customFormat="1" ht="14.399999999999999" customHeight="1">
      <c r="A917" s="10" t="s">
        <v>5895</v>
      </c>
      <c r="B917" s="10" t="s">
        <v>5896</v>
      </c>
      <c r="C917" s="10" t="n">
        <v>2</v>
      </c>
      <c r="D917" s="10" t="n">
        <v>2</v>
      </c>
      <c r="E917" s="6" t="n">
        <f>SUM(C917,D917)/2</f>
        <v>2</v>
      </c>
      <c r="F917" s="18" t="n">
        <v>0</v>
      </c>
      <c r="G917" s="18" t="n">
        <v>0</v>
      </c>
      <c r="H917" s="6" t="n">
        <f>SUM(F917,G917)/2</f>
        <v>0</v>
      </c>
    </row>
    <row r="918" s="18" customFormat="1" ht="14.399999999999999" customHeight="1">
      <c r="A918" s="10" t="s">
        <v>5897</v>
      </c>
      <c r="B918" s="10" t="s">
        <v>5898</v>
      </c>
      <c r="C918" s="13" t="n">
        <v>98071</v>
      </c>
      <c r="D918" s="13" t="n">
        <v>156659</v>
      </c>
      <c r="E918" s="6" t="n">
        <f>SUM(C918,D918)/2</f>
        <v>127365</v>
      </c>
      <c r="F918" s="12" t="n">
        <v>19675</v>
      </c>
      <c r="G918" s="12" t="n">
        <v>29684</v>
      </c>
      <c r="H918" s="6" t="n">
        <f>SUM(F918,G918)/2</f>
        <v>24679.5</v>
      </c>
    </row>
    <row r="919" s="18" customFormat="1" ht="14.399999999999999" customHeight="1">
      <c r="A919" s="10" t="s">
        <v>5899</v>
      </c>
      <c r="B919" s="10" t="s">
        <v>5900</v>
      </c>
      <c r="C919" s="10" t="n">
        <v>5</v>
      </c>
      <c r="D919" s="10" t="n">
        <v>7</v>
      </c>
      <c r="E919" s="6" t="n">
        <f>SUM(C919,D919)/2</f>
        <v>6</v>
      </c>
      <c r="F919" s="18" t="n">
        <v>0</v>
      </c>
      <c r="G919" s="18" t="n">
        <v>0</v>
      </c>
      <c r="H919" s="6" t="n">
        <f>SUM(F919,G919)/2</f>
        <v>0</v>
      </c>
    </row>
    <row r="920" s="18" customFormat="1" ht="14.399999999999999" customHeight="1">
      <c r="A920" s="10" t="s">
        <v>5901</v>
      </c>
      <c r="B920" s="10" t="s">
        <v>5902</v>
      </c>
      <c r="C920" s="10" t="n">
        <v>202</v>
      </c>
      <c r="D920" s="10" t="n">
        <v>324</v>
      </c>
      <c r="E920" s="6" t="n">
        <f>SUM(C920,D920)/2</f>
        <v>263</v>
      </c>
      <c r="F920" s="18" t="n">
        <v>108</v>
      </c>
      <c r="G920" s="18" t="n">
        <v>151</v>
      </c>
      <c r="H920" s="6" t="n">
        <f>SUM(F920,G920)/2</f>
        <v>129.5</v>
      </c>
    </row>
    <row r="921" s="18" customFormat="1" ht="14.399999999999999" customHeight="1">
      <c r="A921" s="10" t="s">
        <v>2045</v>
      </c>
      <c r="B921" s="10" t="s">
        <v>2046</v>
      </c>
      <c r="C921" s="10" t="n">
        <v>13</v>
      </c>
      <c r="D921" s="10" t="n">
        <v>19</v>
      </c>
      <c r="E921" s="6" t="n">
        <f>SUM(C921,D921)/2</f>
        <v>16</v>
      </c>
      <c r="F921" s="18" t="n">
        <v>7</v>
      </c>
      <c r="G921" s="18" t="n">
        <v>9</v>
      </c>
      <c r="H921" s="6" t="n">
        <f>SUM(F921,G921)/2</f>
        <v>8</v>
      </c>
    </row>
    <row r="922" s="18" customFormat="1" ht="14.399999999999999" customHeight="1">
      <c r="A922" s="10" t="s">
        <v>5051</v>
      </c>
      <c r="B922" s="10" t="s">
        <v>5052</v>
      </c>
      <c r="C922" s="13" t="n">
        <v>7294</v>
      </c>
      <c r="D922" s="13" t="n">
        <v>11652</v>
      </c>
      <c r="E922" s="6" t="n">
        <f>SUM(C922,D922)/2</f>
        <v>9473</v>
      </c>
      <c r="F922" s="12" t="n">
        <v>5762</v>
      </c>
      <c r="G922" s="12" t="n">
        <v>8266</v>
      </c>
      <c r="H922" s="6" t="n">
        <f>SUM(F922,G922)/2</f>
        <v>7014</v>
      </c>
    </row>
    <row r="923" s="18" customFormat="1" ht="14.399999999999999" customHeight="1">
      <c r="A923" s="10" t="s">
        <v>2246</v>
      </c>
      <c r="B923" s="10" t="s">
        <v>2247</v>
      </c>
      <c r="C923" s="10" t="n">
        <v>12</v>
      </c>
      <c r="D923" s="10" t="n">
        <v>20</v>
      </c>
      <c r="E923" s="6" t="n">
        <f>SUM(C923,D923)/2</f>
        <v>16</v>
      </c>
      <c r="F923" s="18" t="n">
        <v>3</v>
      </c>
      <c r="G923" s="18" t="n">
        <v>4</v>
      </c>
      <c r="H923" s="6" t="n">
        <f>SUM(F923,G923)/2</f>
        <v>3.5</v>
      </c>
    </row>
    <row r="924" s="18" customFormat="1" ht="14.399999999999999" customHeight="1">
      <c r="A924" s="10" t="s">
        <v>5903</v>
      </c>
      <c r="B924" s="10" t="s">
        <v>5904</v>
      </c>
      <c r="C924" s="10" t="n">
        <v>0</v>
      </c>
      <c r="D924" s="10" t="n">
        <v>0</v>
      </c>
      <c r="E924" s="6" t="n">
        <f>SUM(C924,D924)/2</f>
        <v>0</v>
      </c>
      <c r="F924" s="18" t="n">
        <v>2</v>
      </c>
      <c r="G924" s="18" t="n">
        <v>2</v>
      </c>
      <c r="H924" s="6" t="n">
        <f>SUM(F924,G924)/2</f>
        <v>2</v>
      </c>
    </row>
    <row r="925" s="18" customFormat="1" ht="14.399999999999999" customHeight="1">
      <c r="A925" s="10" t="s">
        <v>3345</v>
      </c>
      <c r="B925" s="10" t="s">
        <v>3346</v>
      </c>
      <c r="C925" s="13" t="n">
        <v>90523</v>
      </c>
      <c r="D925" s="13" t="n">
        <v>144607</v>
      </c>
      <c r="E925" s="6" t="n">
        <f>SUM(C925,D925)/2</f>
        <v>117565</v>
      </c>
      <c r="F925" s="12" t="n">
        <v>20781</v>
      </c>
      <c r="G925" s="12" t="n">
        <v>28260</v>
      </c>
      <c r="H925" s="6" t="n">
        <f>SUM(F925,G925)/2</f>
        <v>24520.5</v>
      </c>
    </row>
    <row r="926" s="18" customFormat="1" ht="14.399999999999999" customHeight="1">
      <c r="A926" s="10" t="s">
        <v>3351</v>
      </c>
      <c r="B926" s="10" t="s">
        <v>3352</v>
      </c>
      <c r="C926" s="13" t="n">
        <v>50204</v>
      </c>
      <c r="D926" s="13" t="n">
        <v>80196</v>
      </c>
      <c r="E926" s="6" t="n">
        <f>SUM(C926,D926)/2</f>
        <v>65200</v>
      </c>
      <c r="F926" s="12" t="n">
        <v>28731</v>
      </c>
      <c r="G926" s="12" t="n">
        <v>41918</v>
      </c>
      <c r="H926" s="6" t="n">
        <f>SUM(F926,G926)/2</f>
        <v>35324.5</v>
      </c>
    </row>
    <row r="927" s="18" customFormat="1" ht="14.399999999999999" customHeight="1">
      <c r="A927" s="10" t="s">
        <v>3949</v>
      </c>
      <c r="B927" s="10" t="s">
        <v>3950</v>
      </c>
      <c r="C927" s="13" t="n">
        <v>24351</v>
      </c>
      <c r="D927" s="13" t="n">
        <v>38899</v>
      </c>
      <c r="E927" s="6" t="n">
        <f>SUM(C927,D927)/2</f>
        <v>31625</v>
      </c>
      <c r="F927" s="12" t="n">
        <v>16195</v>
      </c>
      <c r="G927" s="12" t="n">
        <v>21902</v>
      </c>
      <c r="H927" s="6" t="n">
        <f>SUM(F927,G927)/2</f>
        <v>19048.5</v>
      </c>
    </row>
    <row r="928" s="18" customFormat="1" ht="14.399999999999999" customHeight="1">
      <c r="A928" s="10" t="s">
        <v>3353</v>
      </c>
      <c r="B928" s="10" t="s">
        <v>3354</v>
      </c>
      <c r="C928" s="13" t="n">
        <v>98604</v>
      </c>
      <c r="D928" s="13" t="n">
        <v>157509</v>
      </c>
      <c r="E928" s="6" t="n">
        <f>SUM(C928,D928)/2</f>
        <v>128056.5</v>
      </c>
      <c r="F928" s="12" t="n">
        <v>15874</v>
      </c>
      <c r="G928" s="12" t="n">
        <v>27441</v>
      </c>
      <c r="H928" s="6" t="n">
        <f>SUM(F928,G928)/2</f>
        <v>21657.5</v>
      </c>
    </row>
    <row r="929" s="18" customFormat="1" ht="14.399999999999999" customHeight="1">
      <c r="A929" s="10" t="s">
        <v>1180</v>
      </c>
      <c r="B929" s="10" t="s">
        <v>1181</v>
      </c>
      <c r="C929" s="10" t="n">
        <v>587</v>
      </c>
      <c r="D929" s="10" t="n">
        <v>937</v>
      </c>
      <c r="E929" s="6" t="n">
        <f>SUM(C929,D929)/2</f>
        <v>762</v>
      </c>
      <c r="F929" s="18" t="n">
        <v>41</v>
      </c>
      <c r="G929" s="18" t="n">
        <v>56</v>
      </c>
      <c r="H929" s="6" t="n">
        <f>SUM(F929,G929)/2</f>
        <v>48.5</v>
      </c>
    </row>
    <row r="930" s="18" customFormat="1" ht="14.399999999999999" customHeight="1">
      <c r="A930" s="10" t="s">
        <v>3265</v>
      </c>
      <c r="B930" s="10" t="s">
        <v>3266</v>
      </c>
      <c r="C930" s="13" t="n">
        <v>112392</v>
      </c>
      <c r="D930" s="13" t="n">
        <v>179536</v>
      </c>
      <c r="E930" s="6" t="n">
        <f>SUM(C930,D930)/2</f>
        <v>145964</v>
      </c>
      <c r="F930" s="12" t="n">
        <v>19679</v>
      </c>
      <c r="G930" s="12" t="n">
        <v>31164</v>
      </c>
      <c r="H930" s="6" t="n">
        <f>SUM(F930,G930)/2</f>
        <v>25421.5</v>
      </c>
    </row>
    <row r="931" s="18" customFormat="1" ht="14.399999999999999" customHeight="1">
      <c r="A931" s="10" t="s">
        <v>1980</v>
      </c>
      <c r="B931" s="10" t="s">
        <v>1981</v>
      </c>
      <c r="C931" s="13" t="n">
        <v>81577</v>
      </c>
      <c r="D931" s="13" t="n">
        <v>130309</v>
      </c>
      <c r="E931" s="6" t="n">
        <f>SUM(C931,D931)/2</f>
        <v>105943</v>
      </c>
      <c r="F931" s="12" t="n">
        <v>80117</v>
      </c>
      <c r="G931" s="12" t="n">
        <v>117004</v>
      </c>
      <c r="H931" s="6" t="n">
        <f>SUM(F931,G931)/2</f>
        <v>98560.5</v>
      </c>
    </row>
    <row r="932" s="18" customFormat="1" ht="14.399999999999999" customHeight="1">
      <c r="A932" s="10" t="s">
        <v>5404</v>
      </c>
      <c r="B932" s="10" t="s">
        <v>5405</v>
      </c>
      <c r="C932" s="13" t="n">
        <v>93128</v>
      </c>
      <c r="D932" s="13" t="n">
        <v>148764</v>
      </c>
      <c r="E932" s="6" t="n">
        <f>SUM(C932,D932)/2</f>
        <v>120946</v>
      </c>
      <c r="F932" s="12" t="n">
        <v>84376</v>
      </c>
      <c r="G932" s="12" t="n">
        <v>130089</v>
      </c>
      <c r="H932" s="6" t="n">
        <f>SUM(F932,G932)/2</f>
        <v>107232.5</v>
      </c>
    </row>
    <row r="933" s="18" customFormat="1" ht="14.399999999999999" customHeight="1">
      <c r="A933" s="10" t="s">
        <v>947</v>
      </c>
      <c r="B933" s="10" t="s">
        <v>948</v>
      </c>
      <c r="C933" s="13" t="n">
        <v>857384</v>
      </c>
      <c r="D933" s="13" t="n">
        <v>1369588</v>
      </c>
      <c r="E933" s="6" t="n">
        <f>SUM(C933,D933)/2</f>
        <v>1113486</v>
      </c>
      <c r="F933" s="12" t="n">
        <v>27307</v>
      </c>
      <c r="G933" s="12" t="n">
        <v>130842</v>
      </c>
      <c r="H933" s="6" t="n">
        <f>SUM(F933,G933)/2</f>
        <v>79074.5</v>
      </c>
    </row>
    <row r="934" s="18" customFormat="1" ht="14.399999999999999" customHeight="1">
      <c r="A934" s="10" t="s">
        <v>5905</v>
      </c>
      <c r="B934" s="10" t="s">
        <v>5906</v>
      </c>
      <c r="C934" s="13" t="n">
        <v>30367</v>
      </c>
      <c r="D934" s="13" t="n">
        <v>48511</v>
      </c>
      <c r="E934" s="6" t="n">
        <f>SUM(C934,D934)/2</f>
        <v>39439</v>
      </c>
      <c r="F934" s="12" t="n">
        <v>26393</v>
      </c>
      <c r="G934" s="12" t="n">
        <v>41617</v>
      </c>
      <c r="H934" s="6" t="n">
        <f>SUM(F934,G934)/2</f>
        <v>34005</v>
      </c>
    </row>
    <row r="935" s="18" customFormat="1" ht="14.399999999999999" customHeight="1">
      <c r="A935" s="10" t="s">
        <v>5907</v>
      </c>
      <c r="B935" s="10" t="s">
        <v>5908</v>
      </c>
      <c r="C935" s="13" t="n">
        <v>33954</v>
      </c>
      <c r="D935" s="13" t="n">
        <v>54238</v>
      </c>
      <c r="E935" s="6" t="n">
        <f>SUM(C935,D935)/2</f>
        <v>44096</v>
      </c>
      <c r="F935" s="12" t="n">
        <v>6151</v>
      </c>
      <c r="G935" s="12" t="n">
        <v>9325</v>
      </c>
      <c r="H935" s="6" t="n">
        <f>SUM(F935,G935)/2</f>
        <v>7738</v>
      </c>
    </row>
    <row r="936" s="18" customFormat="1" ht="14.399999999999999" customHeight="1">
      <c r="A936" s="10" t="s">
        <v>4121</v>
      </c>
      <c r="B936" s="10" t="s">
        <v>4122</v>
      </c>
      <c r="C936" s="13" t="n">
        <v>36594</v>
      </c>
      <c r="D936" s="13" t="n">
        <v>58456</v>
      </c>
      <c r="E936" s="6" t="n">
        <f>SUM(C936,D936)/2</f>
        <v>47525</v>
      </c>
      <c r="F936" s="12" t="n">
        <v>9478</v>
      </c>
      <c r="G936" s="12" t="n">
        <v>13789</v>
      </c>
      <c r="H936" s="6" t="n">
        <f>SUM(F936,G936)/2</f>
        <v>11633.5</v>
      </c>
    </row>
    <row r="937" s="18" customFormat="1" ht="14.399999999999999" customHeight="1">
      <c r="A937" s="10" t="s">
        <v>925</v>
      </c>
      <c r="B937" s="10" t="s">
        <v>926</v>
      </c>
      <c r="C937" s="13" t="n">
        <v>421669</v>
      </c>
      <c r="D937" s="13" t="n">
        <v>673573</v>
      </c>
      <c r="E937" s="6" t="n">
        <f>SUM(C937,D937)/2</f>
        <v>547621</v>
      </c>
      <c r="F937" s="12" t="n">
        <v>167963</v>
      </c>
      <c r="G937" s="12" t="n">
        <v>266784</v>
      </c>
      <c r="H937" s="6" t="n">
        <f>SUM(F937,G937)/2</f>
        <v>217373.5</v>
      </c>
    </row>
    <row r="938" s="18" customFormat="1" ht="14.399999999999999" customHeight="1">
      <c r="A938" s="10" t="s">
        <v>5909</v>
      </c>
      <c r="B938" s="10" t="s">
        <v>5910</v>
      </c>
      <c r="C938" s="13" t="n">
        <v>23023</v>
      </c>
      <c r="D938" s="13" t="n">
        <v>36775</v>
      </c>
      <c r="E938" s="6" t="n">
        <f>SUM(C938,D938)/2</f>
        <v>29899</v>
      </c>
      <c r="F938" s="12" t="n">
        <v>11908</v>
      </c>
      <c r="G938" s="12" t="n">
        <v>17601</v>
      </c>
      <c r="H938" s="6" t="n">
        <f>SUM(F938,G938)/2</f>
        <v>14754.5</v>
      </c>
    </row>
    <row r="939" s="18" customFormat="1" ht="14.399999999999999" customHeight="1">
      <c r="A939" s="10" t="s">
        <v>3567</v>
      </c>
      <c r="B939" s="10" t="s">
        <v>3568</v>
      </c>
      <c r="C939" s="13" t="n">
        <v>22762</v>
      </c>
      <c r="D939" s="13" t="n">
        <v>36358</v>
      </c>
      <c r="E939" s="6" t="n">
        <f>SUM(C939,D939)/2</f>
        <v>29560</v>
      </c>
      <c r="F939" s="12" t="n">
        <v>27684</v>
      </c>
      <c r="G939" s="12" t="n">
        <v>39202</v>
      </c>
      <c r="H939" s="6" t="n">
        <f>SUM(F939,G939)/2</f>
        <v>33443</v>
      </c>
    </row>
    <row r="940" s="18" customFormat="1" ht="14.399999999999999" customHeight="1">
      <c r="A940" s="10" t="s">
        <v>4847</v>
      </c>
      <c r="B940" s="10" t="s">
        <v>4848</v>
      </c>
      <c r="C940" s="13" t="n">
        <v>18159</v>
      </c>
      <c r="D940" s="13" t="n">
        <v>29005</v>
      </c>
      <c r="E940" s="6" t="n">
        <f>SUM(C940,D940)/2</f>
        <v>23582</v>
      </c>
      <c r="F940" s="12" t="n">
        <v>5314</v>
      </c>
      <c r="G940" s="12" t="n">
        <v>7359</v>
      </c>
      <c r="H940" s="6" t="n">
        <f>SUM(F940,G940)/2</f>
        <v>6336.5</v>
      </c>
    </row>
    <row r="941" s="18" customFormat="1" ht="14.399999999999999" customHeight="1">
      <c r="A941" s="10" t="s">
        <v>2568</v>
      </c>
      <c r="B941" s="10" t="s">
        <v>2569</v>
      </c>
      <c r="C941" s="10" t="n">
        <v>1</v>
      </c>
      <c r="D941" s="10" t="n">
        <v>1</v>
      </c>
      <c r="E941" s="6" t="n">
        <f>SUM(C941,D941)/2</f>
        <v>1</v>
      </c>
      <c r="F941" s="18" t="n">
        <v>2</v>
      </c>
      <c r="G941" s="18" t="n">
        <v>2</v>
      </c>
      <c r="H941" s="6" t="n">
        <f>SUM(F941,G941)/2</f>
        <v>2</v>
      </c>
    </row>
    <row r="942" s="18" customFormat="1" ht="14.399999999999999" customHeight="1">
      <c r="A942" s="10" t="s">
        <v>3209</v>
      </c>
      <c r="B942" s="10" t="s">
        <v>3210</v>
      </c>
      <c r="C942" s="13" t="n">
        <v>120799</v>
      </c>
      <c r="D942" s="13" t="n">
        <v>192967</v>
      </c>
      <c r="E942" s="6" t="n">
        <f>SUM(C942,D942)/2</f>
        <v>156883</v>
      </c>
      <c r="F942" s="12" t="n">
        <v>20101</v>
      </c>
      <c r="G942" s="12" t="n">
        <v>30558</v>
      </c>
      <c r="H942" s="6" t="n">
        <f>SUM(F942,G942)/2</f>
        <v>25329.5</v>
      </c>
    </row>
    <row r="943" s="18" customFormat="1" ht="14.399999999999999" customHeight="1">
      <c r="A943" s="10" t="s">
        <v>873</v>
      </c>
      <c r="B943" s="10" t="s">
        <v>874</v>
      </c>
      <c r="C943" s="13" t="n">
        <v>419361</v>
      </c>
      <c r="D943" s="13" t="n">
        <v>669887</v>
      </c>
      <c r="E943" s="6" t="n">
        <f>SUM(C943,D943)/2</f>
        <v>544624</v>
      </c>
      <c r="F943" s="12" t="n">
        <v>239486</v>
      </c>
      <c r="G943" s="12" t="n">
        <v>370819</v>
      </c>
      <c r="H943" s="6" t="n">
        <f>SUM(F943,G943)/2</f>
        <v>305152.5</v>
      </c>
    </row>
    <row r="944" s="18" customFormat="1" ht="14.399999999999999" customHeight="1">
      <c r="A944" s="10" t="s">
        <v>3261</v>
      </c>
      <c r="B944" s="10" t="s">
        <v>3262</v>
      </c>
      <c r="C944" s="13" t="n">
        <v>88969</v>
      </c>
      <c r="D944" s="13" t="n">
        <v>142119</v>
      </c>
      <c r="E944" s="6" t="n">
        <f>SUM(C944,D944)/2</f>
        <v>115544</v>
      </c>
      <c r="F944" s="12" t="n">
        <v>27460</v>
      </c>
      <c r="G944" s="12" t="n">
        <v>36732</v>
      </c>
      <c r="H944" s="6" t="n">
        <f>SUM(F944,G944)/2</f>
        <v>32096</v>
      </c>
    </row>
    <row r="945" s="18" customFormat="1" ht="14.399999999999999" customHeight="1">
      <c r="A945" s="10" t="s">
        <v>2622</v>
      </c>
      <c r="B945" s="10" t="s">
        <v>2623</v>
      </c>
      <c r="C945" s="10" t="n">
        <v>2</v>
      </c>
      <c r="D945" s="10" t="n">
        <v>2</v>
      </c>
      <c r="E945" s="6" t="n">
        <f>SUM(C945,D945)/2</f>
        <v>2</v>
      </c>
      <c r="F945" s="18" t="n">
        <v>1</v>
      </c>
      <c r="G945" s="18" t="n">
        <v>1</v>
      </c>
      <c r="H945" s="6" t="n">
        <f>SUM(F945,G945)/2</f>
        <v>1</v>
      </c>
    </row>
    <row r="946" s="18" customFormat="1" ht="14.399999999999999" customHeight="1">
      <c r="A946" s="10" t="s">
        <v>851</v>
      </c>
      <c r="B946" s="10" t="s">
        <v>852</v>
      </c>
      <c r="C946" s="13" t="n">
        <v>877988</v>
      </c>
      <c r="D946" s="13" t="n">
        <v>1402502</v>
      </c>
      <c r="E946" s="6" t="n">
        <f>SUM(C946,D946)/2</f>
        <v>1140245</v>
      </c>
      <c r="F946" s="12" t="n">
        <v>96207</v>
      </c>
      <c r="G946" s="12" t="n">
        <v>364385</v>
      </c>
      <c r="H946" s="6" t="n">
        <f>SUM(F946,G946)/2</f>
        <v>230296</v>
      </c>
    </row>
    <row r="947" s="18" customFormat="1" ht="14.399999999999999" customHeight="1">
      <c r="A947" s="10" t="s">
        <v>2460</v>
      </c>
      <c r="B947" s="10" t="s">
        <v>2461</v>
      </c>
      <c r="C947" s="10" t="n">
        <v>0</v>
      </c>
      <c r="D947" s="10" t="n">
        <v>0</v>
      </c>
      <c r="E947" s="6" t="n">
        <f>SUM(C947,D947)/2</f>
        <v>0</v>
      </c>
      <c r="F947" s="18" t="n">
        <v>3</v>
      </c>
      <c r="G947" s="18" t="n">
        <v>4</v>
      </c>
      <c r="H947" s="6" t="n">
        <f>SUM(F947,G947)/2</f>
        <v>3.5</v>
      </c>
    </row>
    <row r="948" s="18" customFormat="1" ht="14.399999999999999" customHeight="1">
      <c r="A948" s="10" t="s">
        <v>3427</v>
      </c>
      <c r="B948" s="10" t="s">
        <v>3428</v>
      </c>
      <c r="C948" s="13" t="n">
        <v>106254</v>
      </c>
      <c r="D948" s="13" t="n">
        <v>169730</v>
      </c>
      <c r="E948" s="6" t="n">
        <f>SUM(C948,D948)/2</f>
        <v>137992</v>
      </c>
      <c r="F948" s="12" t="n">
        <v>14231</v>
      </c>
      <c r="G948" s="12" t="n">
        <v>18503</v>
      </c>
      <c r="H948" s="6" t="n">
        <f>SUM(F948,G948)/2</f>
        <v>16367</v>
      </c>
    </row>
    <row r="949" s="18" customFormat="1" ht="14.399999999999999" customHeight="1">
      <c r="A949" s="10" t="s">
        <v>4275</v>
      </c>
      <c r="B949" s="10" t="s">
        <v>4276</v>
      </c>
      <c r="C949" s="13" t="n">
        <v>30726</v>
      </c>
      <c r="D949" s="13" t="n">
        <v>49082</v>
      </c>
      <c r="E949" s="6" t="n">
        <f>SUM(C949,D949)/2</f>
        <v>39904</v>
      </c>
      <c r="F949" s="12" t="n">
        <v>8188</v>
      </c>
      <c r="G949" s="12" t="n">
        <v>12706</v>
      </c>
      <c r="H949" s="6" t="n">
        <f>SUM(F949,G949)/2</f>
        <v>10447</v>
      </c>
    </row>
    <row r="950" s="18" customFormat="1" ht="14.399999999999999" customHeight="1">
      <c r="A950" s="10" t="s">
        <v>2424</v>
      </c>
      <c r="B950" s="10" t="s">
        <v>2425</v>
      </c>
      <c r="C950" s="10" t="n">
        <v>3</v>
      </c>
      <c r="D950" s="10" t="n">
        <v>3</v>
      </c>
      <c r="E950" s="6" t="n">
        <f>SUM(C950,D950)/2</f>
        <v>3</v>
      </c>
      <c r="F950" s="18" t="n">
        <v>3</v>
      </c>
      <c r="G950" s="18" t="n">
        <v>4</v>
      </c>
      <c r="H950" s="6" t="n">
        <f>SUM(F950,G950)/2</f>
        <v>3.5</v>
      </c>
    </row>
    <row r="951" s="18" customFormat="1" ht="14.399999999999999" customHeight="1">
      <c r="A951" s="10" t="s">
        <v>4717</v>
      </c>
      <c r="B951" s="10" t="s">
        <v>4718</v>
      </c>
      <c r="C951" s="13" t="n">
        <v>25689</v>
      </c>
      <c r="D951" s="13" t="n">
        <v>41039</v>
      </c>
      <c r="E951" s="6" t="n">
        <f>SUM(C951,D951)/2</f>
        <v>33364</v>
      </c>
      <c r="F951" s="12" t="n">
        <v>4455</v>
      </c>
      <c r="G951" s="12" t="n">
        <v>6827</v>
      </c>
      <c r="H951" s="6" t="n">
        <f>SUM(F951,G951)/2</f>
        <v>5641</v>
      </c>
    </row>
    <row r="952" s="18" customFormat="1" ht="14.399999999999999" customHeight="1">
      <c r="A952" s="10" t="s">
        <v>4375</v>
      </c>
      <c r="B952" s="10" t="s">
        <v>4376</v>
      </c>
      <c r="C952" s="13" t="n">
        <v>18289</v>
      </c>
      <c r="D952" s="13" t="n">
        <v>29215</v>
      </c>
      <c r="E952" s="6" t="n">
        <f>SUM(C952,D952)/2</f>
        <v>23752</v>
      </c>
      <c r="F952" s="12" t="n">
        <v>10983</v>
      </c>
      <c r="G952" s="12" t="n">
        <v>13140</v>
      </c>
      <c r="H952" s="6" t="n">
        <f>SUM(F952,G952)/2</f>
        <v>12061.5</v>
      </c>
    </row>
    <row r="953" s="18" customFormat="1" ht="14.399999999999999" customHeight="1">
      <c r="A953" s="10" t="s">
        <v>3355</v>
      </c>
      <c r="B953" s="10" t="s">
        <v>3356</v>
      </c>
      <c r="C953" s="13" t="n">
        <v>141305</v>
      </c>
      <c r="D953" s="13" t="n">
        <v>225721</v>
      </c>
      <c r="E953" s="6" t="n">
        <f>SUM(C953,D953)/2</f>
        <v>183513</v>
      </c>
      <c r="F953" s="12" t="n">
        <v>8171</v>
      </c>
      <c r="G953" s="12" t="n">
        <v>11487</v>
      </c>
      <c r="H953" s="6" t="n">
        <f>SUM(F953,G953)/2</f>
        <v>9829</v>
      </c>
    </row>
    <row r="954" s="18" customFormat="1" ht="14.399999999999999" customHeight="1">
      <c r="A954" s="10" t="s">
        <v>3459</v>
      </c>
      <c r="B954" s="10" t="s">
        <v>3460</v>
      </c>
      <c r="C954" s="13" t="n">
        <v>33173</v>
      </c>
      <c r="D954" s="13" t="n">
        <v>52990</v>
      </c>
      <c r="E954" s="6" t="n">
        <f>SUM(C954,D954)/2</f>
        <v>43081.5</v>
      </c>
      <c r="F954" s="12" t="n">
        <v>30293</v>
      </c>
      <c r="G954" s="12" t="n">
        <v>39906</v>
      </c>
      <c r="H954" s="6" t="n">
        <f>SUM(F954,G954)/2</f>
        <v>35099.5</v>
      </c>
    </row>
    <row r="955" s="18" customFormat="1" ht="14.399999999999999" customHeight="1">
      <c r="A955" s="10" t="s">
        <v>5911</v>
      </c>
      <c r="B955" s="10" t="s">
        <v>5912</v>
      </c>
      <c r="C955" s="13" t="n">
        <v>19420</v>
      </c>
      <c r="D955" s="13" t="n">
        <v>31020</v>
      </c>
      <c r="E955" s="6" t="n">
        <f>SUM(C955,D955)/2</f>
        <v>25220</v>
      </c>
      <c r="F955" s="12" t="n">
        <v>7156</v>
      </c>
      <c r="G955" s="12" t="n">
        <v>9203</v>
      </c>
      <c r="H955" s="6" t="n">
        <f>SUM(F955,G955)/2</f>
        <v>8179.5</v>
      </c>
    </row>
    <row r="956" s="18" customFormat="1" ht="14.399999999999999" customHeight="1">
      <c r="A956" s="10" t="s">
        <v>5913</v>
      </c>
      <c r="B956" s="10" t="s">
        <v>5914</v>
      </c>
      <c r="C956" s="13" t="n">
        <v>19529</v>
      </c>
      <c r="D956" s="13" t="n">
        <v>31195</v>
      </c>
      <c r="E956" s="6" t="n">
        <f>SUM(C956,D956)/2</f>
        <v>25362</v>
      </c>
      <c r="F956" s="12" t="n">
        <v>6251</v>
      </c>
      <c r="G956" s="12" t="n">
        <v>10631</v>
      </c>
      <c r="H956" s="6" t="n">
        <f>SUM(F956,G956)/2</f>
        <v>8441</v>
      </c>
    </row>
    <row r="957" s="18" customFormat="1" ht="14.399999999999999" customHeight="1">
      <c r="A957" s="10" t="s">
        <v>1405</v>
      </c>
      <c r="B957" s="10" t="s">
        <v>1406</v>
      </c>
      <c r="C957" s="10" t="n">
        <v>0</v>
      </c>
      <c r="D957" s="10" t="n">
        <v>0</v>
      </c>
      <c r="E957" s="6" t="n">
        <f>SUM(C957,D957)/2</f>
        <v>0</v>
      </c>
      <c r="F957" s="18" t="n">
        <v>0</v>
      </c>
      <c r="G957" s="18" t="n">
        <v>0</v>
      </c>
      <c r="H957" s="6" t="n">
        <f>SUM(F957,G957)/2</f>
        <v>0</v>
      </c>
    </row>
    <row r="958" s="18" customFormat="1" ht="14.399999999999999" customHeight="1">
      <c r="A958" s="10" t="s">
        <v>2374</v>
      </c>
      <c r="B958" s="10" t="s">
        <v>2375</v>
      </c>
      <c r="C958" s="10" t="n">
        <v>19</v>
      </c>
      <c r="D958" s="10" t="n">
        <v>27</v>
      </c>
      <c r="E958" s="6" t="n">
        <f>SUM(C958,D958)/2</f>
        <v>23</v>
      </c>
      <c r="F958" s="18" t="n">
        <v>0</v>
      </c>
      <c r="G958" s="18" t="n">
        <v>0</v>
      </c>
      <c r="H958" s="6" t="n">
        <f>SUM(F958,G958)/2</f>
        <v>0</v>
      </c>
    </row>
    <row r="959" s="18" customFormat="1" ht="14.399999999999999" customHeight="1">
      <c r="A959" s="10" t="s">
        <v>5915</v>
      </c>
      <c r="B959" s="10" t="s">
        <v>5916</v>
      </c>
      <c r="C959" s="13" t="n">
        <v>61420</v>
      </c>
      <c r="D959" s="13" t="n">
        <v>98114</v>
      </c>
      <c r="E959" s="6" t="n">
        <f>SUM(C959,D959)/2</f>
        <v>79767</v>
      </c>
      <c r="F959" s="12" t="n">
        <v>9834</v>
      </c>
      <c r="G959" s="12" t="n">
        <v>13587</v>
      </c>
      <c r="H959" s="6" t="n">
        <f>SUM(F959,G959)/2</f>
        <v>11710.5</v>
      </c>
    </row>
    <row r="960" s="18" customFormat="1" ht="14.399999999999999" customHeight="1">
      <c r="A960" s="10" t="s">
        <v>730</v>
      </c>
      <c r="B960" s="10" t="s">
        <v>731</v>
      </c>
      <c r="C960" s="13" t="n">
        <v>2824064</v>
      </c>
      <c r="D960" s="13" t="n">
        <v>4511168</v>
      </c>
      <c r="E960" s="6" t="n">
        <f>SUM(C960,D960)/2</f>
        <v>3667616</v>
      </c>
      <c r="F960" s="12" t="n">
        <v>129079</v>
      </c>
      <c r="G960" s="12" t="n">
        <v>468143</v>
      </c>
      <c r="H960" s="6" t="n">
        <f>SUM(F960,G960)/2</f>
        <v>298611</v>
      </c>
    </row>
    <row r="961" s="18" customFormat="1" ht="14.399999999999999" customHeight="1">
      <c r="A961" s="10" t="s">
        <v>2879</v>
      </c>
      <c r="B961" s="10" t="s">
        <v>2880</v>
      </c>
      <c r="C961" s="10" t="n">
        <v>0</v>
      </c>
      <c r="D961" s="10" t="n">
        <v>0</v>
      </c>
      <c r="E961" s="6" t="n">
        <f>SUM(C961,D961)/2</f>
        <v>0</v>
      </c>
      <c r="F961" s="18" t="n">
        <v>0</v>
      </c>
      <c r="G961" s="18" t="n">
        <v>0</v>
      </c>
      <c r="H961" s="6" t="n">
        <f>SUM(F961,G961)/2</f>
        <v>0</v>
      </c>
    </row>
    <row r="962" s="18" customFormat="1" ht="14.399999999999999" customHeight="1">
      <c r="A962" s="10" t="s">
        <v>2462</v>
      </c>
      <c r="B962" s="10" t="s">
        <v>2463</v>
      </c>
      <c r="C962" s="10" t="n">
        <v>0</v>
      </c>
      <c r="D962" s="10" t="n">
        <v>0</v>
      </c>
      <c r="E962" s="6" t="n">
        <f>SUM(C962,D962)/2</f>
        <v>0</v>
      </c>
      <c r="F962" s="18" t="n">
        <v>3</v>
      </c>
      <c r="G962" s="18" t="n">
        <v>4</v>
      </c>
      <c r="H962" s="6" t="n">
        <f>SUM(F962,G962)/2</f>
        <v>3.5</v>
      </c>
    </row>
    <row r="963" s="18" customFormat="1" ht="14.399999999999999" customHeight="1">
      <c r="A963" s="10" t="s">
        <v>1622</v>
      </c>
      <c r="B963" s="10" t="s">
        <v>1623</v>
      </c>
      <c r="C963" s="10" t="n">
        <v>572</v>
      </c>
      <c r="D963" s="10" t="n">
        <v>912</v>
      </c>
      <c r="E963" s="6" t="n">
        <f>SUM(C963,D963)/2</f>
        <v>742</v>
      </c>
      <c r="F963" s="18" t="n">
        <v>59</v>
      </c>
      <c r="G963" s="18" t="n">
        <v>83</v>
      </c>
      <c r="H963" s="6" t="n">
        <f>SUM(F963,G963)/2</f>
        <v>71</v>
      </c>
    </row>
    <row r="964" s="18" customFormat="1" ht="14.399999999999999" customHeight="1">
      <c r="A964" s="10" t="s">
        <v>2310</v>
      </c>
      <c r="B964" s="10" t="s">
        <v>2311</v>
      </c>
      <c r="C964" s="10" t="n">
        <v>8</v>
      </c>
      <c r="D964" s="10" t="n">
        <v>12</v>
      </c>
      <c r="E964" s="6" t="n">
        <f>SUM(C964,D964)/2</f>
        <v>10</v>
      </c>
      <c r="F964" s="18" t="n">
        <v>3</v>
      </c>
      <c r="G964" s="18" t="n">
        <v>4</v>
      </c>
      <c r="H964" s="6" t="n">
        <f>SUM(F964,G964)/2</f>
        <v>3.5</v>
      </c>
    </row>
    <row r="965" s="18" customFormat="1" ht="14.399999999999999" customHeight="1">
      <c r="A965" s="10" t="s">
        <v>5917</v>
      </c>
      <c r="B965" s="10" t="s">
        <v>5918</v>
      </c>
      <c r="C965" s="10" t="n">
        <v>103</v>
      </c>
      <c r="D965" s="10" t="n">
        <v>165</v>
      </c>
      <c r="E965" s="6" t="n">
        <f>SUM(C965,D965)/2</f>
        <v>134</v>
      </c>
      <c r="F965" s="18" t="n">
        <v>382</v>
      </c>
      <c r="G965" s="18" t="n">
        <v>569</v>
      </c>
      <c r="H965" s="6" t="n">
        <f>SUM(F965,G965)/2</f>
        <v>475.5</v>
      </c>
    </row>
    <row r="966" s="18" customFormat="1" ht="14.399999999999999" customHeight="1">
      <c r="A966" s="10" t="s">
        <v>4737</v>
      </c>
      <c r="B966" s="10" t="s">
        <v>4738</v>
      </c>
      <c r="C966" s="13" t="n">
        <v>33790</v>
      </c>
      <c r="D966" s="13" t="n">
        <v>53976</v>
      </c>
      <c r="E966" s="6" t="n">
        <f>SUM(C966,D966)/2</f>
        <v>43883</v>
      </c>
      <c r="F966" s="12" t="n">
        <v>2291</v>
      </c>
      <c r="G966" s="12" t="n">
        <v>4136</v>
      </c>
      <c r="H966" s="6" t="n">
        <f>SUM(F966,G966)/2</f>
        <v>3213.5</v>
      </c>
    </row>
    <row r="967" s="18" customFormat="1" ht="14.399999999999999" customHeight="1">
      <c r="A967" s="10" t="s">
        <v>4809</v>
      </c>
      <c r="B967" s="10" t="s">
        <v>4810</v>
      </c>
      <c r="C967" s="13" t="n">
        <v>22089</v>
      </c>
      <c r="D967" s="13" t="n">
        <v>35283</v>
      </c>
      <c r="E967" s="6" t="n">
        <f>SUM(C967,D967)/2</f>
        <v>28686</v>
      </c>
      <c r="F967" s="12" t="n">
        <v>4672</v>
      </c>
      <c r="G967" s="12" t="n">
        <v>6484</v>
      </c>
      <c r="H967" s="6" t="n">
        <f>SUM(F967,G967)/2</f>
        <v>5578</v>
      </c>
    </row>
    <row r="968" s="18" customFormat="1" ht="14.399999999999999" customHeight="1">
      <c r="A968" s="10" t="s">
        <v>3381</v>
      </c>
      <c r="B968" s="10" t="s">
        <v>3382</v>
      </c>
      <c r="C968" s="13" t="n">
        <v>38689</v>
      </c>
      <c r="D968" s="13" t="n">
        <v>61805</v>
      </c>
      <c r="E968" s="6" t="n">
        <f>SUM(C968,D968)/2</f>
        <v>50247</v>
      </c>
      <c r="F968" s="12" t="n">
        <v>34771</v>
      </c>
      <c r="G968" s="12" t="n">
        <v>38817</v>
      </c>
      <c r="H968" s="6" t="n">
        <f>SUM(F968,G968)/2</f>
        <v>36794</v>
      </c>
    </row>
    <row r="969" s="18" customFormat="1" ht="14.399999999999999" customHeight="1">
      <c r="A969" s="10" t="s">
        <v>5011</v>
      </c>
      <c r="B969" s="10" t="s">
        <v>5012</v>
      </c>
      <c r="C969" s="13" t="n">
        <v>16045</v>
      </c>
      <c r="D969" s="13" t="n">
        <v>25629</v>
      </c>
      <c r="E969" s="6" t="n">
        <f>SUM(C969,D969)/2</f>
        <v>20837</v>
      </c>
      <c r="F969" s="12" t="n">
        <v>4366</v>
      </c>
      <c r="G969" s="12" t="n">
        <v>5812</v>
      </c>
      <c r="H969" s="6" t="n">
        <f>SUM(F969,G969)/2</f>
        <v>5089</v>
      </c>
    </row>
    <row r="970" s="18" customFormat="1" ht="14.399999999999999" customHeight="1">
      <c r="A970" s="10" t="s">
        <v>1352</v>
      </c>
      <c r="B970" s="10" t="s">
        <v>1353</v>
      </c>
      <c r="C970" s="10" t="n">
        <v>183</v>
      </c>
      <c r="D970" s="10" t="n">
        <v>293</v>
      </c>
      <c r="E970" s="6" t="n">
        <f>SUM(C970,D970)/2</f>
        <v>238</v>
      </c>
      <c r="F970" s="18" t="n">
        <v>10</v>
      </c>
      <c r="G970" s="18" t="n">
        <v>15</v>
      </c>
      <c r="H970" s="6" t="n">
        <f>SUM(F970,G970)/2</f>
        <v>12.5</v>
      </c>
    </row>
    <row r="971" s="18" customFormat="1" ht="14.399999999999999" customHeight="1">
      <c r="A971" s="10" t="s">
        <v>554</v>
      </c>
      <c r="B971" s="10" t="s">
        <v>555</v>
      </c>
      <c r="C971" s="10" t="n">
        <v>392</v>
      </c>
      <c r="D971" s="10" t="n">
        <v>626</v>
      </c>
      <c r="E971" s="6" t="n">
        <f>SUM(C971,D971)/2</f>
        <v>509</v>
      </c>
      <c r="F971" s="18" t="n">
        <v>5</v>
      </c>
      <c r="G971" s="18" t="n">
        <v>6</v>
      </c>
      <c r="H971" s="6" t="n">
        <f>SUM(F971,G971)/2</f>
        <v>5.5</v>
      </c>
    </row>
    <row r="972" s="18" customFormat="1" ht="14.399999999999999" customHeight="1">
      <c r="A972" s="10" t="s">
        <v>424</v>
      </c>
      <c r="B972" s="10" t="s">
        <v>425</v>
      </c>
      <c r="C972" s="13" t="n">
        <v>1266</v>
      </c>
      <c r="D972" s="13" t="n">
        <v>2024</v>
      </c>
      <c r="E972" s="6" t="n">
        <f>SUM(C972,D972)/2</f>
        <v>1645</v>
      </c>
      <c r="F972" s="18" t="n">
        <v>81</v>
      </c>
      <c r="G972" s="18" t="n">
        <v>450</v>
      </c>
      <c r="H972" s="6" t="n">
        <f>SUM(F972,G972)/2</f>
        <v>265.5</v>
      </c>
    </row>
    <row r="973" s="18" customFormat="1" ht="14.399999999999999" customHeight="1">
      <c r="A973" s="10" t="s">
        <v>96</v>
      </c>
      <c r="B973" s="10" t="s">
        <v>97</v>
      </c>
      <c r="C973" s="13" t="n">
        <v>61611</v>
      </c>
      <c r="D973" s="13" t="n">
        <v>98417</v>
      </c>
      <c r="E973" s="6" t="n">
        <f>SUM(C973,D973)/2</f>
        <v>80014</v>
      </c>
      <c r="F973" s="18" t="n">
        <v>10211</v>
      </c>
      <c r="G973" s="18" t="n">
        <v>13285</v>
      </c>
      <c r="H973" s="6" t="n">
        <f>SUM(F973,G973)/2</f>
        <v>11748</v>
      </c>
    </row>
    <row r="974" s="18" customFormat="1" ht="14.399999999999999" customHeight="1">
      <c r="A974" s="10" t="s">
        <v>3067</v>
      </c>
      <c r="B974" s="10" t="s">
        <v>3068</v>
      </c>
      <c r="C974" s="13" t="n">
        <v>139191</v>
      </c>
      <c r="D974" s="13" t="n">
        <v>222343</v>
      </c>
      <c r="E974" s="6" t="n">
        <f>SUM(C974,D974)/2</f>
        <v>180767</v>
      </c>
      <c r="F974" s="12" t="n">
        <v>23896</v>
      </c>
      <c r="G974" s="12" t="n">
        <v>37261</v>
      </c>
      <c r="H974" s="6" t="n">
        <f>SUM(F974,G974)/2</f>
        <v>30578.5</v>
      </c>
    </row>
    <row r="975" s="18" customFormat="1" ht="14.399999999999999" customHeight="1">
      <c r="A975" s="10" t="s">
        <v>825</v>
      </c>
      <c r="B975" s="10" t="s">
        <v>826</v>
      </c>
      <c r="C975" s="13" t="n">
        <v>1290159</v>
      </c>
      <c r="D975" s="13" t="n">
        <v>2060903</v>
      </c>
      <c r="E975" s="6" t="n">
        <f>SUM(C975,D975)/2</f>
        <v>1675531</v>
      </c>
      <c r="F975" s="12" t="n">
        <v>70281</v>
      </c>
      <c r="G975" s="12" t="n">
        <v>282035</v>
      </c>
      <c r="H975" s="6" t="n">
        <f>SUM(F975,G975)/2</f>
        <v>176158</v>
      </c>
    </row>
    <row r="976" s="18" customFormat="1" ht="14.399999999999999" customHeight="1">
      <c r="A976" s="10" t="s">
        <v>5919</v>
      </c>
      <c r="B976" s="10" t="s">
        <v>5920</v>
      </c>
      <c r="C976" s="10" t="n">
        <v>0</v>
      </c>
      <c r="D976" s="10" t="n">
        <v>0</v>
      </c>
      <c r="E976" s="6" t="n">
        <f>SUM(C976,D976)/2</f>
        <v>0</v>
      </c>
      <c r="F976" s="18" t="n">
        <v>1</v>
      </c>
      <c r="G976" s="18" t="n">
        <v>1</v>
      </c>
      <c r="H976" s="6" t="n">
        <f>SUM(F976,G976)/2</f>
        <v>1</v>
      </c>
    </row>
    <row r="977" s="18" customFormat="1" ht="14.399999999999999" customHeight="1">
      <c r="A977" s="10" t="s">
        <v>1839</v>
      </c>
      <c r="B977" s="10" t="s">
        <v>1840</v>
      </c>
      <c r="C977" s="10" t="n">
        <v>49</v>
      </c>
      <c r="D977" s="10" t="n">
        <v>77</v>
      </c>
      <c r="E977" s="6" t="n">
        <f>SUM(C977,D977)/2</f>
        <v>63</v>
      </c>
      <c r="F977" s="18" t="n">
        <v>6</v>
      </c>
      <c r="G977" s="18" t="n">
        <v>8</v>
      </c>
      <c r="H977" s="6" t="n">
        <f>SUM(F977,G977)/2</f>
        <v>7</v>
      </c>
    </row>
    <row r="978" s="18" customFormat="1" ht="14.399999999999999" customHeight="1">
      <c r="A978" s="10" t="s">
        <v>1837</v>
      </c>
      <c r="B978" s="10" t="s">
        <v>1838</v>
      </c>
      <c r="C978" s="10" t="n">
        <v>7</v>
      </c>
      <c r="D978" s="10" t="n">
        <v>11</v>
      </c>
      <c r="E978" s="6" t="n">
        <f>SUM(C978,D978)/2</f>
        <v>9</v>
      </c>
      <c r="F978" s="18" t="n">
        <v>15</v>
      </c>
      <c r="G978" s="18" t="n">
        <v>22</v>
      </c>
      <c r="H978" s="6" t="n">
        <f>SUM(F978,G978)/2</f>
        <v>18.5</v>
      </c>
    </row>
    <row r="979" s="18" customFormat="1" ht="14.399999999999999" customHeight="1">
      <c r="A979" s="10" t="s">
        <v>5921</v>
      </c>
      <c r="B979" s="10" t="s">
        <v>5922</v>
      </c>
      <c r="C979" s="13" t="n">
        <v>4640</v>
      </c>
      <c r="D979" s="13" t="n">
        <v>7410</v>
      </c>
      <c r="E979" s="6" t="n">
        <f>SUM(C979,D979)/2</f>
        <v>6025</v>
      </c>
      <c r="F979" s="12" t="n">
        <v>7337</v>
      </c>
      <c r="G979" s="12" t="n">
        <v>8763</v>
      </c>
      <c r="H979" s="6" t="n">
        <f>SUM(F979,G979)/2</f>
        <v>8050</v>
      </c>
    </row>
    <row r="980" s="18" customFormat="1" ht="14.399999999999999" customHeight="1">
      <c r="A980" s="10" t="s">
        <v>5923</v>
      </c>
      <c r="B980" s="10" t="s">
        <v>5924</v>
      </c>
      <c r="C980" s="10" t="n">
        <v>17</v>
      </c>
      <c r="D980" s="10" t="n">
        <v>27</v>
      </c>
      <c r="E980" s="6" t="n">
        <f>SUM(C980,D980)/2</f>
        <v>22</v>
      </c>
      <c r="F980" s="18" t="n">
        <v>6</v>
      </c>
      <c r="G980" s="18" t="n">
        <v>8</v>
      </c>
      <c r="H980" s="6" t="n">
        <f>SUM(F980,G980)/2</f>
        <v>7</v>
      </c>
    </row>
    <row r="981" s="18" customFormat="1" ht="14.399999999999999" customHeight="1">
      <c r="A981" s="10" t="s">
        <v>4081</v>
      </c>
      <c r="B981" s="10" t="s">
        <v>4082</v>
      </c>
      <c r="C981" s="13" t="n">
        <v>34395</v>
      </c>
      <c r="D981" s="13" t="n">
        <v>54943</v>
      </c>
      <c r="E981" s="6" t="n">
        <f>SUM(C981,D981)/2</f>
        <v>44669</v>
      </c>
      <c r="F981" s="12" t="n">
        <v>11176</v>
      </c>
      <c r="G981" s="12" t="n">
        <v>15247</v>
      </c>
      <c r="H981" s="6" t="n">
        <f>SUM(F981,G981)/2</f>
        <v>13211.5</v>
      </c>
    </row>
    <row r="982" s="18" customFormat="1" ht="14.399999999999999" customHeight="1">
      <c r="A982" s="10" t="s">
        <v>883</v>
      </c>
      <c r="B982" s="10" t="s">
        <v>884</v>
      </c>
      <c r="C982" s="13" t="n">
        <v>430730</v>
      </c>
      <c r="D982" s="13" t="n">
        <v>688049</v>
      </c>
      <c r="E982" s="6" t="n">
        <f>SUM(C982,D982)/2</f>
        <v>559389.5</v>
      </c>
      <c r="F982" s="12" t="n">
        <v>232492</v>
      </c>
      <c r="G982" s="12" t="n">
        <v>336583</v>
      </c>
      <c r="H982" s="6" t="n">
        <f>SUM(F982,G982)/2</f>
        <v>284537.5</v>
      </c>
    </row>
    <row r="983" s="18" customFormat="1" ht="14.399999999999999" customHeight="1">
      <c r="A983" s="10" t="s">
        <v>2164</v>
      </c>
      <c r="B983" s="10" t="s">
        <v>2165</v>
      </c>
      <c r="C983" s="10" t="n">
        <v>26</v>
      </c>
      <c r="D983" s="10" t="n">
        <v>40</v>
      </c>
      <c r="E983" s="6" t="n">
        <f>SUM(C983,D983)/2</f>
        <v>33</v>
      </c>
      <c r="F983" s="18" t="n">
        <v>1</v>
      </c>
      <c r="G983" s="18" t="n">
        <v>1</v>
      </c>
      <c r="H983" s="6" t="n">
        <f>SUM(F983,G983)/2</f>
        <v>1</v>
      </c>
    </row>
    <row r="984" s="18" customFormat="1" ht="14.399999999999999" customHeight="1">
      <c r="A984" s="10" t="s">
        <v>4555</v>
      </c>
      <c r="B984" s="10" t="s">
        <v>4556</v>
      </c>
      <c r="C984" s="13" t="n">
        <v>18773</v>
      </c>
      <c r="D984" s="13" t="n">
        <v>29987</v>
      </c>
      <c r="E984" s="6" t="n">
        <f>SUM(C984,D984)/2</f>
        <v>24380</v>
      </c>
      <c r="F984" s="12" t="n">
        <v>7624</v>
      </c>
      <c r="G984" s="12" t="n">
        <v>11250</v>
      </c>
      <c r="H984" s="6" t="n">
        <f>SUM(F984,G984)/2</f>
        <v>9437</v>
      </c>
    </row>
    <row r="985" s="18" customFormat="1" ht="14.399999999999999" customHeight="1">
      <c r="A985" s="10" t="s">
        <v>5925</v>
      </c>
      <c r="B985" s="10" t="s">
        <v>5926</v>
      </c>
      <c r="C985" s="13" t="n">
        <v>73212</v>
      </c>
      <c r="D985" s="13" t="n">
        <v>116948</v>
      </c>
      <c r="E985" s="6" t="n">
        <f>SUM(C985,D985)/2</f>
        <v>95080</v>
      </c>
      <c r="F985" s="12" t="n">
        <v>17833</v>
      </c>
      <c r="G985" s="12" t="n">
        <v>24992</v>
      </c>
      <c r="H985" s="6" t="n">
        <f>SUM(F985,G985)/2</f>
        <v>21412.5</v>
      </c>
    </row>
    <row r="986" s="18" customFormat="1" ht="14.399999999999999" customHeight="1">
      <c r="A986" s="10" t="s">
        <v>2410</v>
      </c>
      <c r="B986" s="10" t="s">
        <v>2411</v>
      </c>
      <c r="C986" s="10" t="n">
        <v>3</v>
      </c>
      <c r="D986" s="10" t="n">
        <v>5</v>
      </c>
      <c r="E986" s="6" t="n">
        <f>SUM(C986,D986)/2</f>
        <v>4</v>
      </c>
      <c r="F986" s="18" t="n">
        <v>3</v>
      </c>
      <c r="G986" s="18" t="n">
        <v>4</v>
      </c>
      <c r="H986" s="6" t="n">
        <f>SUM(F986,G986)/2</f>
        <v>3.5</v>
      </c>
    </row>
    <row r="987" s="18" customFormat="1" ht="14.399999999999999" customHeight="1">
      <c r="A987" s="10" t="s">
        <v>5927</v>
      </c>
      <c r="B987" s="10" t="s">
        <v>5928</v>
      </c>
      <c r="C987" s="13" t="n">
        <v>5905</v>
      </c>
      <c r="D987" s="13" t="n">
        <v>9431</v>
      </c>
      <c r="E987" s="6" t="n">
        <f>SUM(C987,D987)/2</f>
        <v>7668</v>
      </c>
      <c r="F987" s="12" t="n">
        <v>5253</v>
      </c>
      <c r="G987" s="12" t="n">
        <v>8168</v>
      </c>
      <c r="H987" s="6" t="n">
        <f>SUM(F987,G987)/2</f>
        <v>6710.5</v>
      </c>
    </row>
    <row r="988" s="18" customFormat="1" ht="14.399999999999999" customHeight="1">
      <c r="A988" s="10" t="s">
        <v>2580</v>
      </c>
      <c r="B988" s="10" t="s">
        <v>2581</v>
      </c>
      <c r="C988" s="10" t="n">
        <v>0</v>
      </c>
      <c r="D988" s="10" t="n">
        <v>0</v>
      </c>
      <c r="E988" s="6" t="n">
        <f>SUM(C988,D988)/2</f>
        <v>0</v>
      </c>
      <c r="F988" s="18" t="n">
        <v>2</v>
      </c>
      <c r="G988" s="18" t="n">
        <v>2</v>
      </c>
      <c r="H988" s="6" t="n">
        <f>SUM(F988,G988)/2</f>
        <v>2</v>
      </c>
    </row>
    <row r="989" s="18" customFormat="1" ht="14.399999999999999" customHeight="1">
      <c r="A989" s="10" t="s">
        <v>3739</v>
      </c>
      <c r="B989" s="10" t="s">
        <v>3740</v>
      </c>
      <c r="C989" s="13" t="n">
        <v>9757</v>
      </c>
      <c r="D989" s="13" t="n">
        <v>15589</v>
      </c>
      <c r="E989" s="6" t="n">
        <f>SUM(C989,D989)/2</f>
        <v>12673</v>
      </c>
      <c r="F989" s="12" t="n">
        <v>24632</v>
      </c>
      <c r="G989" s="12" t="n">
        <v>34831</v>
      </c>
      <c r="H989" s="6" t="n">
        <f>SUM(F989,G989)/2</f>
        <v>29731.5</v>
      </c>
    </row>
    <row r="990" s="18" customFormat="1" ht="14.399999999999999" customHeight="1">
      <c r="A990" s="10" t="s">
        <v>5929</v>
      </c>
      <c r="B990" s="10" t="s">
        <v>5930</v>
      </c>
      <c r="C990" s="10" t="n">
        <v>43</v>
      </c>
      <c r="D990" s="10" t="n">
        <v>69</v>
      </c>
      <c r="E990" s="6" t="n">
        <f>SUM(C990,D990)/2</f>
        <v>56</v>
      </c>
      <c r="F990" s="18" t="n">
        <v>66</v>
      </c>
      <c r="G990" s="18" t="n">
        <v>79</v>
      </c>
      <c r="H990" s="6" t="n">
        <f>SUM(F990,G990)/2</f>
        <v>72.5</v>
      </c>
    </row>
    <row r="991" s="18" customFormat="1" ht="14.399999999999999" customHeight="1">
      <c r="A991" s="10" t="s">
        <v>4793</v>
      </c>
      <c r="B991" s="10" t="s">
        <v>4794</v>
      </c>
      <c r="C991" s="13" t="n">
        <v>27006</v>
      </c>
      <c r="D991" s="13" t="n">
        <v>43143</v>
      </c>
      <c r="E991" s="6" t="n">
        <f>SUM(C991,D991)/2</f>
        <v>35074.5</v>
      </c>
      <c r="F991" s="12" t="n">
        <v>3657</v>
      </c>
      <c r="G991" s="12" t="n">
        <v>5116</v>
      </c>
      <c r="H991" s="6" t="n">
        <f>SUM(F991,G991)/2</f>
        <v>4386.5</v>
      </c>
    </row>
    <row r="992" s="18" customFormat="1" ht="14.399999999999999" customHeight="1">
      <c r="A992" s="10" t="s">
        <v>1264</v>
      </c>
      <c r="B992" s="10" t="s">
        <v>1265</v>
      </c>
      <c r="C992" s="13" t="n">
        <v>32669</v>
      </c>
      <c r="D992" s="13" t="n">
        <v>52185</v>
      </c>
      <c r="E992" s="6" t="n">
        <f>SUM(C992,D992)/2</f>
        <v>42427</v>
      </c>
      <c r="F992" s="12" t="n">
        <v>61826</v>
      </c>
      <c r="G992" s="12" t="n">
        <v>77403</v>
      </c>
      <c r="H992" s="6" t="n">
        <f>SUM(F992,G992)/2</f>
        <v>69614.5</v>
      </c>
    </row>
    <row r="993" s="18" customFormat="1" ht="14.399999999999999" customHeight="1">
      <c r="A993" s="10" t="s">
        <v>4393</v>
      </c>
      <c r="B993" s="10" t="s">
        <v>4394</v>
      </c>
      <c r="C993" s="13" t="n">
        <v>32322</v>
      </c>
      <c r="D993" s="13" t="n">
        <v>51632</v>
      </c>
      <c r="E993" s="6" t="n">
        <f>SUM(C993,D993)/2</f>
        <v>41977</v>
      </c>
      <c r="F993" s="12" t="n">
        <v>6675</v>
      </c>
      <c r="G993" s="12" t="n">
        <v>9183</v>
      </c>
      <c r="H993" s="6" t="n">
        <f>SUM(F993,G993)/2</f>
        <v>7929</v>
      </c>
    </row>
    <row r="994" s="18" customFormat="1" ht="14.399999999999999" customHeight="1">
      <c r="A994" s="10" t="s">
        <v>5249</v>
      </c>
      <c r="B994" s="10" t="s">
        <v>5250</v>
      </c>
      <c r="C994" s="13" t="n">
        <v>2228</v>
      </c>
      <c r="D994" s="13" t="n">
        <v>3557</v>
      </c>
      <c r="E994" s="6" t="n">
        <f>SUM(C994,D994)/2</f>
        <v>2892.5</v>
      </c>
      <c r="F994" s="18" t="n">
        <v>737</v>
      </c>
      <c r="G994" s="18" t="n">
        <v>991</v>
      </c>
      <c r="H994" s="6" t="n">
        <f>SUM(F994,G994)/2</f>
        <v>864</v>
      </c>
    </row>
    <row r="995" s="18" customFormat="1" ht="14.399999999999999" customHeight="1">
      <c r="A995" s="10" t="s">
        <v>5931</v>
      </c>
      <c r="B995" s="10" t="s">
        <v>5932</v>
      </c>
      <c r="C995" s="10" t="n">
        <v>66</v>
      </c>
      <c r="D995" s="10" t="n">
        <v>106</v>
      </c>
      <c r="E995" s="6" t="n">
        <f>SUM(C995,D995)/2</f>
        <v>86</v>
      </c>
      <c r="F995" s="18" t="n">
        <v>19</v>
      </c>
      <c r="G995" s="18" t="n">
        <v>25</v>
      </c>
      <c r="H995" s="6" t="n">
        <f>SUM(F995,G995)/2</f>
        <v>22</v>
      </c>
    </row>
    <row r="996" s="18" customFormat="1" ht="14.399999999999999" customHeight="1">
      <c r="A996" s="10" t="s">
        <v>879</v>
      </c>
      <c r="B996" s="10" t="s">
        <v>880</v>
      </c>
      <c r="C996" s="13" t="n">
        <v>506486</v>
      </c>
      <c r="D996" s="13" t="n">
        <v>809060</v>
      </c>
      <c r="E996" s="6" t="n">
        <f>SUM(C996,D996)/2</f>
        <v>657773</v>
      </c>
      <c r="F996" s="12" t="n">
        <v>239994</v>
      </c>
      <c r="G996" s="12" t="n">
        <v>307778</v>
      </c>
      <c r="H996" s="6" t="n">
        <f>SUM(F996,G996)/2</f>
        <v>273886</v>
      </c>
    </row>
    <row r="997" s="18" customFormat="1" ht="14.399999999999999" customHeight="1">
      <c r="A997" s="10" t="s">
        <v>5933</v>
      </c>
      <c r="B997" s="10" t="s">
        <v>5934</v>
      </c>
      <c r="C997" s="13" t="n">
        <v>35285</v>
      </c>
      <c r="D997" s="13" t="n">
        <v>56363</v>
      </c>
      <c r="E997" s="6" t="n">
        <f>SUM(C997,D997)/2</f>
        <v>45824</v>
      </c>
      <c r="F997" s="12" t="n">
        <v>52495</v>
      </c>
      <c r="G997" s="12" t="n">
        <v>58703</v>
      </c>
      <c r="H997" s="6" t="n">
        <f>SUM(F997,G997)/2</f>
        <v>55599</v>
      </c>
    </row>
    <row r="998" s="18" customFormat="1" ht="14.399999999999999" customHeight="1">
      <c r="A998" s="10" t="s">
        <v>5935</v>
      </c>
      <c r="B998" s="10" t="s">
        <v>5936</v>
      </c>
      <c r="C998" s="10" t="n">
        <v>25</v>
      </c>
      <c r="D998" s="10" t="n">
        <v>41</v>
      </c>
      <c r="E998" s="6" t="n">
        <f>SUM(C998,D998)/2</f>
        <v>33</v>
      </c>
      <c r="F998" s="18" t="n">
        <v>16</v>
      </c>
      <c r="G998" s="18" t="n">
        <v>22</v>
      </c>
      <c r="H998" s="6" t="n">
        <f>SUM(F998,G998)/2</f>
        <v>19</v>
      </c>
    </row>
    <row r="999" s="18" customFormat="1" ht="14.399999999999999" customHeight="1">
      <c r="A999" s="10" t="s">
        <v>4311</v>
      </c>
      <c r="B999" s="10" t="s">
        <v>4312</v>
      </c>
      <c r="C999" s="13" t="n">
        <v>16365</v>
      </c>
      <c r="D999" s="13" t="n">
        <v>26143</v>
      </c>
      <c r="E999" s="6" t="n">
        <f>SUM(C999,D999)/2</f>
        <v>21254</v>
      </c>
      <c r="F999" s="12" t="n">
        <v>11457</v>
      </c>
      <c r="G999" s="12" t="n">
        <v>15902</v>
      </c>
      <c r="H999" s="6" t="n">
        <f>SUM(F999,G999)/2</f>
        <v>13679.5</v>
      </c>
    </row>
    <row r="1000" s="18" customFormat="1" ht="14.399999999999999" customHeight="1">
      <c r="A1000" s="10" t="s">
        <v>5937</v>
      </c>
      <c r="B1000" s="10" t="s">
        <v>5938</v>
      </c>
      <c r="C1000" s="13" t="n">
        <v>8939</v>
      </c>
      <c r="D1000" s="13" t="n">
        <v>14279</v>
      </c>
      <c r="E1000" s="6" t="n">
        <f>SUM(C1000,D1000)/2</f>
        <v>11609</v>
      </c>
      <c r="F1000" s="12" t="n">
        <v>8126</v>
      </c>
      <c r="G1000" s="12" t="n">
        <v>12476</v>
      </c>
      <c r="H1000" s="6" t="n">
        <f>SUM(F1000,G1000)/2</f>
        <v>10301</v>
      </c>
    </row>
    <row r="1001" s="18" customFormat="1" ht="14.399999999999999" customHeight="1">
      <c r="A1001" s="10" t="s">
        <v>5939</v>
      </c>
      <c r="B1001" s="10" t="s">
        <v>5940</v>
      </c>
      <c r="C1001" s="10" t="n">
        <v>20</v>
      </c>
      <c r="D1001" s="10" t="n">
        <v>32</v>
      </c>
      <c r="E1001" s="6" t="n">
        <f>SUM(C1001,D1001)/2</f>
        <v>26</v>
      </c>
      <c r="F1001" s="18" t="n">
        <v>67</v>
      </c>
      <c r="G1001" s="18" t="n">
        <v>97</v>
      </c>
      <c r="H1001" s="6" t="n">
        <f>SUM(F1001,G1001)/2</f>
        <v>82</v>
      </c>
    </row>
    <row r="1002" s="18" customFormat="1" ht="14.399999999999999" customHeight="1">
      <c r="A1002" s="10" t="s">
        <v>4439</v>
      </c>
      <c r="B1002" s="10" t="s">
        <v>4440</v>
      </c>
      <c r="C1002" s="13" t="n">
        <v>25035</v>
      </c>
      <c r="D1002" s="13" t="n">
        <v>39989</v>
      </c>
      <c r="E1002" s="6" t="n">
        <f>SUM(C1002,D1002)/2</f>
        <v>32512</v>
      </c>
      <c r="F1002" s="12" t="n">
        <v>8498</v>
      </c>
      <c r="G1002" s="12" t="n">
        <v>10322</v>
      </c>
      <c r="H1002" s="6" t="n">
        <f>SUM(F1002,G1002)/2</f>
        <v>9410</v>
      </c>
    </row>
    <row r="1003" s="18" customFormat="1" ht="14.399999999999999" customHeight="1">
      <c r="A1003" s="10" t="s">
        <v>1538</v>
      </c>
      <c r="B1003" s="10" t="s">
        <v>1539</v>
      </c>
      <c r="C1003" s="10" t="n">
        <v>195</v>
      </c>
      <c r="D1003" s="10" t="n">
        <v>311</v>
      </c>
      <c r="E1003" s="6" t="n">
        <f>SUM(C1003,D1003)/2</f>
        <v>253</v>
      </c>
      <c r="F1003" s="18" t="n">
        <v>217</v>
      </c>
      <c r="G1003" s="18" t="n">
        <v>322</v>
      </c>
      <c r="H1003" s="6" t="n">
        <f>SUM(F1003,G1003)/2</f>
        <v>269.5</v>
      </c>
    </row>
    <row r="1004" s="18" customFormat="1" ht="14.399999999999999" customHeight="1">
      <c r="A1004" s="10" t="s">
        <v>2270</v>
      </c>
      <c r="B1004" s="10" t="s">
        <v>2271</v>
      </c>
      <c r="C1004" s="10" t="n">
        <v>0</v>
      </c>
      <c r="D1004" s="10" t="n">
        <v>0</v>
      </c>
      <c r="E1004" s="6" t="n">
        <f>SUM(C1004,D1004)/2</f>
        <v>0</v>
      </c>
      <c r="F1004" s="18" t="n">
        <v>5</v>
      </c>
      <c r="G1004" s="18" t="n">
        <v>7</v>
      </c>
      <c r="H1004" s="6" t="n">
        <f>SUM(F1004,G1004)/2</f>
        <v>6</v>
      </c>
    </row>
    <row r="1005" s="18" customFormat="1" ht="14.399999999999999" customHeight="1">
      <c r="A1005" s="10" t="s">
        <v>4055</v>
      </c>
      <c r="B1005" s="10" t="s">
        <v>4056</v>
      </c>
      <c r="C1005" s="13" t="n">
        <v>23095</v>
      </c>
      <c r="D1005" s="13" t="n">
        <v>36893</v>
      </c>
      <c r="E1005" s="6" t="n">
        <f>SUM(C1005,D1005)/2</f>
        <v>29994</v>
      </c>
      <c r="F1005" s="12" t="n">
        <v>14389</v>
      </c>
      <c r="G1005" s="12" t="n">
        <v>19382</v>
      </c>
      <c r="H1005" s="6" t="n">
        <f>SUM(F1005,G1005)/2</f>
        <v>16885.5</v>
      </c>
    </row>
    <row r="1006" s="18" customFormat="1" ht="14.399999999999999" customHeight="1">
      <c r="A1006" s="10" t="s">
        <v>5941</v>
      </c>
      <c r="B1006" s="10" t="s">
        <v>5942</v>
      </c>
      <c r="C1006" s="13" t="n">
        <v>141748</v>
      </c>
      <c r="D1006" s="13" t="n">
        <v>226429</v>
      </c>
      <c r="E1006" s="6" t="n">
        <f>SUM(C1006,D1006)/2</f>
        <v>184088.5</v>
      </c>
      <c r="F1006" s="12" t="n">
        <v>70715</v>
      </c>
      <c r="G1006" s="12" t="n">
        <v>99138</v>
      </c>
      <c r="H1006" s="6" t="n">
        <f>SUM(F1006,G1006)/2</f>
        <v>84926.5</v>
      </c>
    </row>
    <row r="1007" s="18" customFormat="1" ht="14.399999999999999" customHeight="1">
      <c r="A1007" s="10" t="s">
        <v>2412</v>
      </c>
      <c r="B1007" s="10" t="s">
        <v>2413</v>
      </c>
      <c r="C1007" s="10" t="n">
        <v>9</v>
      </c>
      <c r="D1007" s="10" t="n">
        <v>13</v>
      </c>
      <c r="E1007" s="6" t="n">
        <f>SUM(C1007,D1007)/2</f>
        <v>11</v>
      </c>
      <c r="F1007" s="18" t="n">
        <v>2</v>
      </c>
      <c r="G1007" s="18" t="n">
        <v>2</v>
      </c>
      <c r="H1007" s="6" t="n">
        <f>SUM(F1007,G1007)/2</f>
        <v>2</v>
      </c>
    </row>
    <row r="1008" s="18" customFormat="1" ht="14.399999999999999" customHeight="1">
      <c r="A1008" s="10" t="s">
        <v>4247</v>
      </c>
      <c r="B1008" s="10" t="s">
        <v>4248</v>
      </c>
      <c r="C1008" s="13" t="n">
        <v>30624</v>
      </c>
      <c r="D1008" s="13" t="n">
        <v>48918</v>
      </c>
      <c r="E1008" s="6" t="n">
        <f>SUM(C1008,D1008)/2</f>
        <v>39771</v>
      </c>
      <c r="F1008" s="12" t="n">
        <v>9461</v>
      </c>
      <c r="G1008" s="12" t="n">
        <v>12361</v>
      </c>
      <c r="H1008" s="6" t="n">
        <f>SUM(F1008,G1008)/2</f>
        <v>10911</v>
      </c>
    </row>
    <row r="1009" s="18" customFormat="1" ht="14.399999999999999" customHeight="1">
      <c r="A1009" s="10" t="s">
        <v>2881</v>
      </c>
      <c r="B1009" s="10" t="s">
        <v>2882</v>
      </c>
      <c r="C1009" s="10" t="n">
        <v>0</v>
      </c>
      <c r="D1009" s="10" t="n">
        <v>0</v>
      </c>
      <c r="E1009" s="6" t="n">
        <f>SUM(C1009,D1009)/2</f>
        <v>0</v>
      </c>
      <c r="F1009" s="18" t="n">
        <v>0</v>
      </c>
      <c r="G1009" s="18" t="n">
        <v>0</v>
      </c>
      <c r="H1009" s="6" t="n">
        <f>SUM(F1009,G1009)/2</f>
        <v>0</v>
      </c>
    </row>
    <row r="1010" s="18" customFormat="1" ht="14.399999999999999" customHeight="1">
      <c r="A1010" s="10" t="s">
        <v>4417</v>
      </c>
      <c r="B1010" s="10" t="s">
        <v>4418</v>
      </c>
      <c r="C1010" s="13" t="n">
        <v>25145</v>
      </c>
      <c r="D1010" s="13" t="n">
        <v>40165</v>
      </c>
      <c r="E1010" s="6" t="n">
        <f>SUM(C1010,D1010)/2</f>
        <v>32655</v>
      </c>
      <c r="F1010" s="12" t="n">
        <v>8105</v>
      </c>
      <c r="G1010" s="12" t="n">
        <v>11029</v>
      </c>
      <c r="H1010" s="6" t="n">
        <f>SUM(F1010,G1010)/2</f>
        <v>9567</v>
      </c>
    </row>
    <row r="1011" s="18" customFormat="1" ht="14.399999999999999" customHeight="1">
      <c r="A1011" s="10" t="s">
        <v>2883</v>
      </c>
      <c r="B1011" s="10" t="s">
        <v>2884</v>
      </c>
      <c r="C1011" s="10" t="n">
        <v>0</v>
      </c>
      <c r="D1011" s="10" t="n">
        <v>0</v>
      </c>
      <c r="E1011" s="6" t="n">
        <f>SUM(C1011,D1011)/2</f>
        <v>0</v>
      </c>
      <c r="F1011" s="18" t="n">
        <v>0</v>
      </c>
      <c r="G1011" s="18" t="n">
        <v>0</v>
      </c>
      <c r="H1011" s="6" t="n">
        <f>SUM(F1011,G1011)/2</f>
        <v>0</v>
      </c>
    </row>
    <row r="1012" s="18" customFormat="1" ht="14.399999999999999" customHeight="1">
      <c r="A1012" s="10" t="s">
        <v>3269</v>
      </c>
      <c r="B1012" s="10" t="s">
        <v>3270</v>
      </c>
      <c r="C1012" s="13" t="n">
        <v>140991</v>
      </c>
      <c r="D1012" s="13" t="n">
        <v>225221</v>
      </c>
      <c r="E1012" s="6" t="n">
        <f>SUM(C1012,D1012)/2</f>
        <v>183106</v>
      </c>
      <c r="F1012" s="12" t="n">
        <v>13655</v>
      </c>
      <c r="G1012" s="12" t="n">
        <v>20566</v>
      </c>
      <c r="H1012" s="6" t="n">
        <f>SUM(F1012,G1012)/2</f>
        <v>17110.5</v>
      </c>
    </row>
    <row r="1013" s="18" customFormat="1" ht="14.399999999999999" customHeight="1">
      <c r="A1013" s="10" t="s">
        <v>4155</v>
      </c>
      <c r="B1013" s="10" t="s">
        <v>4156</v>
      </c>
      <c r="C1013" s="13" t="n">
        <v>46064</v>
      </c>
      <c r="D1013" s="13" t="n">
        <v>73580</v>
      </c>
      <c r="E1013" s="6" t="n">
        <f>SUM(C1013,D1013)/2</f>
        <v>59822</v>
      </c>
      <c r="F1013" s="12" t="n">
        <v>7126</v>
      </c>
      <c r="G1013" s="12" t="n">
        <v>9482</v>
      </c>
      <c r="H1013" s="6" t="n">
        <f>SUM(F1013,G1013)/2</f>
        <v>8304</v>
      </c>
    </row>
    <row r="1014" s="18" customFormat="1" ht="14.399999999999999" customHeight="1">
      <c r="A1014" s="10" t="s">
        <v>2885</v>
      </c>
      <c r="B1014" s="10" t="s">
        <v>2886</v>
      </c>
      <c r="C1014" s="10" t="n">
        <v>0</v>
      </c>
      <c r="D1014" s="10" t="n">
        <v>0</v>
      </c>
      <c r="E1014" s="6" t="n">
        <f>SUM(C1014,D1014)/2</f>
        <v>0</v>
      </c>
      <c r="F1014" s="18" t="n">
        <v>0</v>
      </c>
      <c r="G1014" s="18" t="n">
        <v>0</v>
      </c>
      <c r="H1014" s="6" t="n">
        <f>SUM(F1014,G1014)/2</f>
        <v>0</v>
      </c>
    </row>
    <row r="1015" s="18" customFormat="1" ht="14.399999999999999" customHeight="1">
      <c r="A1015" s="10" t="s">
        <v>1044</v>
      </c>
      <c r="B1015" s="10" t="s">
        <v>1045</v>
      </c>
      <c r="C1015" s="13" t="n">
        <v>209240</v>
      </c>
      <c r="D1015" s="13" t="n">
        <v>334240</v>
      </c>
      <c r="E1015" s="6" t="n">
        <f>SUM(C1015,D1015)/2</f>
        <v>271740</v>
      </c>
      <c r="F1015" s="12" t="n">
        <v>146954</v>
      </c>
      <c r="G1015" s="12" t="n">
        <v>221977</v>
      </c>
      <c r="H1015" s="6" t="n">
        <f>SUM(F1015,G1015)/2</f>
        <v>184465.5</v>
      </c>
    </row>
    <row r="1016" s="18" customFormat="1" ht="14.399999999999999" customHeight="1">
      <c r="A1016" s="10" t="s">
        <v>3653</v>
      </c>
      <c r="B1016" s="10" t="s">
        <v>3654</v>
      </c>
      <c r="C1016" s="13" t="n">
        <v>70933</v>
      </c>
      <c r="D1016" s="13" t="n">
        <v>113307</v>
      </c>
      <c r="E1016" s="6" t="n">
        <f>SUM(C1016,D1016)/2</f>
        <v>92120</v>
      </c>
      <c r="F1016" s="12" t="n">
        <v>14393</v>
      </c>
      <c r="G1016" s="12" t="n">
        <v>17760</v>
      </c>
      <c r="H1016" s="6" t="n">
        <f>SUM(F1016,G1016)/2</f>
        <v>16076.5</v>
      </c>
    </row>
    <row r="1017" s="18" customFormat="1" ht="14.399999999999999" customHeight="1">
      <c r="A1017" s="10" t="s">
        <v>2416</v>
      </c>
      <c r="B1017" s="10" t="s">
        <v>2417</v>
      </c>
      <c r="C1017" s="10" t="n">
        <v>15</v>
      </c>
      <c r="D1017" s="10" t="n">
        <v>25</v>
      </c>
      <c r="E1017" s="6" t="n">
        <f>SUM(C1017,D1017)/2</f>
        <v>20</v>
      </c>
      <c r="F1017" s="18" t="n">
        <v>0</v>
      </c>
      <c r="G1017" s="18" t="n">
        <v>0</v>
      </c>
      <c r="H1017" s="6" t="n">
        <f>SUM(F1017,G1017)/2</f>
        <v>0</v>
      </c>
    </row>
    <row r="1018" s="18" customFormat="1" ht="14.399999999999999" customHeight="1">
      <c r="A1018" s="10" t="s">
        <v>4597</v>
      </c>
      <c r="B1018" s="10" t="s">
        <v>4598</v>
      </c>
      <c r="C1018" s="13" t="n">
        <v>26291</v>
      </c>
      <c r="D1018" s="13" t="n">
        <v>41997</v>
      </c>
      <c r="E1018" s="6" t="n">
        <f>SUM(C1018,D1018)/2</f>
        <v>34144</v>
      </c>
      <c r="F1018" s="12" t="n">
        <v>5651</v>
      </c>
      <c r="G1018" s="12" t="n">
        <v>8269</v>
      </c>
      <c r="H1018" s="6" t="n">
        <f>SUM(F1018,G1018)/2</f>
        <v>6960</v>
      </c>
    </row>
    <row r="1019" s="18" customFormat="1" ht="14.399999999999999" customHeight="1">
      <c r="A1019" s="10" t="s">
        <v>927</v>
      </c>
      <c r="B1019" s="10" t="s">
        <v>928</v>
      </c>
      <c r="C1019" s="13" t="n">
        <v>799820</v>
      </c>
      <c r="D1019" s="13" t="n">
        <v>1277632</v>
      </c>
      <c r="E1019" s="6" t="n">
        <f>SUM(C1019,D1019)/2</f>
        <v>1038726</v>
      </c>
      <c r="F1019" s="12" t="n">
        <v>89456</v>
      </c>
      <c r="G1019" s="12" t="n">
        <v>132318</v>
      </c>
      <c r="H1019" s="6" t="n">
        <f>SUM(F1019,G1019)/2</f>
        <v>110887</v>
      </c>
    </row>
    <row r="1020" s="18" customFormat="1" ht="14.399999999999999" customHeight="1">
      <c r="A1020" s="10" t="s">
        <v>3889</v>
      </c>
      <c r="B1020" s="10" t="s">
        <v>3890</v>
      </c>
      <c r="C1020" s="13" t="n">
        <v>37939</v>
      </c>
      <c r="D1020" s="13" t="n">
        <v>60603</v>
      </c>
      <c r="E1020" s="6" t="n">
        <f>SUM(C1020,D1020)/2</f>
        <v>49271</v>
      </c>
      <c r="F1020" s="12" t="n">
        <v>12962</v>
      </c>
      <c r="G1020" s="12" t="n">
        <v>20722</v>
      </c>
      <c r="H1020" s="6" t="n">
        <f>SUM(F1020,G1020)/2</f>
        <v>16842</v>
      </c>
    </row>
    <row r="1021" s="18" customFormat="1" ht="14.399999999999999" customHeight="1">
      <c r="A1021" s="10" t="s">
        <v>5943</v>
      </c>
      <c r="B1021" s="10" t="s">
        <v>5944</v>
      </c>
      <c r="C1021" s="10" t="n">
        <v>109</v>
      </c>
      <c r="D1021" s="10" t="n">
        <v>173</v>
      </c>
      <c r="E1021" s="6" t="n">
        <f>SUM(C1021,D1021)/2</f>
        <v>141</v>
      </c>
      <c r="F1021" s="18" t="n">
        <v>20</v>
      </c>
      <c r="G1021" s="18" t="n">
        <v>31</v>
      </c>
      <c r="H1021" s="6" t="n">
        <f>SUM(F1021,G1021)/2</f>
        <v>25.5</v>
      </c>
    </row>
    <row r="1022" s="18" customFormat="1" ht="14.399999999999999" customHeight="1">
      <c r="A1022" s="10" t="s">
        <v>2518</v>
      </c>
      <c r="B1022" s="10" t="s">
        <v>2519</v>
      </c>
      <c r="C1022" s="10" t="n">
        <v>7</v>
      </c>
      <c r="D1022" s="10" t="n">
        <v>11</v>
      </c>
      <c r="E1022" s="6" t="n">
        <f>SUM(C1022,D1022)/2</f>
        <v>9</v>
      </c>
      <c r="F1022" s="18" t="n">
        <v>1</v>
      </c>
      <c r="G1022" s="18" t="n">
        <v>1</v>
      </c>
      <c r="H1022" s="6" t="n">
        <f>SUM(F1022,G1022)/2</f>
        <v>1</v>
      </c>
    </row>
    <row r="1023" s="18" customFormat="1" ht="14.399999999999999" customHeight="1">
      <c r="A1023" s="10" t="s">
        <v>4735</v>
      </c>
      <c r="B1023" s="10" t="s">
        <v>4736</v>
      </c>
      <c r="C1023" s="13" t="n">
        <v>12638</v>
      </c>
      <c r="D1023" s="13" t="n">
        <v>20189</v>
      </c>
      <c r="E1023" s="6" t="n">
        <f>SUM(C1023,D1023)/2</f>
        <v>16413.5</v>
      </c>
      <c r="F1023" s="12" t="n">
        <v>7917</v>
      </c>
      <c r="G1023" s="12" t="n">
        <v>10228</v>
      </c>
      <c r="H1023" s="6" t="n">
        <f>SUM(F1023,G1023)/2</f>
        <v>9072.5</v>
      </c>
    </row>
    <row r="1024" s="18" customFormat="1" ht="14.399999999999999" customHeight="1">
      <c r="A1024" s="10" t="s">
        <v>5161</v>
      </c>
      <c r="B1024" s="10" t="s">
        <v>5162</v>
      </c>
      <c r="C1024" s="13" t="n">
        <v>7013</v>
      </c>
      <c r="D1024" s="13" t="n">
        <v>11207</v>
      </c>
      <c r="E1024" s="6" t="n">
        <f>SUM(C1024,D1024)/2</f>
        <v>9110</v>
      </c>
      <c r="F1024" s="12" t="n">
        <v>3879</v>
      </c>
      <c r="G1024" s="12" t="n">
        <v>6017</v>
      </c>
      <c r="H1024" s="6" t="n">
        <f>SUM(F1024,G1024)/2</f>
        <v>4948</v>
      </c>
    </row>
    <row r="1025" s="18" customFormat="1" ht="14.399999999999999" customHeight="1">
      <c r="A1025" s="10" t="s">
        <v>3477</v>
      </c>
      <c r="B1025" s="10" t="s">
        <v>3478</v>
      </c>
      <c r="C1025" s="13" t="n">
        <v>16586</v>
      </c>
      <c r="D1025" s="13" t="n">
        <v>26492</v>
      </c>
      <c r="E1025" s="6" t="n">
        <f>SUM(C1025,D1025)/2</f>
        <v>21539</v>
      </c>
      <c r="F1025" s="12" t="n">
        <v>32407</v>
      </c>
      <c r="G1025" s="12" t="n">
        <v>45520</v>
      </c>
      <c r="H1025" s="6" t="n">
        <f>SUM(F1025,G1025)/2</f>
        <v>38963.5</v>
      </c>
    </row>
    <row r="1026" s="18" customFormat="1" ht="14.399999999999999" customHeight="1">
      <c r="A1026" s="10" t="s">
        <v>3549</v>
      </c>
      <c r="B1026" s="10" t="s">
        <v>3550</v>
      </c>
      <c r="C1026" s="13" t="n">
        <v>63150</v>
      </c>
      <c r="D1026" s="13" t="n">
        <v>100876</v>
      </c>
      <c r="E1026" s="6" t="n">
        <f>SUM(C1026,D1026)/2</f>
        <v>82013</v>
      </c>
      <c r="F1026" s="12" t="n">
        <v>19056</v>
      </c>
      <c r="G1026" s="12" t="n">
        <v>27419</v>
      </c>
      <c r="H1026" s="6" t="n">
        <f>SUM(F1026,G1026)/2</f>
        <v>23237.5</v>
      </c>
    </row>
    <row r="1027" s="18" customFormat="1" ht="14.399999999999999" customHeight="1">
      <c r="A1027" s="10" t="s">
        <v>3339</v>
      </c>
      <c r="B1027" s="10" t="s">
        <v>3340</v>
      </c>
      <c r="C1027" s="13" t="n">
        <v>95852</v>
      </c>
      <c r="D1027" s="13" t="n">
        <v>153112</v>
      </c>
      <c r="E1027" s="6" t="n">
        <f>SUM(C1027,D1027)/2</f>
        <v>124482</v>
      </c>
      <c r="F1027" s="12" t="n">
        <v>19356</v>
      </c>
      <c r="G1027" s="12" t="n">
        <v>27562</v>
      </c>
      <c r="H1027" s="6" t="n">
        <f>SUM(F1027,G1027)/2</f>
        <v>23459</v>
      </c>
    </row>
    <row r="1028" s="18" customFormat="1" ht="14.399999999999999" customHeight="1">
      <c r="A1028" s="10" t="s">
        <v>2238</v>
      </c>
      <c r="B1028" s="10" t="s">
        <v>2239</v>
      </c>
      <c r="C1028" s="13" t="n">
        <v>135381</v>
      </c>
      <c r="D1028" s="13" t="n">
        <v>216261</v>
      </c>
      <c r="E1028" s="6" t="n">
        <f>SUM(C1028,D1028)/2</f>
        <v>175821</v>
      </c>
      <c r="F1028" s="12" t="n">
        <v>35495</v>
      </c>
      <c r="G1028" s="12" t="n">
        <v>54842</v>
      </c>
      <c r="H1028" s="6" t="n">
        <f>SUM(F1028,G1028)/2</f>
        <v>45168.5</v>
      </c>
    </row>
    <row r="1029" s="18" customFormat="1" ht="14.399999999999999" customHeight="1">
      <c r="A1029" s="10" t="s">
        <v>2010</v>
      </c>
      <c r="B1029" s="10" t="s">
        <v>2011</v>
      </c>
      <c r="C1029" s="10" t="n">
        <v>3</v>
      </c>
      <c r="D1029" s="10" t="n">
        <v>5</v>
      </c>
      <c r="E1029" s="6" t="n">
        <f>SUM(C1029,D1029)/2</f>
        <v>4</v>
      </c>
      <c r="F1029" s="18" t="n">
        <v>10</v>
      </c>
      <c r="G1029" s="18" t="n">
        <v>13</v>
      </c>
      <c r="H1029" s="6" t="n">
        <f>SUM(F1029,G1029)/2</f>
        <v>11.5</v>
      </c>
    </row>
    <row r="1030" s="18" customFormat="1" ht="14.399999999999999" customHeight="1">
      <c r="A1030" s="10" t="s">
        <v>3639</v>
      </c>
      <c r="B1030" s="10" t="s">
        <v>3640</v>
      </c>
      <c r="C1030" s="13" t="n">
        <v>102762</v>
      </c>
      <c r="D1030" s="13" t="n">
        <v>164152</v>
      </c>
      <c r="E1030" s="6" t="n">
        <f>SUM(C1030,D1030)/2</f>
        <v>133457</v>
      </c>
      <c r="F1030" s="12" t="n">
        <v>5898</v>
      </c>
      <c r="G1030" s="12" t="n">
        <v>9789</v>
      </c>
      <c r="H1030" s="6" t="n">
        <f>SUM(F1030,G1030)/2</f>
        <v>7843.5</v>
      </c>
    </row>
    <row r="1031" s="18" customFormat="1" ht="14.399999999999999" customHeight="1">
      <c r="A1031" s="10" t="s">
        <v>5201</v>
      </c>
      <c r="B1031" s="10" t="s">
        <v>5202</v>
      </c>
      <c r="C1031" s="13" t="n">
        <v>5117</v>
      </c>
      <c r="D1031" s="13" t="n">
        <v>8175</v>
      </c>
      <c r="E1031" s="6" t="n">
        <f>SUM(C1031,D1031)/2</f>
        <v>6646</v>
      </c>
      <c r="F1031" s="12" t="n">
        <v>3639</v>
      </c>
      <c r="G1031" s="12" t="n">
        <v>5301</v>
      </c>
      <c r="H1031" s="6" t="n">
        <f>SUM(F1031,G1031)/2</f>
        <v>4470</v>
      </c>
    </row>
    <row r="1032" s="18" customFormat="1" ht="14.399999999999999" customHeight="1">
      <c r="A1032" s="10" t="s">
        <v>4621</v>
      </c>
      <c r="B1032" s="10" t="s">
        <v>4622</v>
      </c>
      <c r="C1032" s="13" t="n">
        <v>27368</v>
      </c>
      <c r="D1032" s="13" t="n">
        <v>43718</v>
      </c>
      <c r="E1032" s="6" t="n">
        <f>SUM(C1032,D1032)/2</f>
        <v>35543</v>
      </c>
      <c r="F1032" s="12" t="n">
        <v>5627</v>
      </c>
      <c r="G1032" s="12" t="n">
        <v>7049</v>
      </c>
      <c r="H1032" s="6" t="n">
        <f>SUM(F1032,G1032)/2</f>
        <v>6338</v>
      </c>
    </row>
    <row r="1033" s="18" customFormat="1" ht="14.399999999999999" customHeight="1">
      <c r="A1033" s="10" t="s">
        <v>4617</v>
      </c>
      <c r="B1033" s="10" t="s">
        <v>4618</v>
      </c>
      <c r="C1033" s="13" t="n">
        <v>13465</v>
      </c>
      <c r="D1033" s="13" t="n">
        <v>21507</v>
      </c>
      <c r="E1033" s="6" t="n">
        <f>SUM(C1033,D1033)/2</f>
        <v>17486</v>
      </c>
      <c r="F1033" s="12" t="n">
        <v>8812</v>
      </c>
      <c r="G1033" s="12" t="n">
        <v>11661</v>
      </c>
      <c r="H1033" s="6" t="n">
        <f>SUM(F1033,G1033)/2</f>
        <v>10236.5</v>
      </c>
    </row>
    <row r="1034" s="18" customFormat="1" ht="14.399999999999999" customHeight="1">
      <c r="A1034" s="10" t="s">
        <v>4757</v>
      </c>
      <c r="B1034" s="10" t="s">
        <v>4758</v>
      </c>
      <c r="C1034" s="13" t="n">
        <v>14361</v>
      </c>
      <c r="D1034" s="13" t="n">
        <v>22939</v>
      </c>
      <c r="E1034" s="6" t="n">
        <f>SUM(C1034,D1034)/2</f>
        <v>18650</v>
      </c>
      <c r="F1034" s="12" t="n">
        <v>6501</v>
      </c>
      <c r="G1034" s="12" t="n">
        <v>10033</v>
      </c>
      <c r="H1034" s="6" t="n">
        <f>SUM(F1034,G1034)/2</f>
        <v>8267</v>
      </c>
    </row>
    <row r="1035" s="18" customFormat="1" ht="14.399999999999999" customHeight="1">
      <c r="A1035" s="10" t="s">
        <v>3425</v>
      </c>
      <c r="B1035" s="10" t="s">
        <v>3426</v>
      </c>
      <c r="C1035" s="13" t="n">
        <v>75484</v>
      </c>
      <c r="D1035" s="13" t="n">
        <v>120576</v>
      </c>
      <c r="E1035" s="6" t="n">
        <f>SUM(C1035,D1035)/2</f>
        <v>98030</v>
      </c>
      <c r="F1035" s="12" t="n">
        <v>21699</v>
      </c>
      <c r="G1035" s="12" t="n">
        <v>28091</v>
      </c>
      <c r="H1035" s="6" t="n">
        <f>SUM(F1035,G1035)/2</f>
        <v>24895</v>
      </c>
    </row>
    <row r="1036" s="18" customFormat="1" ht="14.399999999999999" customHeight="1">
      <c r="A1036" s="10" t="s">
        <v>5945</v>
      </c>
      <c r="B1036" s="10" t="s">
        <v>5946</v>
      </c>
      <c r="C1036" s="13" t="n">
        <v>15658</v>
      </c>
      <c r="D1036" s="13" t="n">
        <v>25016</v>
      </c>
      <c r="E1036" s="6" t="n">
        <f>SUM(C1036,D1036)/2</f>
        <v>20337</v>
      </c>
      <c r="F1036" s="12" t="n">
        <v>5393</v>
      </c>
      <c r="G1036" s="12" t="n">
        <v>7792</v>
      </c>
      <c r="H1036" s="6" t="n">
        <f>SUM(F1036,G1036)/2</f>
        <v>6592.5</v>
      </c>
    </row>
    <row r="1037" s="18" customFormat="1" ht="14.399999999999999" customHeight="1">
      <c r="A1037" s="10" t="s">
        <v>5947</v>
      </c>
      <c r="B1037" s="10" t="s">
        <v>5948</v>
      </c>
      <c r="C1037" s="13" t="n">
        <v>133753</v>
      </c>
      <c r="D1037" s="13" t="n">
        <v>213659</v>
      </c>
      <c r="E1037" s="6" t="n">
        <f>SUM(C1037,D1037)/2</f>
        <v>173706</v>
      </c>
      <c r="F1037" s="12" t="n">
        <v>28107</v>
      </c>
      <c r="G1037" s="12" t="n">
        <v>38480</v>
      </c>
      <c r="H1037" s="6" t="n">
        <f>SUM(F1037,G1037)/2</f>
        <v>33293.5</v>
      </c>
    </row>
    <row r="1038" s="18" customFormat="1" ht="14.399999999999999" customHeight="1">
      <c r="A1038" s="10" t="s">
        <v>5021</v>
      </c>
      <c r="B1038" s="10" t="s">
        <v>5022</v>
      </c>
      <c r="C1038" s="13" t="n">
        <v>5333</v>
      </c>
      <c r="D1038" s="13" t="n">
        <v>8519</v>
      </c>
      <c r="E1038" s="6" t="n">
        <f>SUM(C1038,D1038)/2</f>
        <v>6926</v>
      </c>
      <c r="F1038" s="12" t="n">
        <v>6310</v>
      </c>
      <c r="G1038" s="12" t="n">
        <v>9718</v>
      </c>
      <c r="H1038" s="6" t="n">
        <f>SUM(F1038,G1038)/2</f>
        <v>8014</v>
      </c>
    </row>
    <row r="1039" s="18" customFormat="1" ht="14.399999999999999" customHeight="1">
      <c r="A1039" s="10" t="s">
        <v>5949</v>
      </c>
      <c r="B1039" s="10" t="s">
        <v>5950</v>
      </c>
      <c r="C1039" s="13" t="n">
        <v>25721</v>
      </c>
      <c r="D1039" s="13" t="n">
        <v>41085</v>
      </c>
      <c r="E1039" s="6" t="n">
        <f>SUM(C1039,D1039)/2</f>
        <v>33403</v>
      </c>
      <c r="F1039" s="12" t="n">
        <v>40645</v>
      </c>
      <c r="G1039" s="12" t="n">
        <v>61007</v>
      </c>
      <c r="H1039" s="6" t="n">
        <f>SUM(F1039,G1039)/2</f>
        <v>50826</v>
      </c>
    </row>
    <row r="1040" s="18" customFormat="1" ht="14.399999999999999" customHeight="1">
      <c r="A1040" s="10" t="s">
        <v>1629</v>
      </c>
      <c r="B1040" s="10" t="s">
        <v>1630</v>
      </c>
      <c r="C1040" s="10" t="n">
        <v>79</v>
      </c>
      <c r="D1040" s="10" t="n">
        <v>125</v>
      </c>
      <c r="E1040" s="6" t="n">
        <f>SUM(C1040,D1040)/2</f>
        <v>102</v>
      </c>
      <c r="F1040" s="18" t="n">
        <v>20</v>
      </c>
      <c r="G1040" s="18" t="n">
        <v>28</v>
      </c>
      <c r="H1040" s="6" t="n">
        <f>SUM(F1040,G1040)/2</f>
        <v>24</v>
      </c>
    </row>
    <row r="1041" s="18" customFormat="1" ht="14.399999999999999" customHeight="1">
      <c r="A1041" s="10" t="s">
        <v>3681</v>
      </c>
      <c r="B1041" s="10" t="s">
        <v>3682</v>
      </c>
      <c r="C1041" s="13" t="n">
        <v>37751</v>
      </c>
      <c r="D1041" s="13" t="n">
        <v>60307</v>
      </c>
      <c r="E1041" s="6" t="n">
        <f>SUM(C1041,D1041)/2</f>
        <v>49029</v>
      </c>
      <c r="F1041" s="12" t="n">
        <v>20793</v>
      </c>
      <c r="G1041" s="12" t="n">
        <v>28831</v>
      </c>
      <c r="H1041" s="6" t="n">
        <f>SUM(F1041,G1041)/2</f>
        <v>24812</v>
      </c>
    </row>
    <row r="1042" s="18" customFormat="1" ht="14.399999999999999" customHeight="1">
      <c r="A1042" s="10" t="s">
        <v>5951</v>
      </c>
      <c r="B1042" s="10" t="s">
        <v>5952</v>
      </c>
      <c r="C1042" s="13" t="n">
        <v>2507</v>
      </c>
      <c r="D1042" s="13" t="n">
        <v>4005</v>
      </c>
      <c r="E1042" s="6" t="n">
        <f>SUM(C1042,D1042)/2</f>
        <v>3256</v>
      </c>
      <c r="F1042" s="12" t="n">
        <v>1374</v>
      </c>
      <c r="G1042" s="12" t="n">
        <v>1951</v>
      </c>
      <c r="H1042" s="6" t="n">
        <f>SUM(F1042,G1042)/2</f>
        <v>1662.5</v>
      </c>
    </row>
    <row r="1043" s="18" customFormat="1" ht="14.399999999999999" customHeight="1">
      <c r="A1043" s="10" t="s">
        <v>2887</v>
      </c>
      <c r="B1043" s="10" t="s">
        <v>2888</v>
      </c>
      <c r="C1043" s="10" t="n">
        <v>0</v>
      </c>
      <c r="D1043" s="10" t="n">
        <v>0</v>
      </c>
      <c r="E1043" s="6" t="n">
        <f>SUM(C1043,D1043)/2</f>
        <v>0</v>
      </c>
      <c r="F1043" s="18" t="n">
        <v>0</v>
      </c>
      <c r="G1043" s="18" t="n">
        <v>0</v>
      </c>
      <c r="H1043" s="6" t="n">
        <f>SUM(F1043,G1043)/2</f>
        <v>0</v>
      </c>
    </row>
    <row r="1044" s="18" customFormat="1" ht="14.399999999999999" customHeight="1">
      <c r="A1044" s="10" t="s">
        <v>3561</v>
      </c>
      <c r="B1044" s="10" t="s">
        <v>3562</v>
      </c>
      <c r="C1044" s="13" t="n">
        <v>86420</v>
      </c>
      <c r="D1044" s="13" t="n">
        <v>138048</v>
      </c>
      <c r="E1044" s="6" t="n">
        <f>SUM(C1044,D1044)/2</f>
        <v>112234</v>
      </c>
      <c r="F1044" s="12" t="n">
        <v>12404</v>
      </c>
      <c r="G1044" s="12" t="n">
        <v>20083</v>
      </c>
      <c r="H1044" s="6" t="n">
        <f>SUM(F1044,G1044)/2</f>
        <v>16243.5</v>
      </c>
    </row>
    <row r="1045" s="18" customFormat="1" ht="14.399999999999999" customHeight="1">
      <c r="A1045" s="10" t="s">
        <v>5953</v>
      </c>
      <c r="B1045" s="10" t="s">
        <v>5954</v>
      </c>
      <c r="C1045" s="10"/>
      <c r="D1045" s="10"/>
      <c r="E1045" s="6" t="n">
        <f>SUM(C1045,D1045)/2</f>
        <v>0</v>
      </c>
      <c r="F1045" s="12" t="n">
        <v>11245720</v>
      </c>
      <c r="G1045" s="12" t="n">
        <v>12994909</v>
      </c>
      <c r="H1045" s="6" t="n">
        <f>SUM(F1045,G1045)/2</f>
        <v>12120314.5</v>
      </c>
    </row>
    <row r="1046" s="18" customFormat="1" ht="14.399999999999999" customHeight="1">
      <c r="A1046" s="10" t="s">
        <v>1134</v>
      </c>
      <c r="B1046" s="10" t="s">
        <v>1135</v>
      </c>
      <c r="C1046" s="13" t="n">
        <v>162946</v>
      </c>
      <c r="D1046" s="13" t="n">
        <v>260288</v>
      </c>
      <c r="E1046" s="6" t="n">
        <f>SUM(C1046,D1046)/2</f>
        <v>211617</v>
      </c>
      <c r="F1046" s="12" t="n">
        <v>109165</v>
      </c>
      <c r="G1046" s="12" t="n">
        <v>156573</v>
      </c>
      <c r="H1046" s="6" t="n">
        <f>SUM(F1046,G1046)/2</f>
        <v>132869</v>
      </c>
    </row>
    <row r="1047" s="18" customFormat="1" ht="14.399999999999999" customHeight="1">
      <c r="A1047" s="10" t="s">
        <v>5342</v>
      </c>
      <c r="B1047" s="10" t="s">
        <v>5343</v>
      </c>
      <c r="C1047" s="13" t="n">
        <v>413963</v>
      </c>
      <c r="D1047" s="13" t="n">
        <v>661267</v>
      </c>
      <c r="E1047" s="6" t="n">
        <f>SUM(C1047,D1047)/2</f>
        <v>537615</v>
      </c>
      <c r="F1047" s="12" t="n">
        <v>50654</v>
      </c>
      <c r="G1047" s="12" t="n">
        <v>77665</v>
      </c>
      <c r="H1047" s="6" t="n">
        <f>SUM(F1047,G1047)/2</f>
        <v>64159.5</v>
      </c>
    </row>
    <row r="1048" s="18" customFormat="1" ht="14.399999999999999" customHeight="1">
      <c r="A1048" s="10" t="s">
        <v>5167</v>
      </c>
      <c r="B1048" s="10" t="s">
        <v>5168</v>
      </c>
      <c r="C1048" s="13" t="n">
        <v>4443</v>
      </c>
      <c r="D1048" s="13" t="n">
        <v>7097</v>
      </c>
      <c r="E1048" s="6" t="n">
        <f>SUM(C1048,D1048)/2</f>
        <v>5770</v>
      </c>
      <c r="F1048" s="12" t="n">
        <v>4676</v>
      </c>
      <c r="G1048" s="12" t="n">
        <v>6466</v>
      </c>
      <c r="H1048" s="6" t="n">
        <f>SUM(F1048,G1048)/2</f>
        <v>5571</v>
      </c>
    </row>
    <row r="1049" s="18" customFormat="1" ht="14.399999999999999" customHeight="1">
      <c r="A1049" s="10" t="s">
        <v>198</v>
      </c>
      <c r="B1049" s="10" t="s">
        <v>199</v>
      </c>
      <c r="C1049" s="10"/>
      <c r="D1049" s="10"/>
      <c r="E1049" s="6" t="n">
        <f>SUM(C1049,D1049)/2</f>
        <v>0</v>
      </c>
      <c r="F1049" s="13" t="n">
        <v>8477392</v>
      </c>
      <c r="G1049" s="12" t="n">
        <v>10721274</v>
      </c>
      <c r="H1049" s="6" t="n">
        <f>SUM(F1049,G1049)/2</f>
        <v>9599333</v>
      </c>
    </row>
    <row r="1050" s="18" customFormat="1" ht="14.399999999999999" customHeight="1">
      <c r="A1050" s="10" t="s">
        <v>4785</v>
      </c>
      <c r="B1050" s="10" t="s">
        <v>4786</v>
      </c>
      <c r="C1050" s="13" t="n">
        <v>8134</v>
      </c>
      <c r="D1050" s="13" t="n">
        <v>12992</v>
      </c>
      <c r="E1050" s="6" t="n">
        <f>SUM(C1050,D1050)/2</f>
        <v>10563</v>
      </c>
      <c r="F1050" s="12" t="n">
        <v>8201</v>
      </c>
      <c r="G1050" s="12" t="n">
        <v>11166</v>
      </c>
      <c r="H1050" s="6" t="n">
        <f>SUM(F1050,G1050)/2</f>
        <v>9683.5</v>
      </c>
    </row>
    <row r="1051" s="18" customFormat="1" ht="14.399999999999999" customHeight="1">
      <c r="A1051" s="10" t="s">
        <v>5955</v>
      </c>
      <c r="B1051" s="10" t="s">
        <v>5956</v>
      </c>
      <c r="C1051" s="10"/>
      <c r="D1051" s="10"/>
      <c r="E1051" s="6" t="n">
        <f>SUM(C1051,D1051)/2</f>
        <v>0</v>
      </c>
      <c r="F1051" s="12" t="n">
        <v>57586</v>
      </c>
      <c r="G1051" s="12" t="n">
        <v>66910</v>
      </c>
      <c r="H1051" s="6" t="n">
        <f>SUM(F1051,G1051)/2</f>
        <v>62248</v>
      </c>
    </row>
    <row r="1052" s="18" customFormat="1" ht="14.399999999999999" customHeight="1">
      <c r="A1052" s="10" t="s">
        <v>5496</v>
      </c>
      <c r="B1052" s="10" t="s">
        <v>5497</v>
      </c>
      <c r="C1052" s="10" t="n">
        <v>561</v>
      </c>
      <c r="D1052" s="10" t="n">
        <v>899</v>
      </c>
      <c r="E1052" s="6" t="n">
        <f>SUM(C1052,D1052)/2</f>
        <v>730</v>
      </c>
      <c r="F1052" s="18" t="n">
        <v>0</v>
      </c>
      <c r="G1052" s="18" t="n">
        <v>0</v>
      </c>
      <c r="H1052" s="6" t="n">
        <f>SUM(F1052,G1052)/2</f>
        <v>0</v>
      </c>
    </row>
    <row r="1053" s="18" customFormat="1" ht="14.399999999999999" customHeight="1">
      <c r="A1053" s="10" t="s">
        <v>5047</v>
      </c>
      <c r="B1053" s="10" t="s">
        <v>5048</v>
      </c>
      <c r="C1053" s="13" t="n">
        <v>13521</v>
      </c>
      <c r="D1053" s="13" t="n">
        <v>21601</v>
      </c>
      <c r="E1053" s="6" t="n">
        <f>SUM(C1053,D1053)/2</f>
        <v>17561</v>
      </c>
      <c r="F1053" s="12" t="n">
        <v>4510</v>
      </c>
      <c r="G1053" s="12" t="n">
        <v>6219</v>
      </c>
      <c r="H1053" s="6" t="n">
        <f>SUM(F1053,G1053)/2</f>
        <v>5364.5</v>
      </c>
    </row>
    <row r="1054" s="18" customFormat="1" ht="14.399999999999999" customHeight="1">
      <c r="A1054" s="10" t="s">
        <v>5101</v>
      </c>
      <c r="B1054" s="10" t="s">
        <v>5102</v>
      </c>
      <c r="C1054" s="13" t="n">
        <v>6955</v>
      </c>
      <c r="D1054" s="13" t="n">
        <v>11109</v>
      </c>
      <c r="E1054" s="6" t="n">
        <f>SUM(C1054,D1054)/2</f>
        <v>9032</v>
      </c>
      <c r="F1054" s="12" t="n">
        <v>4887</v>
      </c>
      <c r="G1054" s="12" t="n">
        <v>7539</v>
      </c>
      <c r="H1054" s="6" t="n">
        <f>SUM(F1054,G1054)/2</f>
        <v>6213</v>
      </c>
    </row>
    <row r="1055" s="18" customFormat="1" ht="14.399999999999999" customHeight="1">
      <c r="A1055" s="10" t="s">
        <v>1966</v>
      </c>
      <c r="B1055" s="10" t="s">
        <v>1967</v>
      </c>
      <c r="C1055" s="10" t="n">
        <v>36</v>
      </c>
      <c r="D1055" s="10" t="n">
        <v>58</v>
      </c>
      <c r="E1055" s="6" t="n">
        <f>SUM(C1055,D1055)/2</f>
        <v>47</v>
      </c>
      <c r="F1055" s="18" t="n">
        <v>3</v>
      </c>
      <c r="G1055" s="18" t="n">
        <v>4</v>
      </c>
      <c r="H1055" s="6" t="n">
        <f>SUM(F1055,G1055)/2</f>
        <v>3.5</v>
      </c>
    </row>
    <row r="1056" s="18" customFormat="1" ht="14.399999999999999" customHeight="1">
      <c r="A1056" s="10" t="s">
        <v>5957</v>
      </c>
      <c r="B1056" s="10" t="s">
        <v>5958</v>
      </c>
      <c r="C1056" s="13" t="n">
        <v>9556</v>
      </c>
      <c r="D1056" s="13" t="n">
        <v>15262</v>
      </c>
      <c r="E1056" s="6" t="n">
        <f>SUM(C1056,D1056)/2</f>
        <v>12409</v>
      </c>
      <c r="F1056" s="12" t="n">
        <v>7752</v>
      </c>
      <c r="G1056" s="12" t="n">
        <v>9090</v>
      </c>
      <c r="H1056" s="6" t="n">
        <f>SUM(F1056,G1056)/2</f>
        <v>8421</v>
      </c>
    </row>
    <row r="1057" s="18" customFormat="1" ht="14.399999999999999" customHeight="1">
      <c r="A1057" s="10" t="s">
        <v>5959</v>
      </c>
      <c r="B1057" s="10" t="s">
        <v>5960</v>
      </c>
      <c r="C1057" s="13" t="n">
        <v>16720</v>
      </c>
      <c r="D1057" s="13" t="n">
        <v>26706</v>
      </c>
      <c r="E1057" s="6" t="n">
        <f>SUM(C1057,D1057)/2</f>
        <v>21713</v>
      </c>
      <c r="F1057" s="12" t="n">
        <v>3096</v>
      </c>
      <c r="G1057" s="12" t="n">
        <v>4400</v>
      </c>
      <c r="H1057" s="6" t="n">
        <f>SUM(F1057,G1057)/2</f>
        <v>3748</v>
      </c>
    </row>
    <row r="1058" s="18" customFormat="1" ht="14.399999999999999" customHeight="1">
      <c r="A1058" s="10" t="s">
        <v>5059</v>
      </c>
      <c r="B1058" s="10" t="s">
        <v>5060</v>
      </c>
      <c r="C1058" s="13" t="n">
        <v>13034</v>
      </c>
      <c r="D1058" s="13" t="n">
        <v>20822</v>
      </c>
      <c r="E1058" s="6" t="n">
        <f>SUM(C1058,D1058)/2</f>
        <v>16928</v>
      </c>
      <c r="F1058" s="12" t="n">
        <v>4544</v>
      </c>
      <c r="G1058" s="12" t="n">
        <v>6017</v>
      </c>
      <c r="H1058" s="6" t="n">
        <f>SUM(F1058,G1058)/2</f>
        <v>5280.5</v>
      </c>
    </row>
    <row r="1059" s="18" customFormat="1" ht="14.399999999999999" customHeight="1">
      <c r="A1059" s="10" t="s">
        <v>5961</v>
      </c>
      <c r="B1059" s="10" t="s">
        <v>5962</v>
      </c>
      <c r="C1059" s="13" t="n">
        <v>24485</v>
      </c>
      <c r="D1059" s="13" t="n">
        <v>39109</v>
      </c>
      <c r="E1059" s="6" t="n">
        <f>SUM(C1059,D1059)/2</f>
        <v>31797</v>
      </c>
      <c r="F1059" s="12" t="n">
        <v>10876</v>
      </c>
      <c r="G1059" s="12" t="n">
        <v>15363</v>
      </c>
      <c r="H1059" s="6" t="n">
        <f>SUM(F1059,G1059)/2</f>
        <v>13119.5</v>
      </c>
    </row>
    <row r="1060" s="18" customFormat="1" ht="14.399999999999999" customHeight="1">
      <c r="A1060" s="10" t="s">
        <v>5091</v>
      </c>
      <c r="B1060" s="10" t="s">
        <v>5092</v>
      </c>
      <c r="C1060" s="13" t="n">
        <v>9762</v>
      </c>
      <c r="D1060" s="13" t="n">
        <v>15592</v>
      </c>
      <c r="E1060" s="6" t="n">
        <f>SUM(C1060,D1060)/2</f>
        <v>12677</v>
      </c>
      <c r="F1060" s="12" t="n">
        <v>5331</v>
      </c>
      <c r="G1060" s="12" t="n">
        <v>6348</v>
      </c>
      <c r="H1060" s="6" t="n">
        <f>SUM(F1060,G1060)/2</f>
        <v>5839.5</v>
      </c>
    </row>
    <row r="1061" s="18" customFormat="1" ht="14.399999999999999" customHeight="1">
      <c r="A1061" s="10" t="s">
        <v>4797</v>
      </c>
      <c r="B1061" s="10" t="s">
        <v>4798</v>
      </c>
      <c r="C1061" s="13" t="n">
        <v>15833</v>
      </c>
      <c r="D1061" s="13" t="n">
        <v>25293</v>
      </c>
      <c r="E1061" s="6" t="n">
        <f>SUM(C1061,D1061)/2</f>
        <v>20563</v>
      </c>
      <c r="F1061" s="12" t="n">
        <v>6419</v>
      </c>
      <c r="G1061" s="12" t="n">
        <v>8295</v>
      </c>
      <c r="H1061" s="6" t="n">
        <f>SUM(F1061,G1061)/2</f>
        <v>7357</v>
      </c>
    </row>
    <row r="1062" s="18" customFormat="1" ht="14.399999999999999" customHeight="1">
      <c r="A1062" s="10" t="s">
        <v>5963</v>
      </c>
      <c r="B1062" s="10" t="s">
        <v>5964</v>
      </c>
      <c r="C1062" s="10" t="n">
        <v>0</v>
      </c>
      <c r="D1062" s="10" t="n">
        <v>0</v>
      </c>
      <c r="E1062" s="6" t="n">
        <f>SUM(C1062,D1062)/2</f>
        <v>0</v>
      </c>
      <c r="F1062" s="18" t="n">
        <v>1</v>
      </c>
      <c r="G1062" s="18" t="n">
        <v>1</v>
      </c>
      <c r="H1062" s="6" t="n">
        <f>SUM(F1062,G1062)/2</f>
        <v>1</v>
      </c>
    </row>
    <row r="1063" s="18" customFormat="1" ht="14.399999999999999" customHeight="1">
      <c r="A1063" s="10" t="s">
        <v>2016</v>
      </c>
      <c r="B1063" s="10" t="s">
        <v>2017</v>
      </c>
      <c r="C1063" s="10" t="n">
        <v>20</v>
      </c>
      <c r="D1063" s="10" t="n">
        <v>34</v>
      </c>
      <c r="E1063" s="6" t="n">
        <f>SUM(C1063,D1063)/2</f>
        <v>27</v>
      </c>
      <c r="F1063" s="18" t="n">
        <v>5</v>
      </c>
      <c r="G1063" s="18" t="n">
        <v>8</v>
      </c>
      <c r="H1063" s="6" t="n">
        <f>SUM(F1063,G1063)/2</f>
        <v>6.5</v>
      </c>
    </row>
    <row r="1064" s="18" customFormat="1" ht="14.399999999999999" customHeight="1">
      <c r="A1064" s="10" t="s">
        <v>1903</v>
      </c>
      <c r="B1064" s="10" t="s">
        <v>1904</v>
      </c>
      <c r="C1064" s="10" t="n">
        <v>24</v>
      </c>
      <c r="D1064" s="10" t="n">
        <v>38</v>
      </c>
      <c r="E1064" s="6" t="n">
        <f>SUM(C1064,D1064)/2</f>
        <v>31</v>
      </c>
      <c r="F1064" s="18" t="n">
        <v>8</v>
      </c>
      <c r="G1064" s="18" t="n">
        <v>12</v>
      </c>
      <c r="H1064" s="6" t="n">
        <f>SUM(F1064,G1064)/2</f>
        <v>10</v>
      </c>
    </row>
    <row r="1065" s="18" customFormat="1" ht="14.399999999999999" customHeight="1">
      <c r="A1065" s="10" t="s">
        <v>1749</v>
      </c>
      <c r="B1065" s="10" t="s">
        <v>1750</v>
      </c>
      <c r="C1065" s="10" t="n">
        <v>30</v>
      </c>
      <c r="D1065" s="10" t="n">
        <v>50</v>
      </c>
      <c r="E1065" s="6" t="n">
        <f>SUM(C1065,D1065)/2</f>
        <v>40</v>
      </c>
      <c r="F1065" s="18" t="n">
        <v>16</v>
      </c>
      <c r="G1065" s="18" t="n">
        <v>21</v>
      </c>
      <c r="H1065" s="6" t="n">
        <f>SUM(F1065,G1065)/2</f>
        <v>18.5</v>
      </c>
    </row>
    <row r="1066" s="18" customFormat="1" ht="14.399999999999999" customHeight="1">
      <c r="A1066" s="10" t="s">
        <v>3181</v>
      </c>
      <c r="B1066" s="10" t="s">
        <v>3182</v>
      </c>
      <c r="C1066" s="13" t="n">
        <v>49958</v>
      </c>
      <c r="D1066" s="13" t="n">
        <v>79802</v>
      </c>
      <c r="E1066" s="6" t="n">
        <f>SUM(C1066,D1066)/2</f>
        <v>64880</v>
      </c>
      <c r="F1066" s="12" t="n">
        <v>39779</v>
      </c>
      <c r="G1066" s="12" t="n">
        <v>56186</v>
      </c>
      <c r="H1066" s="6" t="n">
        <f>SUM(F1066,G1066)/2</f>
        <v>47982.5</v>
      </c>
    </row>
    <row r="1067" s="18" customFormat="1" ht="14.399999999999999" customHeight="1">
      <c r="A1067" s="10" t="s">
        <v>4459</v>
      </c>
      <c r="B1067" s="10" t="s">
        <v>4460</v>
      </c>
      <c r="C1067" s="13" t="n">
        <v>17832</v>
      </c>
      <c r="D1067" s="13" t="n">
        <v>28486</v>
      </c>
      <c r="E1067" s="6" t="n">
        <f>SUM(C1067,D1067)/2</f>
        <v>23159</v>
      </c>
      <c r="F1067" s="12" t="n">
        <v>9084</v>
      </c>
      <c r="G1067" s="12" t="n">
        <v>12875</v>
      </c>
      <c r="H1067" s="6" t="n">
        <f>SUM(F1067,G1067)/2</f>
        <v>10979.5</v>
      </c>
    </row>
    <row r="1068" s="18" customFormat="1" ht="14.399999999999999" customHeight="1">
      <c r="A1068" s="10" t="s">
        <v>3851</v>
      </c>
      <c r="B1068" s="10" t="s">
        <v>3852</v>
      </c>
      <c r="C1068" s="13" t="n">
        <v>31961</v>
      </c>
      <c r="D1068" s="13" t="n">
        <v>51055</v>
      </c>
      <c r="E1068" s="6" t="n">
        <f>SUM(C1068,D1068)/2</f>
        <v>41508</v>
      </c>
      <c r="F1068" s="12" t="n">
        <v>15813</v>
      </c>
      <c r="G1068" s="12" t="n">
        <v>23357</v>
      </c>
      <c r="H1068" s="6" t="n">
        <f>SUM(F1068,G1068)/2</f>
        <v>19585</v>
      </c>
    </row>
    <row r="1069" s="18" customFormat="1" ht="14.399999999999999" customHeight="1">
      <c r="A1069" s="10" t="s">
        <v>5965</v>
      </c>
      <c r="B1069" s="10" t="s">
        <v>5966</v>
      </c>
      <c r="C1069" s="10" t="n">
        <v>5</v>
      </c>
      <c r="D1069" s="10" t="n">
        <v>7</v>
      </c>
      <c r="E1069" s="6" t="n">
        <f>SUM(C1069,D1069)/2</f>
        <v>6</v>
      </c>
      <c r="F1069" s="18" t="n">
        <v>0</v>
      </c>
      <c r="G1069" s="18" t="n">
        <v>0</v>
      </c>
      <c r="H1069" s="6" t="n">
        <f>SUM(F1069,G1069)/2</f>
        <v>0</v>
      </c>
    </row>
    <row r="1070" s="18" customFormat="1" ht="14.399999999999999" customHeight="1">
      <c r="A1070" s="10" t="s">
        <v>4731</v>
      </c>
      <c r="B1070" s="10" t="s">
        <v>4732</v>
      </c>
      <c r="C1070" s="13" t="n">
        <v>22930</v>
      </c>
      <c r="D1070" s="13" t="n">
        <v>36628</v>
      </c>
      <c r="E1070" s="6" t="n">
        <f>SUM(C1070,D1070)/2</f>
        <v>29779</v>
      </c>
      <c r="F1070" s="12" t="n">
        <v>5253</v>
      </c>
      <c r="G1070" s="12" t="n">
        <v>7295</v>
      </c>
      <c r="H1070" s="6" t="n">
        <f>SUM(F1070,G1070)/2</f>
        <v>6274</v>
      </c>
    </row>
    <row r="1071" s="18" customFormat="1" ht="14.399999999999999" customHeight="1">
      <c r="A1071" s="10" t="s">
        <v>1318</v>
      </c>
      <c r="B1071" s="10" t="s">
        <v>1319</v>
      </c>
      <c r="C1071" s="10" t="n">
        <v>196</v>
      </c>
      <c r="D1071" s="10" t="n">
        <v>310</v>
      </c>
      <c r="E1071" s="6" t="n">
        <f>SUM(C1071,D1071)/2</f>
        <v>253</v>
      </c>
      <c r="F1071" s="18" t="n">
        <v>41</v>
      </c>
      <c r="G1071" s="18" t="n">
        <v>55</v>
      </c>
      <c r="H1071" s="6" t="n">
        <f>SUM(F1071,G1071)/2</f>
        <v>48</v>
      </c>
    </row>
    <row r="1072" s="18" customFormat="1" ht="14.399999999999999" customHeight="1">
      <c r="A1072" s="10" t="s">
        <v>3385</v>
      </c>
      <c r="B1072" s="10" t="s">
        <v>3386</v>
      </c>
      <c r="C1072" s="13" t="n">
        <v>12706</v>
      </c>
      <c r="D1072" s="13" t="n">
        <v>20296</v>
      </c>
      <c r="E1072" s="6" t="n">
        <f>SUM(C1072,D1072)/2</f>
        <v>16501</v>
      </c>
      <c r="F1072" s="12" t="n">
        <v>35807</v>
      </c>
      <c r="G1072" s="12" t="n">
        <v>51846</v>
      </c>
      <c r="H1072" s="6" t="n">
        <f>SUM(F1072,G1072)/2</f>
        <v>43826.5</v>
      </c>
    </row>
    <row r="1073" s="18" customFormat="1" ht="14.399999999999999" customHeight="1">
      <c r="A1073" s="10" t="s">
        <v>5967</v>
      </c>
      <c r="B1073" s="10" t="s">
        <v>5968</v>
      </c>
      <c r="C1073" s="13" t="n">
        <v>2936</v>
      </c>
      <c r="D1073" s="13" t="n">
        <v>4688</v>
      </c>
      <c r="E1073" s="6" t="n">
        <f>SUM(C1073,D1073)/2</f>
        <v>3812</v>
      </c>
      <c r="F1073" s="12" t="n">
        <v>5093</v>
      </c>
      <c r="G1073" s="12" t="n">
        <v>7358</v>
      </c>
      <c r="H1073" s="6" t="n">
        <f>SUM(F1073,G1073)/2</f>
        <v>6225.5</v>
      </c>
    </row>
    <row r="1074" s="18" customFormat="1" ht="14.399999999999999" customHeight="1">
      <c r="A1074" s="10" t="s">
        <v>2468</v>
      </c>
      <c r="B1074" s="10" t="s">
        <v>2469</v>
      </c>
      <c r="C1074" s="13" t="n">
        <v>100981</v>
      </c>
      <c r="D1074" s="13" t="n">
        <v>161307</v>
      </c>
      <c r="E1074" s="6" t="n">
        <f>SUM(C1074,D1074)/2</f>
        <v>131144</v>
      </c>
      <c r="F1074" s="12" t="n">
        <v>47969</v>
      </c>
      <c r="G1074" s="12" t="n">
        <v>67922</v>
      </c>
      <c r="H1074" s="6" t="n">
        <f>SUM(F1074,G1074)/2</f>
        <v>57945.5</v>
      </c>
    </row>
    <row r="1075" s="18" customFormat="1" ht="14.399999999999999" customHeight="1">
      <c r="A1075" s="10" t="s">
        <v>2069</v>
      </c>
      <c r="B1075" s="10" t="s">
        <v>2070</v>
      </c>
      <c r="C1075" s="10" t="n">
        <v>13</v>
      </c>
      <c r="D1075" s="10" t="n">
        <v>19</v>
      </c>
      <c r="E1075" s="6" t="n">
        <f>SUM(C1075,D1075)/2</f>
        <v>16</v>
      </c>
      <c r="F1075" s="18" t="n">
        <v>6</v>
      </c>
      <c r="G1075" s="18" t="n">
        <v>8</v>
      </c>
      <c r="H1075" s="6" t="n">
        <f>SUM(F1075,G1075)/2</f>
        <v>7</v>
      </c>
    </row>
    <row r="1076" s="18" customFormat="1" ht="14.399999999999999" customHeight="1">
      <c r="A1076" s="10" t="s">
        <v>5137</v>
      </c>
      <c r="B1076" s="10" t="s">
        <v>5138</v>
      </c>
      <c r="C1076" s="13" t="n">
        <v>7609</v>
      </c>
      <c r="D1076" s="13" t="n">
        <v>12153</v>
      </c>
      <c r="E1076" s="6" t="n">
        <f>SUM(C1076,D1076)/2</f>
        <v>9881</v>
      </c>
      <c r="F1076" s="12" t="n">
        <v>4486</v>
      </c>
      <c r="G1076" s="12" t="n">
        <v>6486</v>
      </c>
      <c r="H1076" s="6" t="n">
        <f>SUM(F1076,G1076)/2</f>
        <v>5486</v>
      </c>
    </row>
    <row r="1077" s="18" customFormat="1" ht="14.399999999999999" customHeight="1">
      <c r="A1077" s="10" t="s">
        <v>2002</v>
      </c>
      <c r="B1077" s="10" t="s">
        <v>2003</v>
      </c>
      <c r="C1077" s="10" t="n">
        <v>34</v>
      </c>
      <c r="D1077" s="10" t="n">
        <v>52</v>
      </c>
      <c r="E1077" s="6" t="n">
        <f>SUM(C1077,D1077)/2</f>
        <v>43</v>
      </c>
      <c r="F1077" s="18" t="n">
        <v>3</v>
      </c>
      <c r="G1077" s="18" t="n">
        <v>4</v>
      </c>
      <c r="H1077" s="6" t="n">
        <f>SUM(F1077,G1077)/2</f>
        <v>3.5</v>
      </c>
    </row>
    <row r="1078" s="18" customFormat="1" ht="14.399999999999999" customHeight="1">
      <c r="A1078" s="10" t="s">
        <v>4187</v>
      </c>
      <c r="B1078" s="10" t="s">
        <v>4188</v>
      </c>
      <c r="C1078" s="13" t="n">
        <v>21925</v>
      </c>
      <c r="D1078" s="13" t="n">
        <v>35023</v>
      </c>
      <c r="E1078" s="6" t="n">
        <f>SUM(C1078,D1078)/2</f>
        <v>28474</v>
      </c>
      <c r="F1078" s="12" t="n">
        <v>11510</v>
      </c>
      <c r="G1078" s="12" t="n">
        <v>17070</v>
      </c>
      <c r="H1078" s="6" t="n">
        <f>SUM(F1078,G1078)/2</f>
        <v>14290</v>
      </c>
    </row>
    <row r="1079" s="18" customFormat="1" ht="14.399999999999999" customHeight="1">
      <c r="A1079" s="10" t="s">
        <v>732</v>
      </c>
      <c r="B1079" s="10" t="s">
        <v>733</v>
      </c>
      <c r="C1079" s="13" t="n">
        <v>1032707</v>
      </c>
      <c r="D1079" s="13" t="n">
        <v>1649649</v>
      </c>
      <c r="E1079" s="6" t="n">
        <f>SUM(C1079,D1079)/2</f>
        <v>1341178</v>
      </c>
      <c r="F1079" s="12" t="n">
        <v>737811</v>
      </c>
      <c r="G1079" s="12" t="n">
        <v>845845</v>
      </c>
      <c r="H1079" s="6" t="n">
        <f>SUM(F1079,G1079)/2</f>
        <v>791828</v>
      </c>
    </row>
    <row r="1080" s="18" customFormat="1" ht="14.399999999999999" customHeight="1">
      <c r="A1080" s="10" t="s">
        <v>5969</v>
      </c>
      <c r="B1080" s="10" t="s">
        <v>5970</v>
      </c>
      <c r="C1080" s="13" t="n">
        <v>35247</v>
      </c>
      <c r="D1080" s="13" t="n">
        <v>56301</v>
      </c>
      <c r="E1080" s="6" t="n">
        <f>SUM(C1080,D1080)/2</f>
        <v>45774</v>
      </c>
      <c r="F1080" s="12" t="n">
        <v>4773</v>
      </c>
      <c r="G1080" s="12" t="n">
        <v>7557</v>
      </c>
      <c r="H1080" s="6" t="n">
        <f>SUM(F1080,G1080)/2</f>
        <v>6165</v>
      </c>
    </row>
    <row r="1081" s="18" customFormat="1" ht="14.399999999999999" customHeight="1">
      <c r="A1081" s="10" t="s">
        <v>2522</v>
      </c>
      <c r="B1081" s="10" t="s">
        <v>2523</v>
      </c>
      <c r="C1081" s="10" t="n">
        <v>4</v>
      </c>
      <c r="D1081" s="10" t="n">
        <v>4</v>
      </c>
      <c r="E1081" s="6" t="n">
        <f>SUM(C1081,D1081)/2</f>
        <v>4</v>
      </c>
      <c r="F1081" s="18" t="n">
        <v>2</v>
      </c>
      <c r="G1081" s="18" t="n">
        <v>2</v>
      </c>
      <c r="H1081" s="6" t="n">
        <f>SUM(F1081,G1081)/2</f>
        <v>2</v>
      </c>
    </row>
    <row r="1082" s="18" customFormat="1" ht="14.399999999999999" customHeight="1">
      <c r="A1082" s="10" t="s">
        <v>2168</v>
      </c>
      <c r="B1082" s="10" t="s">
        <v>2169</v>
      </c>
      <c r="C1082" s="10" t="n">
        <v>17</v>
      </c>
      <c r="D1082" s="10" t="n">
        <v>25</v>
      </c>
      <c r="E1082" s="6" t="n">
        <f>SUM(C1082,D1082)/2</f>
        <v>21</v>
      </c>
      <c r="F1082" s="18" t="n">
        <v>3</v>
      </c>
      <c r="G1082" s="18" t="n">
        <v>4</v>
      </c>
      <c r="H1082" s="6" t="n">
        <f>SUM(F1082,G1082)/2</f>
        <v>3.5</v>
      </c>
    </row>
    <row r="1083" s="18" customFormat="1" ht="14.399999999999999" customHeight="1">
      <c r="A1083" s="10" t="s">
        <v>5971</v>
      </c>
      <c r="B1083" s="10" t="s">
        <v>5972</v>
      </c>
      <c r="C1083" s="10" t="n">
        <v>279</v>
      </c>
      <c r="D1083" s="10" t="n">
        <v>445</v>
      </c>
      <c r="E1083" s="6" t="n">
        <f>SUM(C1083,D1083)/2</f>
        <v>362</v>
      </c>
      <c r="F1083" s="18" t="n">
        <v>8</v>
      </c>
      <c r="G1083" s="18" t="n">
        <v>17</v>
      </c>
      <c r="H1083" s="6" t="n">
        <f>SUM(F1083,G1083)/2</f>
        <v>12.5</v>
      </c>
    </row>
    <row r="1084" s="18" customFormat="1" ht="14.399999999999999" customHeight="1">
      <c r="A1084" s="10" t="s">
        <v>4221</v>
      </c>
      <c r="B1084" s="10" t="s">
        <v>4222</v>
      </c>
      <c r="C1084" s="13" t="n">
        <v>28588</v>
      </c>
      <c r="D1084" s="13" t="n">
        <v>45666</v>
      </c>
      <c r="E1084" s="6" t="n">
        <f>SUM(C1084,D1084)/2</f>
        <v>37127</v>
      </c>
      <c r="F1084" s="12" t="n">
        <v>10560</v>
      </c>
      <c r="G1084" s="12" t="n">
        <v>13100</v>
      </c>
      <c r="H1084" s="6" t="n">
        <f>SUM(F1084,G1084)/2</f>
        <v>11830</v>
      </c>
    </row>
    <row r="1085" s="18" customFormat="1" ht="14.399999999999999" customHeight="1">
      <c r="A1085" s="10" t="s">
        <v>5973</v>
      </c>
      <c r="B1085" s="10" t="s">
        <v>5974</v>
      </c>
      <c r="C1085" s="10" t="n">
        <v>52</v>
      </c>
      <c r="D1085" s="10" t="n">
        <v>82</v>
      </c>
      <c r="E1085" s="6" t="n">
        <f>SUM(C1085,D1085)/2</f>
        <v>67</v>
      </c>
      <c r="F1085" s="18" t="n">
        <v>37</v>
      </c>
      <c r="G1085" s="18" t="n">
        <v>52</v>
      </c>
      <c r="H1085" s="6" t="n">
        <f>SUM(F1085,G1085)/2</f>
        <v>44.5</v>
      </c>
    </row>
    <row r="1086" s="18" customFormat="1" ht="14.399999999999999" customHeight="1">
      <c r="A1086" s="10" t="s">
        <v>3841</v>
      </c>
      <c r="B1086" s="10" t="s">
        <v>3842</v>
      </c>
      <c r="C1086" s="13" t="n">
        <v>26992</v>
      </c>
      <c r="D1086" s="13" t="n">
        <v>43118</v>
      </c>
      <c r="E1086" s="6" t="n">
        <f>SUM(C1086,D1086)/2</f>
        <v>35055</v>
      </c>
      <c r="F1086" s="12" t="n">
        <v>18735</v>
      </c>
      <c r="G1086" s="12" t="n">
        <v>23471</v>
      </c>
      <c r="H1086" s="6" t="n">
        <f>SUM(F1086,G1086)/2</f>
        <v>21103</v>
      </c>
    </row>
    <row r="1087" s="18" customFormat="1" ht="14.399999999999999" customHeight="1">
      <c r="A1087" s="10" t="s">
        <v>5975</v>
      </c>
      <c r="B1087" s="10" t="s">
        <v>5976</v>
      </c>
      <c r="C1087" s="13" t="n">
        <v>73209</v>
      </c>
      <c r="D1087" s="13" t="n">
        <v>116941</v>
      </c>
      <c r="E1087" s="6" t="n">
        <f>SUM(C1087,D1087)/2</f>
        <v>95075</v>
      </c>
      <c r="F1087" s="12" t="n">
        <v>6334</v>
      </c>
      <c r="G1087" s="12" t="n">
        <v>8408</v>
      </c>
      <c r="H1087" s="6" t="n">
        <f>SUM(F1087,G1087)/2</f>
        <v>7371</v>
      </c>
    </row>
    <row r="1088" s="18" customFormat="1" ht="14.399999999999999" customHeight="1">
      <c r="A1088" s="10" t="s">
        <v>1701</v>
      </c>
      <c r="B1088" s="10" t="s">
        <v>1702</v>
      </c>
      <c r="C1088" s="10" t="n">
        <v>58</v>
      </c>
      <c r="D1088" s="10" t="n">
        <v>94</v>
      </c>
      <c r="E1088" s="6" t="n">
        <f>SUM(C1088,D1088)/2</f>
        <v>76</v>
      </c>
      <c r="F1088" s="18" t="n">
        <v>8</v>
      </c>
      <c r="G1088" s="18" t="n">
        <v>28</v>
      </c>
      <c r="H1088" s="6" t="n">
        <f>SUM(F1088,G1088)/2</f>
        <v>18</v>
      </c>
    </row>
    <row r="1089" s="18" customFormat="1" ht="14.399999999999999" customHeight="1">
      <c r="A1089" s="10" t="s">
        <v>5977</v>
      </c>
      <c r="B1089" s="10" t="s">
        <v>5978</v>
      </c>
      <c r="C1089" s="13" t="n">
        <v>26252</v>
      </c>
      <c r="D1089" s="13" t="n">
        <v>41934</v>
      </c>
      <c r="E1089" s="6" t="n">
        <f>SUM(C1089,D1089)/2</f>
        <v>34093</v>
      </c>
      <c r="F1089" s="12" t="n">
        <v>21760</v>
      </c>
      <c r="G1089" s="12" t="n">
        <v>32697</v>
      </c>
      <c r="H1089" s="6" t="n">
        <f>SUM(F1089,G1089)/2</f>
        <v>27228.5</v>
      </c>
    </row>
    <row r="1090" s="18" customFormat="1" ht="14.399999999999999" customHeight="1">
      <c r="A1090" s="10" t="s">
        <v>5979</v>
      </c>
      <c r="B1090" s="10" t="s">
        <v>5980</v>
      </c>
      <c r="C1090" s="13" t="n">
        <v>86407</v>
      </c>
      <c r="D1090" s="13" t="n">
        <v>138027</v>
      </c>
      <c r="E1090" s="6" t="n">
        <f>SUM(C1090,D1090)/2</f>
        <v>112217</v>
      </c>
      <c r="F1090" s="12" t="n">
        <v>17617</v>
      </c>
      <c r="G1090" s="12" t="n">
        <v>26482</v>
      </c>
      <c r="H1090" s="6" t="n">
        <f>SUM(F1090,G1090)/2</f>
        <v>22049.5</v>
      </c>
    </row>
    <row r="1091" s="18" customFormat="1" ht="14.399999999999999" customHeight="1">
      <c r="A1091" s="10" t="s">
        <v>2368</v>
      </c>
      <c r="B1091" s="10" t="s">
        <v>2369</v>
      </c>
      <c r="C1091" s="10" t="n">
        <v>2</v>
      </c>
      <c r="D1091" s="10" t="n">
        <v>2</v>
      </c>
      <c r="E1091" s="6" t="n">
        <f>SUM(C1091,D1091)/2</f>
        <v>2</v>
      </c>
      <c r="F1091" s="18" t="n">
        <v>4</v>
      </c>
      <c r="G1091" s="18" t="n">
        <v>5</v>
      </c>
      <c r="H1091" s="6" t="n">
        <f>SUM(F1091,G1091)/2</f>
        <v>4.5</v>
      </c>
    </row>
    <row r="1092" s="18" customFormat="1" ht="14.399999999999999" customHeight="1">
      <c r="A1092" s="10" t="s">
        <v>4173</v>
      </c>
      <c r="B1092" s="10" t="s">
        <v>4174</v>
      </c>
      <c r="C1092" s="13" t="n">
        <v>31524</v>
      </c>
      <c r="D1092" s="13" t="n">
        <v>50358</v>
      </c>
      <c r="E1092" s="6" t="n">
        <f>SUM(C1092,D1092)/2</f>
        <v>40941</v>
      </c>
      <c r="F1092" s="12" t="n">
        <v>9785</v>
      </c>
      <c r="G1092" s="12" t="n">
        <v>14287</v>
      </c>
      <c r="H1092" s="6" t="n">
        <f>SUM(F1092,G1092)/2</f>
        <v>12036</v>
      </c>
    </row>
    <row r="1093" s="18" customFormat="1" ht="14.399999999999999" customHeight="1">
      <c r="A1093" s="10" t="s">
        <v>4517</v>
      </c>
      <c r="B1093" s="10" t="s">
        <v>4518</v>
      </c>
      <c r="C1093" s="13" t="n">
        <v>23514</v>
      </c>
      <c r="D1093" s="13" t="n">
        <v>37562</v>
      </c>
      <c r="E1093" s="6" t="n">
        <f>SUM(C1093,D1093)/2</f>
        <v>30538</v>
      </c>
      <c r="F1093" s="12" t="n">
        <v>7430</v>
      </c>
      <c r="G1093" s="12" t="n">
        <v>9766</v>
      </c>
      <c r="H1093" s="6" t="n">
        <f>SUM(F1093,G1093)/2</f>
        <v>8598</v>
      </c>
    </row>
    <row r="1094" s="18" customFormat="1" ht="14.399999999999999" customHeight="1">
      <c r="A1094" s="10" t="s">
        <v>4337</v>
      </c>
      <c r="B1094" s="10" t="s">
        <v>4338</v>
      </c>
      <c r="C1094" s="13" t="n">
        <v>4940</v>
      </c>
      <c r="D1094" s="13" t="n">
        <v>7894</v>
      </c>
      <c r="E1094" s="6" t="n">
        <f>SUM(C1094,D1094)/2</f>
        <v>6417</v>
      </c>
      <c r="F1094" s="12" t="n">
        <v>12791</v>
      </c>
      <c r="G1094" s="12" t="n">
        <v>20117</v>
      </c>
      <c r="H1094" s="6" t="n">
        <f>SUM(F1094,G1094)/2</f>
        <v>16454</v>
      </c>
    </row>
    <row r="1095" s="18" customFormat="1" ht="14.399999999999999" customHeight="1">
      <c r="A1095" s="10" t="s">
        <v>2889</v>
      </c>
      <c r="B1095" s="10" t="s">
        <v>2890</v>
      </c>
      <c r="C1095" s="10" t="n">
        <v>0</v>
      </c>
      <c r="D1095" s="10" t="n">
        <v>0</v>
      </c>
      <c r="E1095" s="6" t="n">
        <f>SUM(C1095,D1095)/2</f>
        <v>0</v>
      </c>
      <c r="F1095" s="18" t="n">
        <v>0</v>
      </c>
      <c r="G1095" s="18" t="n">
        <v>0</v>
      </c>
      <c r="H1095" s="6" t="n">
        <f>SUM(F1095,G1095)/2</f>
        <v>0</v>
      </c>
    </row>
    <row r="1096" s="18" customFormat="1" ht="14.399999999999999" customHeight="1">
      <c r="A1096" s="10" t="s">
        <v>1248</v>
      </c>
      <c r="B1096" s="10" t="s">
        <v>1249</v>
      </c>
      <c r="C1096" s="13" t="n">
        <v>40507</v>
      </c>
      <c r="D1096" s="13" t="n">
        <v>64707</v>
      </c>
      <c r="E1096" s="6" t="n">
        <f>SUM(C1096,D1096)/2</f>
        <v>52607</v>
      </c>
      <c r="F1096" s="12" t="n">
        <v>55019</v>
      </c>
      <c r="G1096" s="12" t="n">
        <v>91366</v>
      </c>
      <c r="H1096" s="6" t="n">
        <f>SUM(F1096,G1096)/2</f>
        <v>73192.5</v>
      </c>
    </row>
    <row r="1097" s="18" customFormat="1" ht="14.399999999999999" customHeight="1">
      <c r="A1097" s="10" t="s">
        <v>2891</v>
      </c>
      <c r="B1097" s="10" t="s">
        <v>2892</v>
      </c>
      <c r="C1097" s="10" t="n">
        <v>0</v>
      </c>
      <c r="D1097" s="10" t="n">
        <v>0</v>
      </c>
      <c r="E1097" s="6" t="n">
        <f>SUM(C1097,D1097)/2</f>
        <v>0</v>
      </c>
      <c r="F1097" s="18" t="n">
        <v>0</v>
      </c>
      <c r="G1097" s="18" t="n">
        <v>0</v>
      </c>
      <c r="H1097" s="6" t="n">
        <f>SUM(F1097,G1097)/2</f>
        <v>0</v>
      </c>
    </row>
    <row r="1098" s="18" customFormat="1" ht="14.399999999999999" customHeight="1">
      <c r="A1098" s="10" t="s">
        <v>5981</v>
      </c>
      <c r="B1098" s="10" t="s">
        <v>5982</v>
      </c>
      <c r="C1098" s="13" t="n">
        <v>31429</v>
      </c>
      <c r="D1098" s="13" t="n">
        <v>50207</v>
      </c>
      <c r="E1098" s="6" t="n">
        <f>SUM(C1098,D1098)/2</f>
        <v>40818</v>
      </c>
      <c r="F1098" s="12" t="n">
        <v>53314</v>
      </c>
      <c r="G1098" s="12" t="n">
        <v>80134</v>
      </c>
      <c r="H1098" s="6" t="n">
        <f>SUM(F1098,G1098)/2</f>
        <v>66724</v>
      </c>
    </row>
    <row r="1099" s="18" customFormat="1" ht="14.399999999999999" customHeight="1">
      <c r="A1099" s="10" t="s">
        <v>5983</v>
      </c>
      <c r="B1099" s="10" t="s">
        <v>5984</v>
      </c>
      <c r="C1099" s="13" t="n">
        <v>10239</v>
      </c>
      <c r="D1099" s="13" t="n">
        <v>16354</v>
      </c>
      <c r="E1099" s="6" t="n">
        <f>SUM(C1099,D1099)/2</f>
        <v>13296.5</v>
      </c>
      <c r="F1099" s="12" t="n">
        <v>7717</v>
      </c>
      <c r="G1099" s="12" t="n">
        <v>9663</v>
      </c>
      <c r="H1099" s="6" t="n">
        <f>SUM(F1099,G1099)/2</f>
        <v>8690</v>
      </c>
    </row>
    <row r="1100" s="18" customFormat="1" ht="14.399999999999999" customHeight="1">
      <c r="A1100" s="10" t="s">
        <v>5191</v>
      </c>
      <c r="B1100" s="10" t="s">
        <v>5192</v>
      </c>
      <c r="C1100" s="13" t="n">
        <v>5576</v>
      </c>
      <c r="D1100" s="13" t="n">
        <v>8908</v>
      </c>
      <c r="E1100" s="6" t="n">
        <f>SUM(C1100,D1100)/2</f>
        <v>7242</v>
      </c>
      <c r="F1100" s="12" t="n">
        <v>4080</v>
      </c>
      <c r="G1100" s="12" t="n">
        <v>5456</v>
      </c>
      <c r="H1100" s="6" t="n">
        <f>SUM(F1100,G1100)/2</f>
        <v>4768</v>
      </c>
    </row>
    <row r="1101" s="18" customFormat="1" ht="14.399999999999999" customHeight="1">
      <c r="A1101" s="10" t="s">
        <v>2091</v>
      </c>
      <c r="B1101" s="10" t="s">
        <v>2092</v>
      </c>
      <c r="C1101" s="10" t="n">
        <v>0</v>
      </c>
      <c r="D1101" s="10" t="n">
        <v>0</v>
      </c>
      <c r="E1101" s="6" t="n">
        <f>SUM(C1101,D1101)/2</f>
        <v>0</v>
      </c>
      <c r="F1101" s="18" t="n">
        <v>8</v>
      </c>
      <c r="G1101" s="18" t="n">
        <v>11</v>
      </c>
      <c r="H1101" s="6" t="n">
        <f>SUM(F1101,G1101)/2</f>
        <v>9.5</v>
      </c>
    </row>
    <row r="1102" s="18" customFormat="1" ht="14.399999999999999" customHeight="1">
      <c r="A1102" s="10" t="s">
        <v>1883</v>
      </c>
      <c r="B1102" s="10" t="s">
        <v>1884</v>
      </c>
      <c r="C1102" s="10" t="n">
        <v>51</v>
      </c>
      <c r="D1102" s="10" t="n">
        <v>83</v>
      </c>
      <c r="E1102" s="6" t="n">
        <f>SUM(C1102,D1102)/2</f>
        <v>67</v>
      </c>
      <c r="F1102" s="18" t="n">
        <v>2</v>
      </c>
      <c r="G1102" s="18" t="n">
        <v>6</v>
      </c>
      <c r="H1102" s="6" t="n">
        <f>SUM(F1102,G1102)/2</f>
        <v>4</v>
      </c>
    </row>
    <row r="1103" s="18" customFormat="1" ht="14.399999999999999" customHeight="1">
      <c r="A1103" s="10" t="s">
        <v>5985</v>
      </c>
      <c r="B1103" s="10" t="s">
        <v>5986</v>
      </c>
      <c r="C1103" s="10" t="n">
        <v>3</v>
      </c>
      <c r="D1103" s="10" t="n">
        <v>3</v>
      </c>
      <c r="E1103" s="6" t="n">
        <f>SUM(C1103,D1103)/2</f>
        <v>3</v>
      </c>
      <c r="F1103" s="18" t="n">
        <v>0</v>
      </c>
      <c r="G1103" s="18" t="n">
        <v>0</v>
      </c>
      <c r="H1103" s="6" t="n">
        <f>SUM(F1103,G1103)/2</f>
        <v>0</v>
      </c>
    </row>
    <row r="1104" s="18" customFormat="1" ht="14.399999999999999" customHeight="1">
      <c r="A1104" s="10" t="s">
        <v>2893</v>
      </c>
      <c r="B1104" s="10" t="s">
        <v>2894</v>
      </c>
      <c r="C1104" s="10" t="n">
        <v>0</v>
      </c>
      <c r="D1104" s="10" t="n">
        <v>0</v>
      </c>
      <c r="E1104" s="6" t="n">
        <f>SUM(C1104,D1104)/2</f>
        <v>0</v>
      </c>
      <c r="F1104" s="18" t="n">
        <v>0</v>
      </c>
      <c r="G1104" s="18" t="n">
        <v>0</v>
      </c>
      <c r="H1104" s="6" t="n">
        <f>SUM(F1104,G1104)/2</f>
        <v>0</v>
      </c>
    </row>
    <row r="1105" s="18" customFormat="1" ht="14.399999999999999" customHeight="1">
      <c r="A1105" s="10" t="s">
        <v>871</v>
      </c>
      <c r="B1105" s="10" t="s">
        <v>872</v>
      </c>
      <c r="C1105" s="13" t="n">
        <v>1125253</v>
      </c>
      <c r="D1105" s="13" t="n">
        <v>1797486</v>
      </c>
      <c r="E1105" s="6" t="n">
        <f>SUM(C1105,D1105)/2</f>
        <v>1461369.5</v>
      </c>
      <c r="F1105" s="12" t="n">
        <v>97120</v>
      </c>
      <c r="G1105" s="12" t="n">
        <v>135519</v>
      </c>
      <c r="H1105" s="6" t="n">
        <f>SUM(F1105,G1105)/2</f>
        <v>116319.5</v>
      </c>
    </row>
    <row r="1106" s="18" customFormat="1" ht="14.399999999999999" customHeight="1">
      <c r="A1106" s="10" t="s">
        <v>2895</v>
      </c>
      <c r="B1106" s="10" t="s">
        <v>2896</v>
      </c>
      <c r="C1106" s="10" t="n">
        <v>0</v>
      </c>
      <c r="D1106" s="10" t="n">
        <v>0</v>
      </c>
      <c r="E1106" s="6" t="n">
        <f>SUM(C1106,D1106)/2</f>
        <v>0</v>
      </c>
      <c r="F1106" s="18" t="n">
        <v>0</v>
      </c>
      <c r="G1106" s="18" t="n">
        <v>0</v>
      </c>
      <c r="H1106" s="6" t="n">
        <f>SUM(F1106,G1106)/2</f>
        <v>0</v>
      </c>
    </row>
    <row r="1107" s="18" customFormat="1" ht="14.399999999999999" customHeight="1">
      <c r="A1107" s="10" t="s">
        <v>5987</v>
      </c>
      <c r="B1107" s="10" t="s">
        <v>5988</v>
      </c>
      <c r="C1107" s="13" t="n">
        <v>15662</v>
      </c>
      <c r="D1107" s="13" t="n">
        <v>25018</v>
      </c>
      <c r="E1107" s="6" t="n">
        <f>SUM(C1107,D1107)/2</f>
        <v>20340</v>
      </c>
      <c r="F1107" s="12" t="n">
        <v>5936</v>
      </c>
      <c r="G1107" s="12" t="n">
        <v>9503</v>
      </c>
      <c r="H1107" s="6" t="n">
        <f>SUM(F1107,G1107)/2</f>
        <v>7719.5</v>
      </c>
    </row>
    <row r="1108" s="18" customFormat="1" ht="14.399999999999999" customHeight="1">
      <c r="A1108" s="10" t="s">
        <v>3953</v>
      </c>
      <c r="B1108" s="10" t="s">
        <v>3954</v>
      </c>
      <c r="C1108" s="13" t="n">
        <v>24328</v>
      </c>
      <c r="D1108" s="13" t="n">
        <v>38864</v>
      </c>
      <c r="E1108" s="6" t="n">
        <f>SUM(C1108,D1108)/2</f>
        <v>31596</v>
      </c>
      <c r="F1108" s="12" t="n">
        <v>14906</v>
      </c>
      <c r="G1108" s="12" t="n">
        <v>23175</v>
      </c>
      <c r="H1108" s="6" t="n">
        <f>SUM(F1108,G1108)/2</f>
        <v>19040.5</v>
      </c>
    </row>
    <row r="1109" s="18" customFormat="1" ht="14.399999999999999" customHeight="1">
      <c r="A1109" s="10" t="s">
        <v>5183</v>
      </c>
      <c r="B1109" s="10" t="s">
        <v>5184</v>
      </c>
      <c r="C1109" s="13" t="n">
        <v>2901</v>
      </c>
      <c r="D1109" s="13" t="n">
        <v>4633</v>
      </c>
      <c r="E1109" s="6" t="n">
        <f>SUM(C1109,D1109)/2</f>
        <v>3767</v>
      </c>
      <c r="F1109" s="12" t="n">
        <v>4766</v>
      </c>
      <c r="G1109" s="12" t="n">
        <v>6870</v>
      </c>
      <c r="H1109" s="6" t="n">
        <f>SUM(F1109,G1109)/2</f>
        <v>5818</v>
      </c>
    </row>
    <row r="1110" s="18" customFormat="1" ht="14.399999999999999" customHeight="1">
      <c r="A1110" s="10" t="s">
        <v>3293</v>
      </c>
      <c r="B1110" s="10" t="s">
        <v>3294</v>
      </c>
      <c r="C1110" s="13" t="n">
        <v>98476</v>
      </c>
      <c r="D1110" s="13" t="n">
        <v>157306</v>
      </c>
      <c r="E1110" s="6" t="n">
        <f>SUM(C1110,D1110)/2</f>
        <v>127891</v>
      </c>
      <c r="F1110" s="12" t="n">
        <v>21914</v>
      </c>
      <c r="G1110" s="12" t="n">
        <v>31563</v>
      </c>
      <c r="H1110" s="6" t="n">
        <f>SUM(F1110,G1110)/2</f>
        <v>26738.5</v>
      </c>
    </row>
    <row r="1111" s="18" customFormat="1" ht="14.399999999999999" customHeight="1">
      <c r="A1111" s="10" t="s">
        <v>5989</v>
      </c>
      <c r="B1111" s="10" t="s">
        <v>5990</v>
      </c>
      <c r="C1111" s="13" t="n">
        <v>13529</v>
      </c>
      <c r="D1111" s="13" t="n">
        <v>21611</v>
      </c>
      <c r="E1111" s="6" t="n">
        <f>SUM(C1111,D1111)/2</f>
        <v>17570</v>
      </c>
      <c r="F1111" s="12" t="n">
        <v>5009</v>
      </c>
      <c r="G1111" s="12" t="n">
        <v>7608</v>
      </c>
      <c r="H1111" s="6" t="n">
        <f>SUM(F1111,G1111)/2</f>
        <v>6308.5</v>
      </c>
    </row>
    <row r="1112" s="18" customFormat="1" ht="14.399999999999999" customHeight="1">
      <c r="A1112" s="10" t="s">
        <v>4461</v>
      </c>
      <c r="B1112" s="10" t="s">
        <v>4462</v>
      </c>
      <c r="C1112" s="13" t="n">
        <v>22813</v>
      </c>
      <c r="D1112" s="13" t="n">
        <v>36441</v>
      </c>
      <c r="E1112" s="6" t="n">
        <f>SUM(C1112,D1112)/2</f>
        <v>29627</v>
      </c>
      <c r="F1112" s="12" t="n">
        <v>7883</v>
      </c>
      <c r="G1112" s="12" t="n">
        <v>11266</v>
      </c>
      <c r="H1112" s="6" t="n">
        <f>SUM(F1112,G1112)/2</f>
        <v>9574.5</v>
      </c>
    </row>
    <row r="1113" s="18" customFormat="1" ht="14.399999999999999" customHeight="1">
      <c r="A1113" s="10" t="s">
        <v>3883</v>
      </c>
      <c r="B1113" s="10" t="s">
        <v>3884</v>
      </c>
      <c r="C1113" s="13" t="n">
        <v>29353</v>
      </c>
      <c r="D1113" s="13" t="n">
        <v>46889</v>
      </c>
      <c r="E1113" s="6" t="n">
        <f>SUM(C1113,D1113)/2</f>
        <v>38121</v>
      </c>
      <c r="F1113" s="12" t="n">
        <v>16716</v>
      </c>
      <c r="G1113" s="12" t="n">
        <v>22071</v>
      </c>
      <c r="H1113" s="6" t="n">
        <f>SUM(F1113,G1113)/2</f>
        <v>19393.5</v>
      </c>
    </row>
    <row r="1114" s="18" customFormat="1" ht="14.399999999999999" customHeight="1">
      <c r="A1114" s="10" t="s">
        <v>5139</v>
      </c>
      <c r="B1114" s="10" t="s">
        <v>5140</v>
      </c>
      <c r="C1114" s="13" t="n">
        <v>9689</v>
      </c>
      <c r="D1114" s="13" t="n">
        <v>15475</v>
      </c>
      <c r="E1114" s="6" t="n">
        <f>SUM(C1114,D1114)/2</f>
        <v>12582</v>
      </c>
      <c r="F1114" s="12" t="n">
        <v>4107</v>
      </c>
      <c r="G1114" s="12" t="n">
        <v>5647</v>
      </c>
      <c r="H1114" s="6" t="n">
        <f>SUM(F1114,G1114)/2</f>
        <v>4877</v>
      </c>
    </row>
    <row r="1115" s="18" customFormat="1" ht="14.399999999999999" customHeight="1">
      <c r="A1115" s="10" t="s">
        <v>5468</v>
      </c>
      <c r="B1115" s="10" t="s">
        <v>5469</v>
      </c>
      <c r="C1115" s="13" t="n">
        <v>183529</v>
      </c>
      <c r="D1115" s="13" t="n">
        <v>293171</v>
      </c>
      <c r="E1115" s="6" t="n">
        <f>SUM(C1115,D1115)/2</f>
        <v>238350</v>
      </c>
      <c r="F1115" s="12" t="n">
        <v>34230</v>
      </c>
      <c r="G1115" s="12" t="n">
        <v>48218</v>
      </c>
      <c r="H1115" s="6" t="n">
        <f>SUM(F1115,G1115)/2</f>
        <v>41224</v>
      </c>
    </row>
    <row r="1116" s="18" customFormat="1" ht="14.399999999999999" customHeight="1">
      <c r="A1116" s="10" t="s">
        <v>4251</v>
      </c>
      <c r="B1116" s="10" t="s">
        <v>4252</v>
      </c>
      <c r="C1116" s="13" t="n">
        <v>26535</v>
      </c>
      <c r="D1116" s="13" t="n">
        <v>42391</v>
      </c>
      <c r="E1116" s="6" t="n">
        <f>SUM(C1116,D1116)/2</f>
        <v>34463</v>
      </c>
      <c r="F1116" s="12" t="n">
        <v>9498</v>
      </c>
      <c r="G1116" s="12" t="n">
        <v>14466</v>
      </c>
      <c r="H1116" s="6" t="n">
        <f>SUM(F1116,G1116)/2</f>
        <v>11982</v>
      </c>
    </row>
    <row r="1117" s="18" customFormat="1" ht="14.399999999999999" customHeight="1">
      <c r="A1117" s="10" t="s">
        <v>1801</v>
      </c>
      <c r="B1117" s="10" t="s">
        <v>1802</v>
      </c>
      <c r="C1117" s="10" t="n">
        <v>14</v>
      </c>
      <c r="D1117" s="10" t="n">
        <v>22</v>
      </c>
      <c r="E1117" s="6" t="n">
        <f>SUM(C1117,D1117)/2</f>
        <v>18</v>
      </c>
      <c r="F1117" s="18" t="n">
        <v>16</v>
      </c>
      <c r="G1117" s="18" t="n">
        <v>20</v>
      </c>
      <c r="H1117" s="6" t="n">
        <f>SUM(F1117,G1117)/2</f>
        <v>18</v>
      </c>
    </row>
    <row r="1118" s="18" customFormat="1" ht="14.399999999999999" customHeight="1">
      <c r="A1118" s="10" t="s">
        <v>3581</v>
      </c>
      <c r="B1118" s="10" t="s">
        <v>3582</v>
      </c>
      <c r="C1118" s="13" t="n">
        <v>68359</v>
      </c>
      <c r="D1118" s="13" t="n">
        <v>109195</v>
      </c>
      <c r="E1118" s="6" t="n">
        <f>SUM(C1118,D1118)/2</f>
        <v>88777</v>
      </c>
      <c r="F1118" s="12" t="n">
        <v>16742</v>
      </c>
      <c r="G1118" s="12" t="n">
        <v>22650</v>
      </c>
      <c r="H1118" s="6" t="n">
        <f>SUM(F1118,G1118)/2</f>
        <v>19696</v>
      </c>
    </row>
    <row r="1119" s="18" customFormat="1" ht="14.399999999999999" customHeight="1">
      <c r="A1119" s="10" t="s">
        <v>4553</v>
      </c>
      <c r="B1119" s="10" t="s">
        <v>4554</v>
      </c>
      <c r="C1119" s="13" t="n">
        <v>15908</v>
      </c>
      <c r="D1119" s="13" t="n">
        <v>25412</v>
      </c>
      <c r="E1119" s="6" t="n">
        <f>SUM(C1119,D1119)/2</f>
        <v>20660</v>
      </c>
      <c r="F1119" s="12" t="n">
        <v>9061</v>
      </c>
      <c r="G1119" s="12" t="n">
        <v>11403</v>
      </c>
      <c r="H1119" s="6" t="n">
        <f>SUM(F1119,G1119)/2</f>
        <v>10232</v>
      </c>
    </row>
    <row r="1120" s="18" customFormat="1" ht="14.399999999999999" customHeight="1">
      <c r="A1120" s="10" t="s">
        <v>4551</v>
      </c>
      <c r="B1120" s="10" t="s">
        <v>4552</v>
      </c>
      <c r="C1120" s="13" t="n">
        <v>25873</v>
      </c>
      <c r="D1120" s="13" t="n">
        <v>41329</v>
      </c>
      <c r="E1120" s="6" t="n">
        <f>SUM(C1120,D1120)/2</f>
        <v>33601</v>
      </c>
      <c r="F1120" s="12" t="n">
        <v>6100</v>
      </c>
      <c r="G1120" s="12" t="n">
        <v>8874</v>
      </c>
      <c r="H1120" s="6" t="n">
        <f>SUM(F1120,G1120)/2</f>
        <v>7487</v>
      </c>
    </row>
    <row r="1121" s="18" customFormat="1" ht="14.399999999999999" customHeight="1">
      <c r="A1121" s="10" t="s">
        <v>4089</v>
      </c>
      <c r="B1121" s="10" t="s">
        <v>4090</v>
      </c>
      <c r="C1121" s="13" t="n">
        <v>15422</v>
      </c>
      <c r="D1121" s="13" t="n">
        <v>24636</v>
      </c>
      <c r="E1121" s="6" t="n">
        <f>SUM(C1121,D1121)/2</f>
        <v>20029</v>
      </c>
      <c r="F1121" s="12" t="n">
        <v>13892</v>
      </c>
      <c r="G1121" s="12" t="n">
        <v>22539</v>
      </c>
      <c r="H1121" s="6" t="n">
        <f>SUM(F1121,G1121)/2</f>
        <v>18215.5</v>
      </c>
    </row>
    <row r="1122" s="18" customFormat="1" ht="14.399999999999999" customHeight="1">
      <c r="A1122" s="10" t="s">
        <v>5209</v>
      </c>
      <c r="B1122" s="10" t="s">
        <v>5210</v>
      </c>
      <c r="C1122" s="13" t="n">
        <v>2165</v>
      </c>
      <c r="D1122" s="13" t="n">
        <v>3461</v>
      </c>
      <c r="E1122" s="6" t="n">
        <f>SUM(C1122,D1122)/2</f>
        <v>2813</v>
      </c>
      <c r="F1122" s="12" t="n">
        <v>3570</v>
      </c>
      <c r="G1122" s="12" t="n">
        <v>5229</v>
      </c>
      <c r="H1122" s="6" t="n">
        <f>SUM(F1122,G1122)/2</f>
        <v>4399.5</v>
      </c>
    </row>
    <row r="1123" s="18" customFormat="1" ht="14.399999999999999" customHeight="1">
      <c r="A1123" s="10" t="s">
        <v>5991</v>
      </c>
      <c r="B1123" s="10" t="s">
        <v>5992</v>
      </c>
      <c r="C1123" s="13" t="n">
        <v>1444</v>
      </c>
      <c r="D1123" s="13" t="n">
        <v>2306</v>
      </c>
      <c r="E1123" s="6" t="n">
        <f>SUM(C1123,D1123)/2</f>
        <v>1875</v>
      </c>
      <c r="F1123" s="12" t="n">
        <v>5681</v>
      </c>
      <c r="G1123" s="12" t="n">
        <v>8429</v>
      </c>
      <c r="H1123" s="6" t="n">
        <f>SUM(F1123,G1123)/2</f>
        <v>7055</v>
      </c>
    </row>
    <row r="1124" s="18" customFormat="1" ht="14.399999999999999" customHeight="1">
      <c r="A1124" s="10" t="s">
        <v>2530</v>
      </c>
      <c r="B1124" s="10" t="s">
        <v>2531</v>
      </c>
      <c r="C1124" s="10" t="n">
        <v>11</v>
      </c>
      <c r="D1124" s="10" t="n">
        <v>15</v>
      </c>
      <c r="E1124" s="6" t="n">
        <f>SUM(C1124,D1124)/2</f>
        <v>13</v>
      </c>
      <c r="F1124" s="18" t="n">
        <v>0</v>
      </c>
      <c r="G1124" s="18" t="n">
        <v>0</v>
      </c>
      <c r="H1124" s="6" t="n">
        <f>SUM(F1124,G1124)/2</f>
        <v>0</v>
      </c>
    </row>
    <row r="1125" s="18" customFormat="1" ht="14.399999999999999" customHeight="1">
      <c r="A1125" s="10" t="s">
        <v>674</v>
      </c>
      <c r="B1125" s="10" t="s">
        <v>675</v>
      </c>
      <c r="C1125" s="10" t="n">
        <v>385</v>
      </c>
      <c r="D1125" s="10" t="n">
        <v>615</v>
      </c>
      <c r="E1125" s="6" t="n">
        <f>SUM(C1125,D1125)/2</f>
        <v>500</v>
      </c>
      <c r="F1125" s="18" t="n">
        <v>22</v>
      </c>
      <c r="G1125" s="18" t="n">
        <v>32</v>
      </c>
      <c r="H1125" s="6" t="n">
        <f>SUM(F1125,G1125)/2</f>
        <v>27</v>
      </c>
    </row>
    <row r="1126" s="18" customFormat="1" ht="14.399999999999999" customHeight="1">
      <c r="A1126" s="10" t="s">
        <v>1055</v>
      </c>
      <c r="B1126" s="10" t="s">
        <v>1056</v>
      </c>
      <c r="C1126" s="13" t="n">
        <v>540385</v>
      </c>
      <c r="D1126" s="13" t="n">
        <v>863209</v>
      </c>
      <c r="E1126" s="6" t="n">
        <f>SUM(C1126,D1126)/2</f>
        <v>701797</v>
      </c>
      <c r="F1126" s="12" t="n">
        <v>68576</v>
      </c>
      <c r="G1126" s="12" t="n">
        <v>100678</v>
      </c>
      <c r="H1126" s="6" t="n">
        <f>SUM(F1126,G1126)/2</f>
        <v>84627</v>
      </c>
    </row>
    <row r="1127" s="18" customFormat="1" ht="14.399999999999999" customHeight="1">
      <c r="A1127" s="10" t="s">
        <v>3179</v>
      </c>
      <c r="B1127" s="10" t="s">
        <v>3180</v>
      </c>
      <c r="C1127" s="13" t="n">
        <v>147437</v>
      </c>
      <c r="D1127" s="13" t="n">
        <v>235515</v>
      </c>
      <c r="E1127" s="6" t="n">
        <f>SUM(C1127,D1127)/2</f>
        <v>191476</v>
      </c>
      <c r="F1127" s="12" t="n">
        <v>12083</v>
      </c>
      <c r="G1127" s="12" t="n">
        <v>30175</v>
      </c>
      <c r="H1127" s="6" t="n">
        <f>SUM(F1127,G1127)/2</f>
        <v>21129</v>
      </c>
    </row>
    <row r="1128" s="18" customFormat="1" ht="14.399999999999999" customHeight="1">
      <c r="A1128" s="10" t="s">
        <v>1272</v>
      </c>
      <c r="B1128" s="10" t="s">
        <v>1273</v>
      </c>
      <c r="C1128" s="13" t="n">
        <v>184763</v>
      </c>
      <c r="D1128" s="13" t="n">
        <v>295141</v>
      </c>
      <c r="E1128" s="6" t="n">
        <f>SUM(C1128,D1128)/2</f>
        <v>239952</v>
      </c>
      <c r="F1128" s="12" t="n">
        <v>21135</v>
      </c>
      <c r="G1128" s="12" t="n">
        <v>30367</v>
      </c>
      <c r="H1128" s="6" t="n">
        <f>SUM(F1128,G1128)/2</f>
        <v>25751</v>
      </c>
    </row>
    <row r="1129" s="18" customFormat="1" ht="14.399999999999999" customHeight="1">
      <c r="A1129" s="10" t="s">
        <v>4995</v>
      </c>
      <c r="B1129" s="10" t="s">
        <v>4996</v>
      </c>
      <c r="C1129" s="13" t="n">
        <v>16548</v>
      </c>
      <c r="D1129" s="13" t="n">
        <v>26432</v>
      </c>
      <c r="E1129" s="6" t="n">
        <f>SUM(C1129,D1129)/2</f>
        <v>21490</v>
      </c>
      <c r="F1129" s="12" t="n">
        <v>4454</v>
      </c>
      <c r="G1129" s="12" t="n">
        <v>5902</v>
      </c>
      <c r="H1129" s="6" t="n">
        <f>SUM(F1129,G1129)/2</f>
        <v>5178</v>
      </c>
    </row>
    <row r="1130" s="18" customFormat="1" ht="14.399999999999999" customHeight="1">
      <c r="A1130" s="10" t="s">
        <v>5993</v>
      </c>
      <c r="B1130" s="10" t="s">
        <v>5994</v>
      </c>
      <c r="C1130" s="13" t="n">
        <v>101896</v>
      </c>
      <c r="D1130" s="13" t="n">
        <v>162768</v>
      </c>
      <c r="E1130" s="6" t="n">
        <f>SUM(C1130,D1130)/2</f>
        <v>132332</v>
      </c>
      <c r="F1130" s="12" t="n">
        <v>126853</v>
      </c>
      <c r="G1130" s="12" t="n">
        <v>184078</v>
      </c>
      <c r="H1130" s="6" t="n">
        <f>SUM(F1130,G1130)/2</f>
        <v>155465.5</v>
      </c>
    </row>
    <row r="1131" s="18" customFormat="1" ht="14.399999999999999" customHeight="1">
      <c r="A1131" s="10" t="s">
        <v>3553</v>
      </c>
      <c r="B1131" s="10" t="s">
        <v>3554</v>
      </c>
      <c r="C1131" s="13" t="n">
        <v>108991</v>
      </c>
      <c r="D1131" s="13" t="n">
        <v>174101</v>
      </c>
      <c r="E1131" s="6" t="n">
        <f>SUM(C1131,D1131)/2</f>
        <v>141546</v>
      </c>
      <c r="F1131" s="12" t="n">
        <v>5950</v>
      </c>
      <c r="G1131" s="12" t="n">
        <v>15144</v>
      </c>
      <c r="H1131" s="6" t="n">
        <f>SUM(F1131,G1131)/2</f>
        <v>10547</v>
      </c>
    </row>
    <row r="1132" s="18" customFormat="1" ht="14.399999999999999" customHeight="1">
      <c r="A1132" s="10" t="s">
        <v>808</v>
      </c>
      <c r="B1132" s="10" t="s">
        <v>809</v>
      </c>
      <c r="C1132" s="13" t="n">
        <v>520848</v>
      </c>
      <c r="D1132" s="13" t="n">
        <v>832006</v>
      </c>
      <c r="E1132" s="6" t="n">
        <f>SUM(C1132,D1132)/2</f>
        <v>676427</v>
      </c>
      <c r="F1132" s="12" t="n">
        <v>369795</v>
      </c>
      <c r="G1132" s="12" t="n">
        <v>546740</v>
      </c>
      <c r="H1132" s="6" t="n">
        <f>SUM(F1132,G1132)/2</f>
        <v>458267.5</v>
      </c>
    </row>
    <row r="1133" s="18" customFormat="1" ht="14.399999999999999" customHeight="1">
      <c r="A1133" s="10" t="s">
        <v>5995</v>
      </c>
      <c r="B1133" s="10" t="s">
        <v>5996</v>
      </c>
      <c r="C1133" s="10" t="n">
        <v>33</v>
      </c>
      <c r="D1133" s="10" t="n">
        <v>55</v>
      </c>
      <c r="E1133" s="6" t="n">
        <f>SUM(C1133,D1133)/2</f>
        <v>44</v>
      </c>
      <c r="F1133" s="18" t="n">
        <v>126</v>
      </c>
      <c r="G1133" s="18" t="n">
        <v>140</v>
      </c>
      <c r="H1133" s="6" t="n">
        <f>SUM(F1133,G1133)/2</f>
        <v>133</v>
      </c>
    </row>
    <row r="1134" s="18" customFormat="1" ht="14.399999999999999" customHeight="1">
      <c r="A1134" s="10" t="s">
        <v>929</v>
      </c>
      <c r="B1134" s="10" t="s">
        <v>930</v>
      </c>
      <c r="C1134" s="13" t="n">
        <v>476339</v>
      </c>
      <c r="D1134" s="13" t="n">
        <v>760907</v>
      </c>
      <c r="E1134" s="6" t="n">
        <f>SUM(C1134,D1134)/2</f>
        <v>618623</v>
      </c>
      <c r="F1134" s="12" t="n">
        <v>161463</v>
      </c>
      <c r="G1134" s="12" t="n">
        <v>239131</v>
      </c>
      <c r="H1134" s="6" t="n">
        <f>SUM(F1134,G1134)/2</f>
        <v>200297</v>
      </c>
    </row>
    <row r="1135" s="18" customFormat="1" ht="14.399999999999999" customHeight="1">
      <c r="A1135" s="10" t="s">
        <v>905</v>
      </c>
      <c r="B1135" s="10" t="s">
        <v>906</v>
      </c>
      <c r="C1135" s="13" t="n">
        <v>659045</v>
      </c>
      <c r="D1135" s="13" t="n">
        <v>1052763</v>
      </c>
      <c r="E1135" s="6" t="n">
        <f>SUM(C1135,D1135)/2</f>
        <v>855904</v>
      </c>
      <c r="F1135" s="12" t="n">
        <v>161946</v>
      </c>
      <c r="G1135" s="12" t="n">
        <v>217036</v>
      </c>
      <c r="H1135" s="6" t="n">
        <f>SUM(F1135,G1135)/2</f>
        <v>189491</v>
      </c>
    </row>
    <row r="1136" s="18" customFormat="1" ht="14.399999999999999" customHeight="1">
      <c r="A1136" s="10" t="s">
        <v>2388</v>
      </c>
      <c r="B1136" s="10" t="s">
        <v>2389</v>
      </c>
      <c r="C1136" s="13" t="n">
        <v>154665</v>
      </c>
      <c r="D1136" s="13" t="n">
        <v>247065</v>
      </c>
      <c r="E1136" s="6" t="n">
        <f>SUM(C1136,D1136)/2</f>
        <v>200865</v>
      </c>
      <c r="F1136" s="12" t="n">
        <v>29956</v>
      </c>
      <c r="G1136" s="12" t="n">
        <v>40401</v>
      </c>
      <c r="H1136" s="6" t="n">
        <f>SUM(F1136,G1136)/2</f>
        <v>35178.5</v>
      </c>
    </row>
    <row r="1137" s="18" customFormat="1" ht="14.399999999999999" customHeight="1">
      <c r="A1137" s="10" t="s">
        <v>2406</v>
      </c>
      <c r="B1137" s="10" t="s">
        <v>2407</v>
      </c>
      <c r="C1137" s="10" t="n">
        <v>0</v>
      </c>
      <c r="D1137" s="10" t="n">
        <v>0</v>
      </c>
      <c r="E1137" s="6" t="n">
        <f>SUM(C1137,D1137)/2</f>
        <v>0</v>
      </c>
      <c r="F1137" s="18" t="n">
        <v>4</v>
      </c>
      <c r="G1137" s="18" t="n">
        <v>5</v>
      </c>
      <c r="H1137" s="6" t="n">
        <f>SUM(F1137,G1137)/2</f>
        <v>4.5</v>
      </c>
    </row>
    <row r="1138" s="18" customFormat="1" ht="14.399999999999999" customHeight="1">
      <c r="A1138" s="10" t="s">
        <v>2534</v>
      </c>
      <c r="B1138" s="10" t="s">
        <v>2535</v>
      </c>
      <c r="C1138" s="10" t="n">
        <v>6</v>
      </c>
      <c r="D1138" s="10" t="n">
        <v>10</v>
      </c>
      <c r="E1138" s="6" t="n">
        <f>SUM(C1138,D1138)/2</f>
        <v>8</v>
      </c>
      <c r="F1138" s="18" t="n">
        <v>1</v>
      </c>
      <c r="G1138" s="18" t="n">
        <v>1</v>
      </c>
      <c r="H1138" s="6" t="n">
        <f>SUM(F1138,G1138)/2</f>
        <v>1</v>
      </c>
    </row>
    <row r="1139" s="18" customFormat="1" ht="14.399999999999999" customHeight="1">
      <c r="A1139" s="10" t="s">
        <v>3247</v>
      </c>
      <c r="B1139" s="10" t="s">
        <v>3248</v>
      </c>
      <c r="C1139" s="13" t="n">
        <v>122795</v>
      </c>
      <c r="D1139" s="13" t="n">
        <v>196153</v>
      </c>
      <c r="E1139" s="6" t="n">
        <f>SUM(C1139,D1139)/2</f>
        <v>159474</v>
      </c>
      <c r="F1139" s="12" t="n">
        <v>18196</v>
      </c>
      <c r="G1139" s="12" t="n">
        <v>29039</v>
      </c>
      <c r="H1139" s="6" t="n">
        <f>SUM(F1139,G1139)/2</f>
        <v>23617.5</v>
      </c>
    </row>
    <row r="1140" s="18" customFormat="1" ht="14.399999999999999" customHeight="1">
      <c r="A1140" s="10" t="s">
        <v>3071</v>
      </c>
      <c r="B1140" s="10" t="s">
        <v>3072</v>
      </c>
      <c r="C1140" s="13" t="n">
        <v>191314</v>
      </c>
      <c r="D1140" s="13" t="n">
        <v>305606</v>
      </c>
      <c r="E1140" s="6" t="n">
        <f>SUM(C1140,D1140)/2</f>
        <v>248460</v>
      </c>
      <c r="F1140" s="12" t="n">
        <v>6658</v>
      </c>
      <c r="G1140" s="12" t="n">
        <v>25004</v>
      </c>
      <c r="H1140" s="6" t="n">
        <f>SUM(F1140,G1140)/2</f>
        <v>15831</v>
      </c>
    </row>
    <row r="1141" s="18" customFormat="1" ht="14.399999999999999" customHeight="1">
      <c r="A1141" s="10" t="s">
        <v>2408</v>
      </c>
      <c r="B1141" s="10" t="s">
        <v>2409</v>
      </c>
      <c r="C1141" s="10" t="n">
        <v>0</v>
      </c>
      <c r="D1141" s="10" t="n">
        <v>0</v>
      </c>
      <c r="E1141" s="6" t="n">
        <f>SUM(C1141,D1141)/2</f>
        <v>0</v>
      </c>
      <c r="F1141" s="18" t="n">
        <v>4</v>
      </c>
      <c r="G1141" s="18" t="n">
        <v>5</v>
      </c>
      <c r="H1141" s="6" t="n">
        <f>SUM(F1141,G1141)/2</f>
        <v>4.5</v>
      </c>
    </row>
    <row r="1142" s="18" customFormat="1" ht="14.399999999999999" customHeight="1">
      <c r="A1142" s="10" t="s">
        <v>5147</v>
      </c>
      <c r="B1142" s="10" t="s">
        <v>5148</v>
      </c>
      <c r="C1142" s="13" t="n">
        <v>4474</v>
      </c>
      <c r="D1142" s="13" t="n">
        <v>7150</v>
      </c>
      <c r="E1142" s="6" t="n">
        <f>SUM(C1142,D1142)/2</f>
        <v>5812</v>
      </c>
      <c r="F1142" s="12" t="n">
        <v>4901</v>
      </c>
      <c r="G1142" s="12" t="n">
        <v>7042</v>
      </c>
      <c r="H1142" s="6" t="n">
        <f>SUM(F1142,G1142)/2</f>
        <v>5971.5</v>
      </c>
    </row>
    <row r="1143" s="18" customFormat="1" ht="14.399999999999999" customHeight="1">
      <c r="A1143" s="10" t="s">
        <v>5997</v>
      </c>
      <c r="B1143" s="10" t="s">
        <v>5998</v>
      </c>
      <c r="C1143" s="10" t="n">
        <v>90</v>
      </c>
      <c r="D1143" s="10" t="n">
        <v>146</v>
      </c>
      <c r="E1143" s="6" t="n">
        <f>SUM(C1143,D1143)/2</f>
        <v>118</v>
      </c>
      <c r="F1143" s="18" t="n">
        <v>90</v>
      </c>
      <c r="G1143" s="18" t="n">
        <v>123</v>
      </c>
      <c r="H1143" s="6" t="n">
        <f>SUM(F1143,G1143)/2</f>
        <v>106.5</v>
      </c>
    </row>
    <row r="1144" s="18" customFormat="1" ht="14.399999999999999" customHeight="1">
      <c r="A1144" s="10" t="s">
        <v>4673</v>
      </c>
      <c r="B1144" s="10" t="s">
        <v>4674</v>
      </c>
      <c r="C1144" s="13" t="n">
        <v>22670</v>
      </c>
      <c r="D1144" s="13" t="n">
        <v>36212</v>
      </c>
      <c r="E1144" s="6" t="n">
        <f>SUM(C1144,D1144)/2</f>
        <v>29441</v>
      </c>
      <c r="F1144" s="12" t="n">
        <v>5529</v>
      </c>
      <c r="G1144" s="12" t="n">
        <v>8255</v>
      </c>
      <c r="H1144" s="6" t="n">
        <f>SUM(F1144,G1144)/2</f>
        <v>6892</v>
      </c>
    </row>
    <row r="1145" s="18" customFormat="1" ht="14.399999999999999" customHeight="1">
      <c r="A1145" s="10" t="s">
        <v>4387</v>
      </c>
      <c r="B1145" s="10" t="s">
        <v>4388</v>
      </c>
      <c r="C1145" s="13" t="n">
        <v>7375</v>
      </c>
      <c r="D1145" s="13" t="n">
        <v>11783</v>
      </c>
      <c r="E1145" s="6" t="n">
        <f>SUM(C1145,D1145)/2</f>
        <v>9579</v>
      </c>
      <c r="F1145" s="12" t="n">
        <v>14142</v>
      </c>
      <c r="G1145" s="12" t="n">
        <v>15817</v>
      </c>
      <c r="H1145" s="6" t="n">
        <f>SUM(F1145,G1145)/2</f>
        <v>14979.5</v>
      </c>
    </row>
    <row r="1146" s="18" customFormat="1" ht="14.399999999999999" customHeight="1">
      <c r="A1146" s="10" t="s">
        <v>2158</v>
      </c>
      <c r="B1146" s="10" t="s">
        <v>2159</v>
      </c>
      <c r="C1146" s="13" t="n">
        <v>210615</v>
      </c>
      <c r="D1146" s="13" t="n">
        <v>336435</v>
      </c>
      <c r="E1146" s="6" t="n">
        <f>SUM(C1146,D1146)/2</f>
        <v>273525</v>
      </c>
      <c r="F1146" s="12" t="n">
        <v>40661</v>
      </c>
      <c r="G1146" s="12" t="n">
        <v>57283</v>
      </c>
      <c r="H1146" s="6" t="n">
        <f>SUM(F1146,G1146)/2</f>
        <v>48972</v>
      </c>
    </row>
    <row r="1147" s="18" customFormat="1" ht="14.399999999999999" customHeight="1">
      <c r="A1147" s="10" t="s">
        <v>5061</v>
      </c>
      <c r="B1147" s="10" t="s">
        <v>5062</v>
      </c>
      <c r="C1147" s="13" t="n">
        <v>4480</v>
      </c>
      <c r="D1147" s="13" t="n">
        <v>7158</v>
      </c>
      <c r="E1147" s="6" t="n">
        <f>SUM(C1147,D1147)/2</f>
        <v>5819</v>
      </c>
      <c r="F1147" s="12" t="n">
        <v>6295</v>
      </c>
      <c r="G1147" s="12" t="n">
        <v>8966</v>
      </c>
      <c r="H1147" s="6" t="n">
        <f>SUM(F1147,G1147)/2</f>
        <v>7630.5</v>
      </c>
    </row>
    <row r="1148" s="18" customFormat="1" ht="14.399999999999999" customHeight="1">
      <c r="A1148" s="10" t="s">
        <v>3481</v>
      </c>
      <c r="B1148" s="10" t="s">
        <v>3482</v>
      </c>
      <c r="C1148" s="13" t="n">
        <v>67721</v>
      </c>
      <c r="D1148" s="13" t="n">
        <v>108181</v>
      </c>
      <c r="E1148" s="6" t="n">
        <f>SUM(C1148,D1148)/2</f>
        <v>87951</v>
      </c>
      <c r="F1148" s="12" t="n">
        <v>19735</v>
      </c>
      <c r="G1148" s="12" t="n">
        <v>29552</v>
      </c>
      <c r="H1148" s="6" t="n">
        <f>SUM(F1148,G1148)/2</f>
        <v>24643.5</v>
      </c>
    </row>
    <row r="1149" s="18" customFormat="1" ht="14.399999999999999" customHeight="1">
      <c r="A1149" s="10" t="s">
        <v>5376</v>
      </c>
      <c r="B1149" s="10" t="s">
        <v>5377</v>
      </c>
      <c r="C1149" s="13" t="n">
        <v>299048</v>
      </c>
      <c r="D1149" s="13" t="n">
        <v>477701</v>
      </c>
      <c r="E1149" s="6" t="n">
        <f>SUM(C1149,D1149)/2</f>
        <v>388374.5</v>
      </c>
      <c r="F1149" s="12" t="n">
        <v>56509</v>
      </c>
      <c r="G1149" s="12" t="n">
        <v>84526</v>
      </c>
      <c r="H1149" s="6" t="n">
        <f>SUM(F1149,G1149)/2</f>
        <v>70517.5</v>
      </c>
    </row>
    <row r="1150" s="18" customFormat="1" ht="14.399999999999999" customHeight="1">
      <c r="A1150" s="10" t="s">
        <v>3759</v>
      </c>
      <c r="B1150" s="10" t="s">
        <v>3760</v>
      </c>
      <c r="C1150" s="13" t="n">
        <v>37949</v>
      </c>
      <c r="D1150" s="13" t="n">
        <v>60619</v>
      </c>
      <c r="E1150" s="6" t="n">
        <f>SUM(C1150,D1150)/2</f>
        <v>49284</v>
      </c>
      <c r="F1150" s="12" t="n">
        <v>17328</v>
      </c>
      <c r="G1150" s="12" t="n">
        <v>25059</v>
      </c>
      <c r="H1150" s="6" t="n">
        <f>SUM(F1150,G1150)/2</f>
        <v>21193.5</v>
      </c>
    </row>
    <row r="1151" s="18" customFormat="1" ht="14.399999999999999" customHeight="1">
      <c r="A1151" s="10" t="s">
        <v>4701</v>
      </c>
      <c r="B1151" s="10" t="s">
        <v>4702</v>
      </c>
      <c r="C1151" s="13" t="n">
        <v>22590</v>
      </c>
      <c r="D1151" s="13" t="n">
        <v>36082</v>
      </c>
      <c r="E1151" s="6" t="n">
        <f>SUM(C1151,D1151)/2</f>
        <v>29336</v>
      </c>
      <c r="F1151" s="12" t="n">
        <v>5369</v>
      </c>
      <c r="G1151" s="12" t="n">
        <v>7901</v>
      </c>
      <c r="H1151" s="6" t="n">
        <f>SUM(F1151,G1151)/2</f>
        <v>6635</v>
      </c>
    </row>
    <row r="1152" s="18" customFormat="1" ht="14.399999999999999" customHeight="1">
      <c r="A1152" s="10" t="s">
        <v>921</v>
      </c>
      <c r="B1152" s="10" t="s">
        <v>922</v>
      </c>
      <c r="C1152" s="13" t="n">
        <v>609715</v>
      </c>
      <c r="D1152" s="13" t="n">
        <v>973959</v>
      </c>
      <c r="E1152" s="6" t="n">
        <f>SUM(C1152,D1152)/2</f>
        <v>791837</v>
      </c>
      <c r="F1152" s="12" t="n">
        <v>138262</v>
      </c>
      <c r="G1152" s="12" t="n">
        <v>194427</v>
      </c>
      <c r="H1152" s="6" t="n">
        <f>SUM(F1152,G1152)/2</f>
        <v>166344.5</v>
      </c>
    </row>
    <row r="1153" s="18" customFormat="1" ht="14.399999999999999" customHeight="1">
      <c r="A1153" s="10" t="s">
        <v>1954</v>
      </c>
      <c r="B1153" s="10" t="s">
        <v>1955</v>
      </c>
      <c r="C1153" s="10" t="n">
        <v>1</v>
      </c>
      <c r="D1153" s="10" t="n">
        <v>1</v>
      </c>
      <c r="E1153" s="6" t="n">
        <f>SUM(C1153,D1153)/2</f>
        <v>1</v>
      </c>
      <c r="F1153" s="18" t="n">
        <v>11</v>
      </c>
      <c r="G1153" s="18" t="n">
        <v>17</v>
      </c>
      <c r="H1153" s="6" t="n">
        <f>SUM(F1153,G1153)/2</f>
        <v>14</v>
      </c>
    </row>
    <row r="1154" s="18" customFormat="1" ht="14.399999999999999" customHeight="1">
      <c r="A1154" s="10" t="s">
        <v>3319</v>
      </c>
      <c r="B1154" s="10" t="s">
        <v>3320</v>
      </c>
      <c r="C1154" s="13" t="n">
        <v>67870</v>
      </c>
      <c r="D1154" s="13" t="n">
        <v>108412</v>
      </c>
      <c r="E1154" s="6" t="n">
        <f>SUM(C1154,D1154)/2</f>
        <v>88141</v>
      </c>
      <c r="F1154" s="12" t="n">
        <v>26857</v>
      </c>
      <c r="G1154" s="12" t="n">
        <v>38898</v>
      </c>
      <c r="H1154" s="6" t="n">
        <f>SUM(F1154,G1154)/2</f>
        <v>32877.5</v>
      </c>
    </row>
    <row r="1155" s="18" customFormat="1" ht="14.399999999999999" customHeight="1">
      <c r="A1155" s="10" t="s">
        <v>1494</v>
      </c>
      <c r="B1155" s="10" t="s">
        <v>1495</v>
      </c>
      <c r="C1155" s="13" t="n">
        <v>298852</v>
      </c>
      <c r="D1155" s="13" t="n">
        <v>477386</v>
      </c>
      <c r="E1155" s="6" t="n">
        <f>SUM(C1155,D1155)/2</f>
        <v>388119</v>
      </c>
      <c r="F1155" s="12" t="n">
        <v>55799</v>
      </c>
      <c r="G1155" s="12" t="n">
        <v>70211</v>
      </c>
      <c r="H1155" s="6" t="n">
        <f>SUM(F1155,G1155)/2</f>
        <v>63005</v>
      </c>
    </row>
    <row r="1156" s="18" customFormat="1" ht="14.399999999999999" customHeight="1">
      <c r="A1156" s="10" t="s">
        <v>1855</v>
      </c>
      <c r="B1156" s="10" t="s">
        <v>1856</v>
      </c>
      <c r="C1156" s="10" t="n">
        <v>32</v>
      </c>
      <c r="D1156" s="10" t="n">
        <v>54</v>
      </c>
      <c r="E1156" s="6" t="n">
        <f>SUM(C1156,D1156)/2</f>
        <v>43</v>
      </c>
      <c r="F1156" s="18" t="n">
        <v>7</v>
      </c>
      <c r="G1156" s="18" t="n">
        <v>14</v>
      </c>
      <c r="H1156" s="6" t="n">
        <f>SUM(F1156,G1156)/2</f>
        <v>10.5</v>
      </c>
    </row>
    <row r="1157" s="18" customFormat="1" ht="14.399999999999999" customHeight="1">
      <c r="A1157" s="10" t="s">
        <v>5999</v>
      </c>
      <c r="B1157" s="10" t="s">
        <v>6000</v>
      </c>
      <c r="C1157" s="13" t="n">
        <v>22854</v>
      </c>
      <c r="D1157" s="13" t="n">
        <v>36508</v>
      </c>
      <c r="E1157" s="6" t="n">
        <f>SUM(C1157,D1157)/2</f>
        <v>29681</v>
      </c>
      <c r="F1157" s="12" t="n">
        <v>6702</v>
      </c>
      <c r="G1157" s="12" t="n">
        <v>9183</v>
      </c>
      <c r="H1157" s="6" t="n">
        <f>SUM(F1157,G1157)/2</f>
        <v>7942.5</v>
      </c>
    </row>
    <row r="1158" s="18" customFormat="1" ht="14.399999999999999" customHeight="1">
      <c r="A1158" s="10" t="s">
        <v>6001</v>
      </c>
      <c r="B1158" s="10" t="s">
        <v>6002</v>
      </c>
      <c r="C1158" s="10" t="n">
        <v>0</v>
      </c>
      <c r="D1158" s="10" t="n">
        <v>0</v>
      </c>
      <c r="E1158" s="6" t="n">
        <f>SUM(C1158,D1158)/2</f>
        <v>0</v>
      </c>
      <c r="F1158" s="18" t="n">
        <v>1</v>
      </c>
      <c r="G1158" s="18" t="n">
        <v>1</v>
      </c>
      <c r="H1158" s="6" t="n">
        <f>SUM(F1158,G1158)/2</f>
        <v>1</v>
      </c>
    </row>
    <row r="1159" s="18" customFormat="1" ht="14.399999999999999" customHeight="1">
      <c r="A1159" s="10" t="s">
        <v>1962</v>
      </c>
      <c r="B1159" s="10" t="s">
        <v>1963</v>
      </c>
      <c r="C1159" s="10" t="n">
        <v>22</v>
      </c>
      <c r="D1159" s="10" t="n">
        <v>34</v>
      </c>
      <c r="E1159" s="6" t="n">
        <f>SUM(C1159,D1159)/2</f>
        <v>28</v>
      </c>
      <c r="F1159" s="18" t="n">
        <v>7</v>
      </c>
      <c r="G1159" s="18" t="n">
        <v>9</v>
      </c>
      <c r="H1159" s="6" t="n">
        <f>SUM(F1159,G1159)/2</f>
        <v>8</v>
      </c>
    </row>
    <row r="1160" s="18" customFormat="1" ht="14.399999999999999" customHeight="1">
      <c r="A1160" s="10" t="s">
        <v>2710</v>
      </c>
      <c r="B1160" s="10" t="s">
        <v>2711</v>
      </c>
      <c r="C1160" s="10" t="n">
        <v>3</v>
      </c>
      <c r="D1160" s="10" t="n">
        <v>5</v>
      </c>
      <c r="E1160" s="6" t="n">
        <f>SUM(C1160,D1160)/2</f>
        <v>4</v>
      </c>
      <c r="F1160" s="18" t="n">
        <v>0</v>
      </c>
      <c r="G1160" s="18" t="n">
        <v>0</v>
      </c>
      <c r="H1160" s="6" t="n">
        <f>SUM(F1160,G1160)/2</f>
        <v>0</v>
      </c>
    </row>
    <row r="1161" s="18" customFormat="1" ht="14.399999999999999" customHeight="1">
      <c r="A1161" s="10" t="s">
        <v>2208</v>
      </c>
      <c r="B1161" s="10" t="s">
        <v>2209</v>
      </c>
      <c r="C1161" s="13" t="n">
        <v>98452</v>
      </c>
      <c r="D1161" s="13" t="n">
        <v>157268</v>
      </c>
      <c r="E1161" s="6" t="n">
        <f>SUM(C1161,D1161)/2</f>
        <v>127860</v>
      </c>
      <c r="F1161" s="12" t="n">
        <v>104684</v>
      </c>
      <c r="G1161" s="12" t="n">
        <v>163175</v>
      </c>
      <c r="H1161" s="6" t="n">
        <f>SUM(F1161,G1161)/2</f>
        <v>133929.5</v>
      </c>
    </row>
    <row r="1162" s="18" customFormat="1" ht="14.399999999999999" customHeight="1">
      <c r="A1162" s="10" t="s">
        <v>4609</v>
      </c>
      <c r="B1162" s="10" t="s">
        <v>4610</v>
      </c>
      <c r="C1162" s="13" t="n">
        <v>19026</v>
      </c>
      <c r="D1162" s="13" t="n">
        <v>30390</v>
      </c>
      <c r="E1162" s="6" t="n">
        <f>SUM(C1162,D1162)/2</f>
        <v>24708</v>
      </c>
      <c r="F1162" s="12" t="n">
        <v>7384</v>
      </c>
      <c r="G1162" s="12" t="n">
        <v>10342</v>
      </c>
      <c r="H1162" s="6" t="n">
        <f>SUM(F1162,G1162)/2</f>
        <v>8863</v>
      </c>
    </row>
    <row r="1163" s="18" customFormat="1" ht="14.399999999999999" customHeight="1">
      <c r="A1163" s="10" t="s">
        <v>6003</v>
      </c>
      <c r="B1163" s="10" t="s">
        <v>6004</v>
      </c>
      <c r="C1163" s="13" t="n">
        <v>7359</v>
      </c>
      <c r="D1163" s="13" t="n">
        <v>11758</v>
      </c>
      <c r="E1163" s="6" t="n">
        <f>SUM(C1163,D1163)/2</f>
        <v>9558.5</v>
      </c>
      <c r="F1163" s="12" t="n">
        <v>5918</v>
      </c>
      <c r="G1163" s="12" t="n">
        <v>9786</v>
      </c>
      <c r="H1163" s="6" t="n">
        <f>SUM(F1163,G1163)/2</f>
        <v>7852</v>
      </c>
    </row>
    <row r="1164" s="18" customFormat="1" ht="14.399999999999999" customHeight="1">
      <c r="A1164" s="10" t="s">
        <v>6005</v>
      </c>
      <c r="B1164" s="10" t="s">
        <v>6006</v>
      </c>
      <c r="C1164" s="10" t="n">
        <v>1</v>
      </c>
      <c r="D1164" s="10" t="n">
        <v>1</v>
      </c>
      <c r="E1164" s="6" t="n">
        <f>SUM(C1164,D1164)/2</f>
        <v>1</v>
      </c>
      <c r="F1164" s="18" t="n">
        <v>2</v>
      </c>
      <c r="G1164" s="18" t="n">
        <v>11</v>
      </c>
      <c r="H1164" s="6" t="n">
        <f>SUM(F1164,G1164)/2</f>
        <v>6.5</v>
      </c>
    </row>
    <row r="1165" s="18" customFormat="1" ht="14.399999999999999" customHeight="1">
      <c r="A1165" s="10" t="s">
        <v>2262</v>
      </c>
      <c r="B1165" s="10" t="s">
        <v>2263</v>
      </c>
      <c r="C1165" s="10" t="n">
        <v>3</v>
      </c>
      <c r="D1165" s="10" t="n">
        <v>5</v>
      </c>
      <c r="E1165" s="6" t="n">
        <f>SUM(C1165,D1165)/2</f>
        <v>4</v>
      </c>
      <c r="F1165" s="18" t="n">
        <v>5</v>
      </c>
      <c r="G1165" s="18" t="n">
        <v>6</v>
      </c>
      <c r="H1165" s="6" t="n">
        <f>SUM(F1165,G1165)/2</f>
        <v>5.5</v>
      </c>
    </row>
    <row r="1166" s="18" customFormat="1" ht="14.399999999999999" customHeight="1">
      <c r="A1166" s="10" t="s">
        <v>6007</v>
      </c>
      <c r="B1166" s="10" t="s">
        <v>6008</v>
      </c>
      <c r="C1166" s="13" t="n">
        <v>51693</v>
      </c>
      <c r="D1166" s="13" t="n">
        <v>82575</v>
      </c>
      <c r="E1166" s="6" t="n">
        <f>SUM(C1166,D1166)/2</f>
        <v>67134</v>
      </c>
      <c r="F1166" s="12" t="n">
        <v>37043</v>
      </c>
      <c r="G1166" s="12" t="n">
        <v>53174</v>
      </c>
      <c r="H1166" s="6" t="n">
        <f>SUM(F1166,G1166)/2</f>
        <v>45108.5</v>
      </c>
    </row>
    <row r="1167" s="18" customFormat="1" ht="14.399999999999999" customHeight="1">
      <c r="A1167" s="10" t="s">
        <v>5187</v>
      </c>
      <c r="B1167" s="10" t="s">
        <v>5188</v>
      </c>
      <c r="C1167" s="13" t="n">
        <v>7141</v>
      </c>
      <c r="D1167" s="13" t="n">
        <v>11405</v>
      </c>
      <c r="E1167" s="6" t="n">
        <f>SUM(C1167,D1167)/2</f>
        <v>9273</v>
      </c>
      <c r="F1167" s="12" t="n">
        <v>3456</v>
      </c>
      <c r="G1167" s="12" t="n">
        <v>5543</v>
      </c>
      <c r="H1167" s="6" t="n">
        <f>SUM(F1167,G1167)/2</f>
        <v>4499.5</v>
      </c>
    </row>
    <row r="1168" s="18" customFormat="1" ht="14.399999999999999" customHeight="1">
      <c r="A1168" s="10" t="s">
        <v>6009</v>
      </c>
      <c r="B1168" s="10" t="s">
        <v>6010</v>
      </c>
      <c r="C1168" s="10" t="n">
        <v>32</v>
      </c>
      <c r="D1168" s="10" t="n">
        <v>50</v>
      </c>
      <c r="E1168" s="6" t="n">
        <f>SUM(C1168,D1168)/2</f>
        <v>41</v>
      </c>
      <c r="F1168" s="18" t="n">
        <v>57</v>
      </c>
      <c r="G1168" s="18" t="n">
        <v>76</v>
      </c>
      <c r="H1168" s="6" t="n">
        <f>SUM(F1168,G1168)/2</f>
        <v>66.5</v>
      </c>
    </row>
    <row r="1169" s="18" customFormat="1" ht="14.399999999999999" customHeight="1">
      <c r="A1169" s="10" t="s">
        <v>6011</v>
      </c>
      <c r="B1169" s="10" t="s">
        <v>6012</v>
      </c>
      <c r="C1169" s="10" t="n">
        <v>27</v>
      </c>
      <c r="D1169" s="10" t="n">
        <v>41</v>
      </c>
      <c r="E1169" s="6" t="n">
        <f>SUM(C1169,D1169)/2</f>
        <v>34</v>
      </c>
      <c r="F1169" s="18" t="n">
        <v>32</v>
      </c>
      <c r="G1169" s="18" t="n">
        <v>44</v>
      </c>
      <c r="H1169" s="6" t="n">
        <f>SUM(F1169,G1169)/2</f>
        <v>38</v>
      </c>
    </row>
    <row r="1170" s="18" customFormat="1" ht="14.399999999999999" customHeight="1">
      <c r="A1170" s="10" t="s">
        <v>1627</v>
      </c>
      <c r="B1170" s="10" t="s">
        <v>1628</v>
      </c>
      <c r="C1170" s="10" t="n">
        <v>168</v>
      </c>
      <c r="D1170" s="10" t="n">
        <v>268</v>
      </c>
      <c r="E1170" s="6" t="n">
        <f>SUM(C1170,D1170)/2</f>
        <v>218</v>
      </c>
      <c r="F1170" s="18" t="n">
        <v>0</v>
      </c>
      <c r="G1170" s="18" t="n">
        <v>0</v>
      </c>
      <c r="H1170" s="6" t="n">
        <f>SUM(F1170,G1170)/2</f>
        <v>0</v>
      </c>
    </row>
    <row r="1171" s="18" customFormat="1" ht="14.399999999999999" customHeight="1">
      <c r="A1171" s="10" t="s">
        <v>3505</v>
      </c>
      <c r="B1171" s="10" t="s">
        <v>3506</v>
      </c>
      <c r="C1171" s="13" t="n">
        <v>76688</v>
      </c>
      <c r="D1171" s="13" t="n">
        <v>122498</v>
      </c>
      <c r="E1171" s="6" t="n">
        <f>SUM(C1171,D1171)/2</f>
        <v>99593</v>
      </c>
      <c r="F1171" s="12" t="n">
        <v>18060</v>
      </c>
      <c r="G1171" s="12" t="n">
        <v>23825</v>
      </c>
      <c r="H1171" s="6" t="n">
        <f>SUM(F1171,G1171)/2</f>
        <v>20942.5</v>
      </c>
    </row>
    <row r="1172" s="18" customFormat="1" ht="14.399999999999999" customHeight="1">
      <c r="A1172" s="10" t="s">
        <v>4423</v>
      </c>
      <c r="B1172" s="10" t="s">
        <v>4424</v>
      </c>
      <c r="C1172" s="13" t="n">
        <v>35534</v>
      </c>
      <c r="D1172" s="13" t="n">
        <v>56762</v>
      </c>
      <c r="E1172" s="6" t="n">
        <f>SUM(C1172,D1172)/2</f>
        <v>46148</v>
      </c>
      <c r="F1172" s="12" t="n">
        <v>4738</v>
      </c>
      <c r="G1172" s="12" t="n">
        <v>8528</v>
      </c>
      <c r="H1172" s="6" t="n">
        <f>SUM(F1172,G1172)/2</f>
        <v>6633</v>
      </c>
    </row>
    <row r="1173" s="18" customFormat="1" ht="14.399999999999999" customHeight="1">
      <c r="A1173" s="10" t="s">
        <v>5346</v>
      </c>
      <c r="B1173" s="10" t="s">
        <v>5347</v>
      </c>
      <c r="C1173" s="10" t="n">
        <v>543</v>
      </c>
      <c r="D1173" s="10" t="n">
        <v>867</v>
      </c>
      <c r="E1173" s="6" t="n">
        <f>SUM(C1173,D1173)/2</f>
        <v>705</v>
      </c>
      <c r="F1173" s="18" t="n">
        <v>245</v>
      </c>
      <c r="G1173" s="18" t="n">
        <v>392</v>
      </c>
      <c r="H1173" s="6" t="n">
        <f>SUM(F1173,G1173)/2</f>
        <v>318.5</v>
      </c>
    </row>
    <row r="1174" s="18" customFormat="1" ht="14.399999999999999" customHeight="1">
      <c r="A1174" s="10" t="s">
        <v>3415</v>
      </c>
      <c r="B1174" s="10" t="s">
        <v>3416</v>
      </c>
      <c r="C1174" s="13" t="n">
        <v>128868</v>
      </c>
      <c r="D1174" s="13" t="n">
        <v>205854</v>
      </c>
      <c r="E1174" s="6" t="n">
        <f>SUM(C1174,D1174)/2</f>
        <v>167361</v>
      </c>
      <c r="F1174" s="12" t="n">
        <v>8585</v>
      </c>
      <c r="G1174" s="12" t="n">
        <v>12443</v>
      </c>
      <c r="H1174" s="6" t="n">
        <f>SUM(F1174,G1174)/2</f>
        <v>10514</v>
      </c>
    </row>
    <row r="1175" s="18" customFormat="1" ht="14.399999999999999" customHeight="1">
      <c r="A1175" s="10" t="s">
        <v>4681</v>
      </c>
      <c r="B1175" s="10" t="s">
        <v>4682</v>
      </c>
      <c r="C1175" s="13" t="n">
        <v>27649</v>
      </c>
      <c r="D1175" s="13" t="n">
        <v>44163</v>
      </c>
      <c r="E1175" s="6" t="n">
        <f>SUM(C1175,D1175)/2</f>
        <v>35906</v>
      </c>
      <c r="F1175" s="12" t="n">
        <v>4472</v>
      </c>
      <c r="G1175" s="12" t="n">
        <v>6396</v>
      </c>
      <c r="H1175" s="6" t="n">
        <f>SUM(F1175,G1175)/2</f>
        <v>5434</v>
      </c>
    </row>
    <row r="1176" s="18" customFormat="1" ht="14.399999999999999" customHeight="1">
      <c r="A1176" s="10" t="s">
        <v>2644</v>
      </c>
      <c r="B1176" s="10" t="s">
        <v>2645</v>
      </c>
      <c r="C1176" s="13" t="n">
        <v>302105</v>
      </c>
      <c r="D1176" s="13" t="n">
        <v>482581</v>
      </c>
      <c r="E1176" s="6" t="n">
        <f>SUM(C1176,D1176)/2</f>
        <v>392343</v>
      </c>
      <c r="F1176" s="12" t="n">
        <v>53264</v>
      </c>
      <c r="G1176" s="12" t="n">
        <v>76264</v>
      </c>
      <c r="H1176" s="6" t="n">
        <f>SUM(F1176,G1176)/2</f>
        <v>64764</v>
      </c>
    </row>
    <row r="1177" s="18" customFormat="1" ht="14.399999999999999" customHeight="1">
      <c r="A1177" s="10" t="s">
        <v>4725</v>
      </c>
      <c r="B1177" s="10" t="s">
        <v>4726</v>
      </c>
      <c r="C1177" s="13" t="n">
        <v>22485</v>
      </c>
      <c r="D1177" s="13" t="n">
        <v>35919</v>
      </c>
      <c r="E1177" s="6" t="n">
        <f>SUM(C1177,D1177)/2</f>
        <v>29202</v>
      </c>
      <c r="F1177" s="12" t="n">
        <v>5090</v>
      </c>
      <c r="G1177" s="12" t="n">
        <v>7896</v>
      </c>
      <c r="H1177" s="6" t="n">
        <f>SUM(F1177,G1177)/2</f>
        <v>6493</v>
      </c>
    </row>
    <row r="1178" s="18" customFormat="1" ht="14.399999999999999" customHeight="1">
      <c r="A1178" s="10" t="s">
        <v>56</v>
      </c>
      <c r="B1178" s="10" t="s">
        <v>57</v>
      </c>
      <c r="C1178" s="13" t="n">
        <v>4327615</v>
      </c>
      <c r="D1178" s="13" t="n">
        <v>6912941</v>
      </c>
      <c r="E1178" s="6" t="n">
        <f>SUM(C1178,D1178)/2</f>
        <v>5620278</v>
      </c>
      <c r="F1178" s="12" t="n">
        <v>229487</v>
      </c>
      <c r="G1178" s="12" t="n">
        <v>787421</v>
      </c>
      <c r="H1178" s="6" t="n">
        <f>SUM(F1178,G1178)/2</f>
        <v>508454</v>
      </c>
    </row>
    <row r="1179" s="18" customFormat="1" ht="14.399999999999999" customHeight="1">
      <c r="A1179" s="10" t="s">
        <v>6013</v>
      </c>
      <c r="B1179" s="10" t="s">
        <v>6014</v>
      </c>
      <c r="C1179" s="13" t="n">
        <v>275108</v>
      </c>
      <c r="D1179" s="13" t="n">
        <v>439456</v>
      </c>
      <c r="E1179" s="6" t="n">
        <f>SUM(C1179,D1179)/2</f>
        <v>357282</v>
      </c>
      <c r="F1179" s="12" t="n">
        <v>30296</v>
      </c>
      <c r="G1179" s="12" t="n">
        <v>69889</v>
      </c>
      <c r="H1179" s="6" t="n">
        <f>SUM(F1179,G1179)/2</f>
        <v>50092.5</v>
      </c>
    </row>
    <row r="1180" s="18" customFormat="1" ht="14.399999999999999" customHeight="1">
      <c r="A1180" s="10" t="s">
        <v>2256</v>
      </c>
      <c r="B1180" s="10" t="s">
        <v>2257</v>
      </c>
      <c r="C1180" s="10" t="n">
        <v>6</v>
      </c>
      <c r="D1180" s="10" t="n">
        <v>8</v>
      </c>
      <c r="E1180" s="6" t="n">
        <f>SUM(C1180,D1180)/2</f>
        <v>7</v>
      </c>
      <c r="F1180" s="18" t="n">
        <v>4</v>
      </c>
      <c r="G1180" s="18" t="n">
        <v>6</v>
      </c>
      <c r="H1180" s="6" t="n">
        <f>SUM(F1180,G1180)/2</f>
        <v>5</v>
      </c>
    </row>
    <row r="1181" s="18" customFormat="1" ht="14.399999999999999" customHeight="1">
      <c r="A1181" s="10" t="s">
        <v>4971</v>
      </c>
      <c r="B1181" s="10" t="s">
        <v>4972</v>
      </c>
      <c r="C1181" s="13" t="n">
        <v>7629</v>
      </c>
      <c r="D1181" s="13" t="n">
        <v>12183</v>
      </c>
      <c r="E1181" s="6" t="n">
        <f>SUM(C1181,D1181)/2</f>
        <v>9906</v>
      </c>
      <c r="F1181" s="12" t="n">
        <v>6493</v>
      </c>
      <c r="G1181" s="12" t="n">
        <v>9252</v>
      </c>
      <c r="H1181" s="6" t="n">
        <f>SUM(F1181,G1181)/2</f>
        <v>7872.5</v>
      </c>
    </row>
    <row r="1182" s="18" customFormat="1" ht="14.399999999999999" customHeight="1">
      <c r="A1182" s="10" t="s">
        <v>2799</v>
      </c>
      <c r="B1182" s="10" t="s">
        <v>2800</v>
      </c>
      <c r="C1182" s="10" t="n">
        <v>1</v>
      </c>
      <c r="D1182" s="10" t="n">
        <v>1</v>
      </c>
      <c r="E1182" s="6" t="n">
        <f>SUM(C1182,D1182)/2</f>
        <v>1</v>
      </c>
      <c r="F1182" s="18" t="n">
        <v>0</v>
      </c>
      <c r="G1182" s="18" t="n">
        <v>0</v>
      </c>
      <c r="H1182" s="6" t="n">
        <f>SUM(F1182,G1182)/2</f>
        <v>0</v>
      </c>
    </row>
    <row r="1183" s="18" customFormat="1" ht="14.399999999999999" customHeight="1">
      <c r="A1183" s="10" t="s">
        <v>6015</v>
      </c>
      <c r="B1183" s="10" t="s">
        <v>6016</v>
      </c>
      <c r="C1183" s="13" t="n">
        <v>51995</v>
      </c>
      <c r="D1183" s="13" t="n">
        <v>83053</v>
      </c>
      <c r="E1183" s="6" t="n">
        <f>SUM(C1183,D1183)/2</f>
        <v>67524</v>
      </c>
      <c r="F1183" s="18" t="n">
        <v>589</v>
      </c>
      <c r="G1183" s="18" t="n">
        <v>865</v>
      </c>
      <c r="H1183" s="6" t="n">
        <f>SUM(F1183,G1183)/2</f>
        <v>727</v>
      </c>
    </row>
    <row r="1184" s="18" customFormat="1" ht="14.399999999999999" customHeight="1">
      <c r="A1184" s="10" t="s">
        <v>5009</v>
      </c>
      <c r="B1184" s="10" t="s">
        <v>5010</v>
      </c>
      <c r="C1184" s="13" t="n">
        <v>14189</v>
      </c>
      <c r="D1184" s="13" t="n">
        <v>22667</v>
      </c>
      <c r="E1184" s="6" t="n">
        <f>SUM(C1184,D1184)/2</f>
        <v>18428</v>
      </c>
      <c r="F1184" s="12" t="n">
        <v>4666</v>
      </c>
      <c r="G1184" s="12" t="n">
        <v>6606</v>
      </c>
      <c r="H1184" s="6" t="n">
        <f>SUM(F1184,G1184)/2</f>
        <v>5636</v>
      </c>
    </row>
    <row r="1185" s="18" customFormat="1" ht="14.399999999999999" customHeight="1">
      <c r="A1185" s="10" t="s">
        <v>4741</v>
      </c>
      <c r="B1185" s="10" t="s">
        <v>4742</v>
      </c>
      <c r="C1185" s="13" t="n">
        <v>12541</v>
      </c>
      <c r="D1185" s="13" t="n">
        <v>20033</v>
      </c>
      <c r="E1185" s="6" t="n">
        <f>SUM(C1185,D1185)/2</f>
        <v>16287</v>
      </c>
      <c r="F1185" s="12" t="n">
        <v>7423</v>
      </c>
      <c r="G1185" s="12" t="n">
        <v>10652</v>
      </c>
      <c r="H1185" s="6" t="n">
        <f>SUM(F1185,G1185)/2</f>
        <v>9037.5</v>
      </c>
    </row>
    <row r="1186" s="18" customFormat="1" ht="14.399999999999999" customHeight="1">
      <c r="A1186" s="10" t="s">
        <v>724</v>
      </c>
      <c r="B1186" s="10" t="s">
        <v>725</v>
      </c>
      <c r="C1186" s="13" t="n">
        <v>1336689</v>
      </c>
      <c r="D1186" s="13" t="n">
        <v>2135231</v>
      </c>
      <c r="E1186" s="6" t="n">
        <f>SUM(C1186,D1186)/2</f>
        <v>1735960</v>
      </c>
      <c r="F1186" s="12" t="n">
        <v>609724</v>
      </c>
      <c r="G1186" s="12" t="n">
        <v>938151</v>
      </c>
      <c r="H1186" s="6" t="n">
        <f>SUM(F1186,G1186)/2</f>
        <v>773937.5</v>
      </c>
    </row>
    <row r="1187" s="18" customFormat="1" ht="14.399999999999999" customHeight="1">
      <c r="A1187" s="10" t="s">
        <v>1383</v>
      </c>
      <c r="B1187" s="10" t="s">
        <v>1384</v>
      </c>
      <c r="C1187" s="10" t="n">
        <v>298</v>
      </c>
      <c r="D1187" s="10" t="n">
        <v>478</v>
      </c>
      <c r="E1187" s="6" t="n">
        <f>SUM(C1187,D1187)/2</f>
        <v>388</v>
      </c>
      <c r="F1187" s="18" t="n">
        <v>0</v>
      </c>
      <c r="G1187" s="18" t="n">
        <v>0</v>
      </c>
      <c r="H1187" s="6" t="n">
        <f>SUM(F1187,G1187)/2</f>
        <v>0</v>
      </c>
    </row>
    <row r="1188" s="18" customFormat="1" ht="14.399999999999999" customHeight="1">
      <c r="A1188" s="10" t="s">
        <v>6017</v>
      </c>
      <c r="B1188" s="10" t="s">
        <v>6018</v>
      </c>
      <c r="C1188" s="10" t="n">
        <v>0</v>
      </c>
      <c r="D1188" s="10" t="n">
        <v>0</v>
      </c>
      <c r="E1188" s="6" t="n">
        <f>SUM(C1188,D1188)/2</f>
        <v>0</v>
      </c>
      <c r="F1188" s="18" t="n">
        <v>1</v>
      </c>
      <c r="G1188" s="18" t="n">
        <v>1</v>
      </c>
      <c r="H1188" s="6" t="n">
        <f>SUM(F1188,G1188)/2</f>
        <v>1</v>
      </c>
    </row>
    <row r="1189" s="18" customFormat="1" ht="14.399999999999999" customHeight="1">
      <c r="A1189" s="10" t="s">
        <v>3131</v>
      </c>
      <c r="B1189" s="10" t="s">
        <v>3132</v>
      </c>
      <c r="C1189" s="13" t="n">
        <v>187496</v>
      </c>
      <c r="D1189" s="13" t="n">
        <v>299508</v>
      </c>
      <c r="E1189" s="6" t="n">
        <f>SUM(C1189,D1189)/2</f>
        <v>243502</v>
      </c>
      <c r="F1189" s="12" t="n">
        <v>46288</v>
      </c>
      <c r="G1189" s="12" t="n">
        <v>68913</v>
      </c>
      <c r="H1189" s="6" t="n">
        <f>SUM(F1189,G1189)/2</f>
        <v>57600.5</v>
      </c>
    </row>
    <row r="1190" s="18" customFormat="1" ht="14.399999999999999" customHeight="1">
      <c r="A1190" s="10" t="s">
        <v>274</v>
      </c>
      <c r="B1190" s="10" t="s">
        <v>275</v>
      </c>
      <c r="C1190" s="13" t="n">
        <v>3373</v>
      </c>
      <c r="D1190" s="13" t="n">
        <v>5389</v>
      </c>
      <c r="E1190" s="6" t="n">
        <f>SUM(C1190,D1190)/2</f>
        <v>4381</v>
      </c>
      <c r="F1190" s="18" t="n">
        <v>590</v>
      </c>
      <c r="G1190" s="18" t="n">
        <v>766</v>
      </c>
      <c r="H1190" s="6" t="n">
        <f>SUM(F1190,G1190)/2</f>
        <v>678</v>
      </c>
    </row>
    <row r="1191" s="18" customFormat="1" ht="14.399999999999999" customHeight="1">
      <c r="A1191" s="10" t="s">
        <v>4051</v>
      </c>
      <c r="B1191" s="10" t="s">
        <v>4052</v>
      </c>
      <c r="C1191" s="13" t="n">
        <v>21708</v>
      </c>
      <c r="D1191" s="13" t="n">
        <v>34676</v>
      </c>
      <c r="E1191" s="6" t="n">
        <f>SUM(C1191,D1191)/2</f>
        <v>28192</v>
      </c>
      <c r="F1191" s="12" t="n">
        <v>14721</v>
      </c>
      <c r="G1191" s="12" t="n">
        <v>20468</v>
      </c>
      <c r="H1191" s="6" t="n">
        <f>SUM(F1191,G1191)/2</f>
        <v>17594.5</v>
      </c>
    </row>
    <row r="1192" s="18" customFormat="1" ht="14.399999999999999" customHeight="1">
      <c r="A1192" s="10" t="s">
        <v>6019</v>
      </c>
      <c r="B1192" s="10" t="s">
        <v>6020</v>
      </c>
      <c r="C1192" s="13" t="n">
        <v>3989</v>
      </c>
      <c r="D1192" s="13" t="n">
        <v>6369</v>
      </c>
      <c r="E1192" s="6" t="n">
        <f>SUM(C1192,D1192)/2</f>
        <v>5179</v>
      </c>
      <c r="F1192" s="12" t="n">
        <v>4127</v>
      </c>
      <c r="G1192" s="12" t="n">
        <v>5657</v>
      </c>
      <c r="H1192" s="6" t="n">
        <f>SUM(F1192,G1192)/2</f>
        <v>4892</v>
      </c>
    </row>
    <row r="1193" s="18" customFormat="1" ht="14.399999999999999" customHeight="1">
      <c r="A1193" s="10" t="s">
        <v>4691</v>
      </c>
      <c r="B1193" s="10" t="s">
        <v>4692</v>
      </c>
      <c r="C1193" s="13" t="n">
        <v>21376</v>
      </c>
      <c r="D1193" s="13" t="n">
        <v>34148</v>
      </c>
      <c r="E1193" s="6" t="n">
        <f>SUM(C1193,D1193)/2</f>
        <v>27762</v>
      </c>
      <c r="F1193" s="12" t="n">
        <v>6375</v>
      </c>
      <c r="G1193" s="12" t="n">
        <v>7741</v>
      </c>
      <c r="H1193" s="6" t="n">
        <f>SUM(F1193,G1193)/2</f>
        <v>7058</v>
      </c>
    </row>
    <row r="1194" s="18" customFormat="1" ht="14.399999999999999" customHeight="1">
      <c r="A1194" s="10" t="s">
        <v>3311</v>
      </c>
      <c r="B1194" s="10" t="s">
        <v>3312</v>
      </c>
      <c r="C1194" s="13" t="n">
        <v>104671</v>
      </c>
      <c r="D1194" s="13" t="n">
        <v>167201</v>
      </c>
      <c r="E1194" s="6" t="n">
        <f>SUM(C1194,D1194)/2</f>
        <v>135936</v>
      </c>
      <c r="F1194" s="12" t="n">
        <v>18320</v>
      </c>
      <c r="G1194" s="12" t="n">
        <v>28238</v>
      </c>
      <c r="H1194" s="6" t="n">
        <f>SUM(F1194,G1194)/2</f>
        <v>23279</v>
      </c>
    </row>
    <row r="1195" s="18" customFormat="1" ht="14.399999999999999" customHeight="1">
      <c r="A1195" s="10" t="s">
        <v>6021</v>
      </c>
      <c r="B1195" s="10" t="s">
        <v>6022</v>
      </c>
      <c r="C1195" s="10"/>
      <c r="D1195" s="10"/>
      <c r="E1195" s="6" t="n">
        <f>SUM(C1195,D1195)/2</f>
        <v>0</v>
      </c>
      <c r="F1195" s="12" t="n">
        <v>2818408</v>
      </c>
      <c r="G1195" s="12" t="n">
        <v>3626216</v>
      </c>
      <c r="H1195" s="6" t="n">
        <f>SUM(F1195,G1195)/2</f>
        <v>3222312</v>
      </c>
    </row>
    <row r="1196" s="18" customFormat="1" ht="14.399999999999999" customHeight="1">
      <c r="A1196" s="10" t="s">
        <v>6023</v>
      </c>
      <c r="B1196" s="10" t="s">
        <v>6024</v>
      </c>
      <c r="C1196" s="10" t="n">
        <v>5</v>
      </c>
      <c r="D1196" s="10" t="n">
        <v>7</v>
      </c>
      <c r="E1196" s="6" t="n">
        <f>SUM(C1196,D1196)/2</f>
        <v>6</v>
      </c>
      <c r="F1196" s="18" t="n">
        <v>2</v>
      </c>
      <c r="G1196" s="18" t="n">
        <v>2</v>
      </c>
      <c r="H1196" s="6" t="n">
        <f>SUM(F1196,G1196)/2</f>
        <v>2</v>
      </c>
    </row>
    <row r="1197" s="18" customFormat="1" ht="14.399999999999999" customHeight="1">
      <c r="A1197" s="10" t="s">
        <v>2712</v>
      </c>
      <c r="B1197" s="10" t="s">
        <v>2713</v>
      </c>
      <c r="C1197" s="10" t="n">
        <v>3</v>
      </c>
      <c r="D1197" s="10" t="n">
        <v>5</v>
      </c>
      <c r="E1197" s="6" t="n">
        <f>SUM(C1197,D1197)/2</f>
        <v>4</v>
      </c>
      <c r="F1197" s="18" t="n">
        <v>0</v>
      </c>
      <c r="G1197" s="18" t="n">
        <v>0</v>
      </c>
      <c r="H1197" s="6" t="n">
        <f>SUM(F1197,G1197)/2</f>
        <v>0</v>
      </c>
    </row>
    <row r="1198" s="18" customFormat="1" ht="14.399999999999999" customHeight="1">
      <c r="A1198" s="10" t="s">
        <v>4215</v>
      </c>
      <c r="B1198" s="10" t="s">
        <v>4216</v>
      </c>
      <c r="C1198" s="13" t="n">
        <v>21349</v>
      </c>
      <c r="D1198" s="13" t="n">
        <v>34103</v>
      </c>
      <c r="E1198" s="6" t="n">
        <f>SUM(C1198,D1198)/2</f>
        <v>27726</v>
      </c>
      <c r="F1198" s="12" t="n">
        <v>12718</v>
      </c>
      <c r="G1198" s="12" t="n">
        <v>15198</v>
      </c>
      <c r="H1198" s="6" t="n">
        <f>SUM(F1198,G1198)/2</f>
        <v>13958</v>
      </c>
    </row>
    <row r="1199" s="18" customFormat="1" ht="14.399999999999999" customHeight="1">
      <c r="A1199" s="10" t="s">
        <v>6025</v>
      </c>
      <c r="B1199" s="10" t="s">
        <v>6026</v>
      </c>
      <c r="C1199" s="13" t="n">
        <v>7643</v>
      </c>
      <c r="D1199" s="13" t="n">
        <v>12207</v>
      </c>
      <c r="E1199" s="6" t="n">
        <f>SUM(C1199,D1199)/2</f>
        <v>9925</v>
      </c>
      <c r="F1199" s="12" t="n">
        <v>7222</v>
      </c>
      <c r="G1199" s="12" t="n">
        <v>18033</v>
      </c>
      <c r="H1199" s="6" t="n">
        <f>SUM(F1199,G1199)/2</f>
        <v>12627.5</v>
      </c>
    </row>
    <row r="1200" s="18" customFormat="1" ht="14.399999999999999" customHeight="1">
      <c r="A1200" s="10" t="s">
        <v>1807</v>
      </c>
      <c r="B1200" s="10" t="s">
        <v>1808</v>
      </c>
      <c r="C1200" s="10" t="n">
        <v>20</v>
      </c>
      <c r="D1200" s="10" t="n">
        <v>34</v>
      </c>
      <c r="E1200" s="6" t="n">
        <f>SUM(C1200,D1200)/2</f>
        <v>27</v>
      </c>
      <c r="F1200" s="18" t="n">
        <v>12</v>
      </c>
      <c r="G1200" s="18" t="n">
        <v>20</v>
      </c>
      <c r="H1200" s="6" t="n">
        <f>SUM(F1200,G1200)/2</f>
        <v>16</v>
      </c>
    </row>
    <row r="1201" s="18" customFormat="1" ht="14.399999999999999" customHeight="1">
      <c r="A1201" s="10" t="s">
        <v>540</v>
      </c>
      <c r="B1201" s="10" t="s">
        <v>541</v>
      </c>
      <c r="C1201" s="10" t="n">
        <v>427</v>
      </c>
      <c r="D1201" s="10" t="n">
        <v>681</v>
      </c>
      <c r="E1201" s="6" t="n">
        <f>SUM(C1201,D1201)/2</f>
        <v>554</v>
      </c>
      <c r="F1201" s="18" t="n">
        <v>5</v>
      </c>
      <c r="G1201" s="18" t="n">
        <v>7</v>
      </c>
      <c r="H1201" s="6" t="n">
        <f>SUM(F1201,G1201)/2</f>
        <v>6</v>
      </c>
    </row>
    <row r="1202" s="18" customFormat="1" ht="14.399999999999999" customHeight="1">
      <c r="A1202" s="10" t="s">
        <v>4845</v>
      </c>
      <c r="B1202" s="10" t="s">
        <v>4846</v>
      </c>
      <c r="C1202" s="13" t="n">
        <v>14935</v>
      </c>
      <c r="D1202" s="13" t="n">
        <v>23855</v>
      </c>
      <c r="E1202" s="6" t="n">
        <f>SUM(C1202,D1202)/2</f>
        <v>19395</v>
      </c>
      <c r="F1202" s="12" t="n">
        <v>6245</v>
      </c>
      <c r="G1202" s="12" t="n">
        <v>8233</v>
      </c>
      <c r="H1202" s="6" t="n">
        <f>SUM(F1202,G1202)/2</f>
        <v>7239</v>
      </c>
    </row>
    <row r="1203" s="18" customFormat="1" ht="14.399999999999999" customHeight="1">
      <c r="A1203" s="10" t="s">
        <v>3803</v>
      </c>
      <c r="B1203" s="10" t="s">
        <v>3804</v>
      </c>
      <c r="C1203" s="13" t="n">
        <v>60413</v>
      </c>
      <c r="D1203" s="13" t="n">
        <v>96505</v>
      </c>
      <c r="E1203" s="6" t="n">
        <f>SUM(C1203,D1203)/2</f>
        <v>78459</v>
      </c>
      <c r="F1203" s="12" t="n">
        <v>10370</v>
      </c>
      <c r="G1203" s="12" t="n">
        <v>16247</v>
      </c>
      <c r="H1203" s="6" t="n">
        <f>SUM(F1203,G1203)/2</f>
        <v>13308.5</v>
      </c>
    </row>
    <row r="1204" s="18" customFormat="1" ht="14.399999999999999" customHeight="1">
      <c r="A1204" s="10" t="s">
        <v>6027</v>
      </c>
      <c r="B1204" s="10" t="s">
        <v>6028</v>
      </c>
      <c r="C1204" s="10" t="n">
        <v>0</v>
      </c>
      <c r="D1204" s="10" t="n">
        <v>0</v>
      </c>
      <c r="E1204" s="6" t="n">
        <f>SUM(C1204,D1204)/2</f>
        <v>0</v>
      </c>
      <c r="F1204" s="18" t="n">
        <v>1</v>
      </c>
      <c r="G1204" s="18" t="n">
        <v>1</v>
      </c>
      <c r="H1204" s="6" t="n">
        <f>SUM(F1204,G1204)/2</f>
        <v>1</v>
      </c>
    </row>
    <row r="1205" s="18" customFormat="1" ht="14.399999999999999" customHeight="1">
      <c r="A1205" s="10" t="s">
        <v>2897</v>
      </c>
      <c r="B1205" s="10" t="s">
        <v>2898</v>
      </c>
      <c r="C1205" s="10" t="n">
        <v>0</v>
      </c>
      <c r="D1205" s="10" t="n">
        <v>0</v>
      </c>
      <c r="E1205" s="6" t="n">
        <f>SUM(C1205,D1205)/2</f>
        <v>0</v>
      </c>
      <c r="F1205" s="18" t="n">
        <v>0</v>
      </c>
      <c r="G1205" s="18" t="n">
        <v>0</v>
      </c>
      <c r="H1205" s="6" t="n">
        <f>SUM(F1205,G1205)/2</f>
        <v>0</v>
      </c>
    </row>
    <row r="1206" s="18" customFormat="1" ht="14.399999999999999" customHeight="1">
      <c r="A1206" s="10" t="s">
        <v>6029</v>
      </c>
      <c r="B1206" s="10" t="s">
        <v>6030</v>
      </c>
      <c r="C1206" s="10" t="n">
        <v>646</v>
      </c>
      <c r="D1206" s="13" t="n">
        <v>1032</v>
      </c>
      <c r="E1206" s="6" t="n">
        <f>SUM(C1206,D1206)/2</f>
        <v>839</v>
      </c>
      <c r="F1206" s="18" t="n">
        <v>40</v>
      </c>
      <c r="G1206" s="18" t="n">
        <v>194</v>
      </c>
      <c r="H1206" s="6" t="n">
        <f>SUM(F1206,G1206)/2</f>
        <v>117</v>
      </c>
    </row>
    <row r="1207" s="18" customFormat="1" ht="14.399999999999999" customHeight="1">
      <c r="A1207" s="10" t="s">
        <v>2899</v>
      </c>
      <c r="B1207" s="10" t="s">
        <v>2900</v>
      </c>
      <c r="C1207" s="10" t="n">
        <v>0</v>
      </c>
      <c r="D1207" s="10" t="n">
        <v>0</v>
      </c>
      <c r="E1207" s="6" t="n">
        <f>SUM(C1207,D1207)/2</f>
        <v>0</v>
      </c>
      <c r="F1207" s="18" t="n">
        <v>0</v>
      </c>
      <c r="G1207" s="18" t="n">
        <v>0</v>
      </c>
      <c r="H1207" s="6" t="n">
        <f>SUM(F1207,G1207)/2</f>
        <v>0</v>
      </c>
    </row>
    <row r="1208" s="18" customFormat="1" ht="14.399999999999999" customHeight="1">
      <c r="A1208" s="10" t="s">
        <v>6031</v>
      </c>
      <c r="B1208" s="10" t="s">
        <v>6032</v>
      </c>
      <c r="C1208" s="10" t="n">
        <v>84</v>
      </c>
      <c r="D1208" s="10" t="n">
        <v>134</v>
      </c>
      <c r="E1208" s="6" t="n">
        <f>SUM(C1208,D1208)/2</f>
        <v>109</v>
      </c>
      <c r="F1208" s="18" t="n">
        <v>13</v>
      </c>
      <c r="G1208" s="18" t="n">
        <v>19</v>
      </c>
      <c r="H1208" s="6" t="n">
        <f>SUM(F1208,G1208)/2</f>
        <v>16</v>
      </c>
    </row>
    <row r="1209" s="18" customFormat="1" ht="14.399999999999999" customHeight="1">
      <c r="A1209" s="10" t="s">
        <v>2684</v>
      </c>
      <c r="B1209" s="10" t="s">
        <v>2685</v>
      </c>
      <c r="C1209" s="10" t="n">
        <v>0</v>
      </c>
      <c r="D1209" s="10" t="n">
        <v>0</v>
      </c>
      <c r="E1209" s="6" t="n">
        <f>SUM(C1209,D1209)/2</f>
        <v>0</v>
      </c>
      <c r="F1209" s="18" t="n">
        <v>1</v>
      </c>
      <c r="G1209" s="18" t="n">
        <v>1</v>
      </c>
      <c r="H1209" s="6" t="n">
        <f>SUM(F1209,G1209)/2</f>
        <v>1</v>
      </c>
    </row>
    <row r="1210" s="18" customFormat="1" ht="14.399999999999999" customHeight="1">
      <c r="A1210" s="10" t="s">
        <v>5508</v>
      </c>
      <c r="B1210" s="10" t="s">
        <v>5509</v>
      </c>
      <c r="C1210" s="10" t="n">
        <v>9</v>
      </c>
      <c r="D1210" s="10" t="n">
        <v>13</v>
      </c>
      <c r="E1210" s="6" t="n">
        <f>SUM(C1210,D1210)/2</f>
        <v>11</v>
      </c>
      <c r="F1210" s="18" t="n">
        <v>98</v>
      </c>
      <c r="G1210" s="18" t="n">
        <v>143</v>
      </c>
      <c r="H1210" s="6" t="n">
        <f>SUM(F1210,G1210)/2</f>
        <v>120.5</v>
      </c>
    </row>
    <row r="1211" s="18" customFormat="1" ht="14.399999999999999" customHeight="1">
      <c r="A1211" s="10" t="s">
        <v>2901</v>
      </c>
      <c r="B1211" s="10" t="s">
        <v>2902</v>
      </c>
      <c r="C1211" s="10" t="n">
        <v>0</v>
      </c>
      <c r="D1211" s="10" t="n">
        <v>0</v>
      </c>
      <c r="E1211" s="6" t="n">
        <f>SUM(C1211,D1211)/2</f>
        <v>0</v>
      </c>
      <c r="F1211" s="18" t="n">
        <v>0</v>
      </c>
      <c r="G1211" s="18" t="n">
        <v>0</v>
      </c>
      <c r="H1211" s="6" t="n">
        <f>SUM(F1211,G1211)/2</f>
        <v>0</v>
      </c>
    </row>
    <row r="1212" s="18" customFormat="1" ht="14.399999999999999" customHeight="1">
      <c r="A1212" s="10" t="s">
        <v>2686</v>
      </c>
      <c r="B1212" s="10" t="s">
        <v>2687</v>
      </c>
      <c r="C1212" s="10" t="n">
        <v>0</v>
      </c>
      <c r="D1212" s="10" t="n">
        <v>0</v>
      </c>
      <c r="E1212" s="6" t="n">
        <f>SUM(C1212,D1212)/2</f>
        <v>0</v>
      </c>
      <c r="F1212" s="18" t="n">
        <v>1</v>
      </c>
      <c r="G1212" s="18" t="n">
        <v>1</v>
      </c>
      <c r="H1212" s="6" t="n">
        <f>SUM(F1212,G1212)/2</f>
        <v>1</v>
      </c>
    </row>
    <row r="1213" s="18" customFormat="1" ht="14.399999999999999" customHeight="1">
      <c r="A1213" s="10" t="s">
        <v>3919</v>
      </c>
      <c r="B1213" s="10" t="s">
        <v>3920</v>
      </c>
      <c r="C1213" s="13" t="n">
        <v>40292</v>
      </c>
      <c r="D1213" s="13" t="n">
        <v>64364</v>
      </c>
      <c r="E1213" s="6" t="n">
        <f>SUM(C1213,D1213)/2</f>
        <v>52328</v>
      </c>
      <c r="F1213" s="12" t="n">
        <v>12664</v>
      </c>
      <c r="G1213" s="12" t="n">
        <v>17593</v>
      </c>
      <c r="H1213" s="6" t="n">
        <f>SUM(F1213,G1213)/2</f>
        <v>15128.5</v>
      </c>
    </row>
    <row r="1214" s="18" customFormat="1" ht="14.399999999999999" customHeight="1">
      <c r="A1214" s="10" t="s">
        <v>5512</v>
      </c>
      <c r="B1214" s="10" t="s">
        <v>5513</v>
      </c>
      <c r="C1214" s="10" t="n">
        <v>153</v>
      </c>
      <c r="D1214" s="10" t="n">
        <v>243</v>
      </c>
      <c r="E1214" s="6" t="n">
        <f>SUM(C1214,D1214)/2</f>
        <v>198</v>
      </c>
      <c r="F1214" s="18" t="n">
        <v>59</v>
      </c>
      <c r="G1214" s="18" t="n">
        <v>86</v>
      </c>
      <c r="H1214" s="6" t="n">
        <f>SUM(F1214,G1214)/2</f>
        <v>72.5</v>
      </c>
    </row>
    <row r="1215" s="18" customFormat="1" ht="14.399999999999999" customHeight="1">
      <c r="A1215" s="10" t="s">
        <v>4831</v>
      </c>
      <c r="B1215" s="10" t="s">
        <v>4832</v>
      </c>
      <c r="C1215" s="13" t="n">
        <v>24075</v>
      </c>
      <c r="D1215" s="13" t="n">
        <v>38457</v>
      </c>
      <c r="E1215" s="6" t="n">
        <f>SUM(C1215,D1215)/2</f>
        <v>31266</v>
      </c>
      <c r="F1215" s="18" t="n">
        <v>4301</v>
      </c>
      <c r="G1215" s="18" t="n">
        <v>5431</v>
      </c>
      <c r="H1215" s="6" t="n">
        <f>SUM(F1215,G1215)/2</f>
        <v>4866</v>
      </c>
    </row>
    <row r="1216" s="18" customFormat="1" ht="14.399999999999999" customHeight="1">
      <c r="A1216" s="10" t="s">
        <v>6033</v>
      </c>
      <c r="B1216" s="10" t="s">
        <v>6034</v>
      </c>
      <c r="C1216" s="13" t="n">
        <v>1452</v>
      </c>
      <c r="D1216" s="13" t="n">
        <v>2318</v>
      </c>
      <c r="E1216" s="6" t="n">
        <f>SUM(C1216,D1216)/2</f>
        <v>1885</v>
      </c>
      <c r="F1216" s="18" t="n">
        <v>780</v>
      </c>
      <c r="G1216" s="18" t="n">
        <v>932</v>
      </c>
      <c r="H1216" s="6" t="n">
        <f>SUM(F1216,G1216)/2</f>
        <v>856</v>
      </c>
    </row>
    <row r="1217" s="18" customFormat="1" ht="14.399999999999999" customHeight="1">
      <c r="A1217" s="10" t="s">
        <v>40</v>
      </c>
      <c r="B1217" s="10" t="s">
        <v>41</v>
      </c>
      <c r="C1217" s="13" t="n">
        <v>3648432</v>
      </c>
      <c r="D1217" s="13" t="n">
        <v>5828016</v>
      </c>
      <c r="E1217" s="6" t="n">
        <f>SUM(C1217,D1217)/2</f>
        <v>4738224</v>
      </c>
      <c r="F1217" s="12" t="n">
        <v>1117228</v>
      </c>
      <c r="G1217" s="12" t="n">
        <v>1588080</v>
      </c>
      <c r="H1217" s="6" t="n">
        <f>SUM(F1217,G1217)/2</f>
        <v>1352654</v>
      </c>
    </row>
    <row r="1218" s="18" customFormat="1" ht="14.399999999999999" customHeight="1">
      <c r="A1218" s="10" t="s">
        <v>2903</v>
      </c>
      <c r="B1218" s="10" t="s">
        <v>2904</v>
      </c>
      <c r="C1218" s="10" t="n">
        <v>0</v>
      </c>
      <c r="D1218" s="10" t="n">
        <v>0</v>
      </c>
      <c r="E1218" s="6" t="n">
        <f>SUM(C1218,D1218)/2</f>
        <v>0</v>
      </c>
      <c r="F1218" s="18" t="n">
        <v>0</v>
      </c>
      <c r="G1218" s="18" t="n">
        <v>0</v>
      </c>
      <c r="H1218" s="6" t="n">
        <f>SUM(F1218,G1218)/2</f>
        <v>0</v>
      </c>
    </row>
    <row r="1219" s="18" customFormat="1" ht="14.399999999999999" customHeight="1">
      <c r="A1219" s="10" t="s">
        <v>2905</v>
      </c>
      <c r="B1219" s="10" t="s">
        <v>2906</v>
      </c>
      <c r="C1219" s="10" t="n">
        <v>0</v>
      </c>
      <c r="D1219" s="10" t="n">
        <v>0</v>
      </c>
      <c r="E1219" s="6" t="n">
        <f>SUM(C1219,D1219)/2</f>
        <v>0</v>
      </c>
      <c r="F1219" s="18" t="n">
        <v>0</v>
      </c>
      <c r="G1219" s="18" t="n">
        <v>0</v>
      </c>
      <c r="H1219" s="6" t="n">
        <f>SUM(F1219,G1219)/2</f>
        <v>0</v>
      </c>
    </row>
    <row r="1220" s="18" customFormat="1" ht="14.399999999999999" customHeight="1">
      <c r="A1220" s="10" t="s">
        <v>4453</v>
      </c>
      <c r="B1220" s="10" t="s">
        <v>4454</v>
      </c>
      <c r="C1220" s="13" t="n">
        <v>25529</v>
      </c>
      <c r="D1220" s="13" t="n">
        <v>40781</v>
      </c>
      <c r="E1220" s="6" t="n">
        <f>SUM(C1220,D1220)/2</f>
        <v>33155</v>
      </c>
      <c r="F1220" s="12" t="n">
        <v>7426</v>
      </c>
      <c r="G1220" s="12" t="n">
        <v>10733</v>
      </c>
      <c r="H1220" s="6" t="n">
        <f>SUM(F1220,G1220)/2</f>
        <v>9079.5</v>
      </c>
    </row>
    <row r="1221" s="18" customFormat="1" ht="14.399999999999999" customHeight="1">
      <c r="A1221" s="10" t="s">
        <v>6035</v>
      </c>
      <c r="B1221" s="10" t="s">
        <v>6036</v>
      </c>
      <c r="C1221" s="10" t="n">
        <v>2</v>
      </c>
      <c r="D1221" s="10" t="n">
        <v>2</v>
      </c>
      <c r="E1221" s="6" t="n">
        <f>SUM(C1221,D1221)/2</f>
        <v>2</v>
      </c>
      <c r="F1221" s="18" t="n">
        <v>2</v>
      </c>
      <c r="G1221" s="18" t="n">
        <v>2</v>
      </c>
      <c r="H1221" s="6" t="n">
        <f>SUM(F1221,G1221)/2</f>
        <v>2</v>
      </c>
    </row>
    <row r="1222" s="18" customFormat="1" ht="14.399999999999999" customHeight="1">
      <c r="A1222" s="10" t="s">
        <v>2688</v>
      </c>
      <c r="B1222" s="10" t="s">
        <v>2689</v>
      </c>
      <c r="C1222" s="10" t="n">
        <v>0</v>
      </c>
      <c r="D1222" s="10" t="n">
        <v>0</v>
      </c>
      <c r="E1222" s="6" t="n">
        <f>SUM(C1222,D1222)/2</f>
        <v>0</v>
      </c>
      <c r="F1222" s="18" t="n">
        <v>1</v>
      </c>
      <c r="G1222" s="18" t="n">
        <v>1</v>
      </c>
      <c r="H1222" s="6" t="n">
        <f>SUM(F1222,G1222)/2</f>
        <v>1</v>
      </c>
    </row>
    <row r="1223" s="18" customFormat="1" ht="14.399999999999999" customHeight="1">
      <c r="A1223" s="10" t="s">
        <v>2763</v>
      </c>
      <c r="B1223" s="10" t="s">
        <v>2764</v>
      </c>
      <c r="C1223" s="10" t="n">
        <v>2</v>
      </c>
      <c r="D1223" s="10" t="n">
        <v>2</v>
      </c>
      <c r="E1223" s="6" t="n">
        <f>SUM(C1223,D1223)/2</f>
        <v>2</v>
      </c>
      <c r="F1223" s="18" t="n">
        <v>0</v>
      </c>
      <c r="G1223" s="18" t="n">
        <v>0</v>
      </c>
      <c r="H1223" s="6" t="n">
        <f>SUM(F1223,G1223)/2</f>
        <v>0</v>
      </c>
    </row>
    <row r="1224" s="18" customFormat="1" ht="14.399999999999999" customHeight="1">
      <c r="A1224" s="10" t="s">
        <v>2024</v>
      </c>
      <c r="B1224" s="10" t="s">
        <v>2025</v>
      </c>
      <c r="C1224" s="10" t="n">
        <v>51</v>
      </c>
      <c r="D1224" s="10" t="n">
        <v>81</v>
      </c>
      <c r="E1224" s="6" t="n">
        <f>SUM(C1224,D1224)/2</f>
        <v>66</v>
      </c>
      <c r="F1224" s="18" t="n">
        <v>0</v>
      </c>
      <c r="G1224" s="18" t="n">
        <v>0</v>
      </c>
      <c r="H1224" s="6" t="n">
        <f>SUM(F1224,G1224)/2</f>
        <v>0</v>
      </c>
    </row>
    <row r="1225" s="18" customFormat="1" ht="14.399999999999999" customHeight="1">
      <c r="A1225" s="10" t="s">
        <v>3235</v>
      </c>
      <c r="B1225" s="10" t="s">
        <v>3236</v>
      </c>
      <c r="C1225" s="13" t="n">
        <v>82729</v>
      </c>
      <c r="D1225" s="13" t="n">
        <v>132151</v>
      </c>
      <c r="E1225" s="6" t="n">
        <f>SUM(C1225,D1225)/2</f>
        <v>107440</v>
      </c>
      <c r="F1225" s="12" t="n">
        <v>28533</v>
      </c>
      <c r="G1225" s="12" t="n">
        <v>41368</v>
      </c>
      <c r="H1225" s="6" t="n">
        <f>SUM(F1225,G1225)/2</f>
        <v>34950.5</v>
      </c>
    </row>
    <row r="1226" s="18" customFormat="1" ht="14.399999999999999" customHeight="1">
      <c r="A1226" s="10" t="s">
        <v>2610</v>
      </c>
      <c r="B1226" s="10" t="s">
        <v>2611</v>
      </c>
      <c r="C1226" s="10" t="n">
        <v>2</v>
      </c>
      <c r="D1226" s="10" t="n">
        <v>4</v>
      </c>
      <c r="E1226" s="6" t="n">
        <f>SUM(C1226,D1226)/2</f>
        <v>3</v>
      </c>
      <c r="F1226" s="18" t="n">
        <v>1</v>
      </c>
      <c r="G1226" s="18" t="n">
        <v>1</v>
      </c>
      <c r="H1226" s="6" t="n">
        <f>SUM(F1226,G1226)/2</f>
        <v>1</v>
      </c>
    </row>
    <row r="1227" s="18" customFormat="1" ht="14.399999999999999" customHeight="1">
      <c r="A1227" s="10" t="s">
        <v>3611</v>
      </c>
      <c r="B1227" s="10" t="s">
        <v>3612</v>
      </c>
      <c r="C1227" s="13" t="n">
        <v>24703</v>
      </c>
      <c r="D1227" s="13" t="n">
        <v>39463</v>
      </c>
      <c r="E1227" s="6" t="n">
        <f>SUM(C1227,D1227)/2</f>
        <v>32083</v>
      </c>
      <c r="F1227" s="12" t="n">
        <v>26567</v>
      </c>
      <c r="G1227" s="12" t="n">
        <v>33952</v>
      </c>
      <c r="H1227" s="6" t="n">
        <f>SUM(F1227,G1227)/2</f>
        <v>30259.5</v>
      </c>
    </row>
    <row r="1228" s="18" customFormat="1" ht="14.399999999999999" customHeight="1">
      <c r="A1228" s="10" t="s">
        <v>1161</v>
      </c>
      <c r="B1228" s="10" t="s">
        <v>1162</v>
      </c>
      <c r="C1228" s="13" t="n">
        <v>130677</v>
      </c>
      <c r="D1228" s="13" t="n">
        <v>208743</v>
      </c>
      <c r="E1228" s="6" t="n">
        <f>SUM(C1228,D1228)/2</f>
        <v>169710</v>
      </c>
      <c r="F1228" s="12" t="n">
        <v>76380</v>
      </c>
      <c r="G1228" s="12" t="n">
        <v>109810</v>
      </c>
      <c r="H1228" s="6" t="n">
        <f>SUM(F1228,G1228)/2</f>
        <v>93095</v>
      </c>
    </row>
    <row r="1229" s="18" customFormat="1" ht="14.399999999999999" customHeight="1">
      <c r="A1229" s="10" t="s">
        <v>94</v>
      </c>
      <c r="B1229" s="10" t="s">
        <v>95</v>
      </c>
      <c r="C1229" s="13" t="n">
        <v>3221</v>
      </c>
      <c r="D1229" s="13" t="n">
        <v>5143</v>
      </c>
      <c r="E1229" s="6" t="n">
        <f>SUM(C1229,D1229)/2</f>
        <v>4182</v>
      </c>
      <c r="F1229" s="12" t="n">
        <v>22876</v>
      </c>
      <c r="G1229" s="12" t="n">
        <v>35140</v>
      </c>
      <c r="H1229" s="6" t="n">
        <f>SUM(F1229,G1229)/2</f>
        <v>29008</v>
      </c>
    </row>
    <row r="1230" s="18" customFormat="1" ht="14.399999999999999" customHeight="1">
      <c r="A1230" s="10" t="s">
        <v>3205</v>
      </c>
      <c r="B1230" s="10" t="s">
        <v>3206</v>
      </c>
      <c r="C1230" s="13" t="n">
        <v>121443</v>
      </c>
      <c r="D1230" s="13" t="n">
        <v>193997</v>
      </c>
      <c r="E1230" s="6" t="n">
        <f>SUM(C1230,D1230)/2</f>
        <v>157720</v>
      </c>
      <c r="F1230" s="12" t="n">
        <v>21500</v>
      </c>
      <c r="G1230" s="12" t="n">
        <v>29468</v>
      </c>
      <c r="H1230" s="6" t="n">
        <f>SUM(F1230,G1230)/2</f>
        <v>25484</v>
      </c>
    </row>
    <row r="1231" s="18" customFormat="1" ht="14.399999999999999" customHeight="1">
      <c r="A1231" s="10" t="s">
        <v>1941</v>
      </c>
      <c r="B1231" s="10" t="s">
        <v>1942</v>
      </c>
      <c r="C1231" s="10" t="n">
        <v>5</v>
      </c>
      <c r="D1231" s="10" t="n">
        <v>7</v>
      </c>
      <c r="E1231" s="6" t="n">
        <f>SUM(C1231,D1231)/2</f>
        <v>6</v>
      </c>
      <c r="F1231" s="18" t="n">
        <v>11</v>
      </c>
      <c r="G1231" s="18" t="n">
        <v>15</v>
      </c>
      <c r="H1231" s="6" t="n">
        <f>SUM(F1231,G1231)/2</f>
        <v>13</v>
      </c>
    </row>
    <row r="1232" s="18" customFormat="1" ht="14.399999999999999" customHeight="1">
      <c r="A1232" s="10" t="s">
        <v>2104</v>
      </c>
      <c r="B1232" s="10" t="s">
        <v>79</v>
      </c>
      <c r="C1232" s="13" t="n">
        <v>179190</v>
      </c>
      <c r="D1232" s="13" t="n">
        <v>286238</v>
      </c>
      <c r="E1232" s="6" t="n">
        <f>SUM(C1232,D1232)/2</f>
        <v>232714</v>
      </c>
      <c r="F1232" s="12" t="n">
        <v>123588</v>
      </c>
      <c r="G1232" s="12" t="n">
        <v>187468</v>
      </c>
      <c r="H1232" s="6" t="n">
        <f>SUM(F1232,G1232)/2</f>
        <v>155528</v>
      </c>
    </row>
    <row r="1233" s="18" customFormat="1" ht="14.399999999999999" customHeight="1">
      <c r="A1233" s="10" t="s">
        <v>1853</v>
      </c>
      <c r="B1233" s="10" t="s">
        <v>1854</v>
      </c>
      <c r="C1233" s="10" t="n">
        <v>16</v>
      </c>
      <c r="D1233" s="10" t="n">
        <v>24</v>
      </c>
      <c r="E1233" s="6" t="n">
        <f>SUM(C1233,D1233)/2</f>
        <v>20</v>
      </c>
      <c r="F1233" s="18" t="n">
        <v>12</v>
      </c>
      <c r="G1233" s="18" t="n">
        <v>19</v>
      </c>
      <c r="H1233" s="6" t="n">
        <f>SUM(F1233,G1233)/2</f>
        <v>15.5</v>
      </c>
    </row>
    <row r="1234" s="18" customFormat="1" ht="14.399999999999999" customHeight="1">
      <c r="A1234" s="10" t="s">
        <v>2660</v>
      </c>
      <c r="B1234" s="10" t="s">
        <v>2661</v>
      </c>
      <c r="C1234" s="10" t="n">
        <v>4</v>
      </c>
      <c r="D1234" s="10" t="n">
        <v>6</v>
      </c>
      <c r="E1234" s="6" t="n">
        <f>SUM(C1234,D1234)/2</f>
        <v>5</v>
      </c>
      <c r="F1234" s="18" t="n">
        <v>0</v>
      </c>
      <c r="G1234" s="18" t="n">
        <v>0</v>
      </c>
      <c r="H1234" s="6" t="n">
        <f>SUM(F1234,G1234)/2</f>
        <v>0</v>
      </c>
    </row>
    <row r="1235" s="18" customFormat="1" ht="14.399999999999999" customHeight="1">
      <c r="A1235" s="10" t="s">
        <v>140</v>
      </c>
      <c r="B1235" s="10" t="s">
        <v>141</v>
      </c>
      <c r="C1235" s="13" t="n">
        <v>13507</v>
      </c>
      <c r="D1235" s="13" t="n">
        <v>21575</v>
      </c>
      <c r="E1235" s="6" t="n">
        <f>SUM(C1235,D1235)/2</f>
        <v>17541</v>
      </c>
      <c r="F1235" s="18" t="n">
        <v>2969</v>
      </c>
      <c r="G1235" s="18" t="n">
        <v>4701</v>
      </c>
      <c r="H1235" s="6" t="n">
        <f>SUM(F1235,G1235)/2</f>
        <v>3835</v>
      </c>
    </row>
    <row r="1236" s="18" customFormat="1" ht="14.399999999999999" customHeight="1">
      <c r="A1236" s="10" t="s">
        <v>2520</v>
      </c>
      <c r="B1236" s="10" t="s">
        <v>2521</v>
      </c>
      <c r="C1236" s="10" t="n">
        <v>7</v>
      </c>
      <c r="D1236" s="10" t="n">
        <v>11</v>
      </c>
      <c r="E1236" s="6" t="n">
        <f>SUM(C1236,D1236)/2</f>
        <v>9</v>
      </c>
      <c r="F1236" s="18" t="n">
        <v>1</v>
      </c>
      <c r="G1236" s="18" t="n">
        <v>1</v>
      </c>
      <c r="H1236" s="6" t="n">
        <f>SUM(F1236,G1236)/2</f>
        <v>1</v>
      </c>
    </row>
    <row r="1237" s="18" customFormat="1" ht="14.399999999999999" customHeight="1">
      <c r="A1237" s="10" t="s">
        <v>4217</v>
      </c>
      <c r="B1237" s="10" t="s">
        <v>4218</v>
      </c>
      <c r="C1237" s="13" t="n">
        <v>21851</v>
      </c>
      <c r="D1237" s="13" t="n">
        <v>34907</v>
      </c>
      <c r="E1237" s="6" t="n">
        <f>SUM(C1237,D1237)/2</f>
        <v>28379</v>
      </c>
      <c r="F1237" s="12" t="n">
        <v>10593</v>
      </c>
      <c r="G1237" s="12" t="n">
        <v>16828</v>
      </c>
      <c r="H1237" s="6" t="n">
        <f>SUM(F1237,G1237)/2</f>
        <v>13710.5</v>
      </c>
    </row>
    <row r="1238" s="18" customFormat="1" ht="14.399999999999999" customHeight="1">
      <c r="A1238" s="10" t="s">
        <v>6037</v>
      </c>
      <c r="B1238" s="10" t="s">
        <v>6038</v>
      </c>
      <c r="C1238" s="10" t="n">
        <v>0</v>
      </c>
      <c r="D1238" s="10" t="n">
        <v>0</v>
      </c>
      <c r="E1238" s="6" t="n">
        <f>SUM(C1238,D1238)/2</f>
        <v>0</v>
      </c>
      <c r="F1238" s="18" t="n">
        <v>5</v>
      </c>
      <c r="G1238" s="18" t="n">
        <v>8</v>
      </c>
      <c r="H1238" s="6" t="n">
        <f>SUM(F1238,G1238)/2</f>
        <v>6.5</v>
      </c>
    </row>
    <row r="1239" s="18" customFormat="1" ht="14.399999999999999" customHeight="1">
      <c r="A1239" s="10" t="s">
        <v>3493</v>
      </c>
      <c r="B1239" s="10" t="s">
        <v>3494</v>
      </c>
      <c r="C1239" s="13" t="n">
        <v>54074</v>
      </c>
      <c r="D1239" s="13" t="n">
        <v>86378</v>
      </c>
      <c r="E1239" s="6" t="n">
        <f>SUM(C1239,D1239)/2</f>
        <v>70226</v>
      </c>
      <c r="F1239" s="12" t="n">
        <v>25784</v>
      </c>
      <c r="G1239" s="12" t="n">
        <v>30534</v>
      </c>
      <c r="H1239" s="6" t="n">
        <f>SUM(F1239,G1239)/2</f>
        <v>28159</v>
      </c>
    </row>
    <row r="1240" s="18" customFormat="1" ht="14.399999999999999" customHeight="1">
      <c r="A1240" s="10" t="s">
        <v>6039</v>
      </c>
      <c r="B1240" s="10" t="s">
        <v>6040</v>
      </c>
      <c r="C1240" s="13" t="n">
        <v>6384</v>
      </c>
      <c r="D1240" s="13" t="n">
        <v>10198</v>
      </c>
      <c r="E1240" s="6" t="n">
        <f>SUM(C1240,D1240)/2</f>
        <v>8291</v>
      </c>
      <c r="F1240" s="12" t="n">
        <v>4837</v>
      </c>
      <c r="G1240" s="12" t="n">
        <v>6732</v>
      </c>
      <c r="H1240" s="6" t="n">
        <f>SUM(F1240,G1240)/2</f>
        <v>5784.5</v>
      </c>
    </row>
    <row r="1241" s="18" customFormat="1" ht="14.399999999999999" customHeight="1">
      <c r="A1241" s="10" t="s">
        <v>2438</v>
      </c>
      <c r="B1241" s="10" t="s">
        <v>2439</v>
      </c>
      <c r="C1241" s="10" t="n">
        <v>2</v>
      </c>
      <c r="D1241" s="10" t="n">
        <v>2</v>
      </c>
      <c r="E1241" s="6" t="n">
        <f>SUM(C1241,D1241)/2</f>
        <v>2</v>
      </c>
      <c r="F1241" s="18" t="n">
        <v>3</v>
      </c>
      <c r="G1241" s="18" t="n">
        <v>4</v>
      </c>
      <c r="H1241" s="6" t="n">
        <f>SUM(F1241,G1241)/2</f>
        <v>3.5</v>
      </c>
    </row>
    <row r="1242" s="18" customFormat="1" ht="14.399999999999999" customHeight="1">
      <c r="A1242" s="10" t="s">
        <v>2378</v>
      </c>
      <c r="B1242" s="10" t="s">
        <v>2379</v>
      </c>
      <c r="C1242" s="10" t="n">
        <v>5</v>
      </c>
      <c r="D1242" s="10" t="n">
        <v>7</v>
      </c>
      <c r="E1242" s="6" t="n">
        <f>SUM(C1242,D1242)/2</f>
        <v>6</v>
      </c>
      <c r="F1242" s="18" t="n">
        <v>3</v>
      </c>
      <c r="G1242" s="18" t="n">
        <v>4</v>
      </c>
      <c r="H1242" s="6" t="n">
        <f>SUM(F1242,G1242)/2</f>
        <v>3.5</v>
      </c>
    </row>
    <row r="1243" s="18" customFormat="1" ht="14.399999999999999" customHeight="1">
      <c r="A1243" s="10" t="s">
        <v>70</v>
      </c>
      <c r="B1243" s="10" t="s">
        <v>71</v>
      </c>
      <c r="C1243" s="13" t="n">
        <v>785075</v>
      </c>
      <c r="D1243" s="13" t="n">
        <v>1254083</v>
      </c>
      <c r="E1243" s="6" t="n">
        <f>SUM(C1243,D1243)/2</f>
        <v>1019579</v>
      </c>
      <c r="F1243" s="12" t="n">
        <v>266015</v>
      </c>
      <c r="G1243" s="12" t="n">
        <v>415010</v>
      </c>
      <c r="H1243" s="6" t="n">
        <f>SUM(F1243,G1243)/2</f>
        <v>340512.5</v>
      </c>
    </row>
    <row r="1244" s="18" customFormat="1" ht="14.399999999999999" customHeight="1">
      <c r="A1244" s="10" t="s">
        <v>6041</v>
      </c>
      <c r="B1244" s="10" t="s">
        <v>6042</v>
      </c>
      <c r="C1244" s="13" t="n">
        <v>20368</v>
      </c>
      <c r="D1244" s="13" t="n">
        <v>32534</v>
      </c>
      <c r="E1244" s="6" t="n">
        <f>SUM(C1244,D1244)/2</f>
        <v>26451</v>
      </c>
      <c r="F1244" s="12" t="n">
        <v>16369</v>
      </c>
      <c r="G1244" s="12" t="n">
        <v>25179</v>
      </c>
      <c r="H1244" s="6" t="n">
        <f>SUM(F1244,G1244)/2</f>
        <v>20774</v>
      </c>
    </row>
    <row r="1245" s="18" customFormat="1" ht="14.399999999999999" customHeight="1">
      <c r="A1245" s="10" t="s">
        <v>3609</v>
      </c>
      <c r="B1245" s="10" t="s">
        <v>3610</v>
      </c>
      <c r="C1245" s="13" t="n">
        <v>104576</v>
      </c>
      <c r="D1245" s="13" t="n">
        <v>167050</v>
      </c>
      <c r="E1245" s="6" t="n">
        <f>SUM(C1245,D1245)/2</f>
        <v>135813</v>
      </c>
      <c r="F1245" s="12" t="n">
        <v>6588</v>
      </c>
      <c r="G1245" s="12" t="n">
        <v>9769</v>
      </c>
      <c r="H1245" s="6" t="n">
        <f>SUM(F1245,G1245)/2</f>
        <v>8178.5</v>
      </c>
    </row>
    <row r="1246" s="18" customFormat="1" ht="14.399999999999999" customHeight="1">
      <c r="A1246" s="10" t="s">
        <v>2801</v>
      </c>
      <c r="B1246" s="10" t="s">
        <v>2802</v>
      </c>
      <c r="C1246" s="10" t="n">
        <v>1</v>
      </c>
      <c r="D1246" s="10" t="n">
        <v>1</v>
      </c>
      <c r="E1246" s="6" t="n">
        <f>SUM(C1246,D1246)/2</f>
        <v>1</v>
      </c>
      <c r="F1246" s="18" t="n">
        <v>0</v>
      </c>
      <c r="G1246" s="18" t="n">
        <v>0</v>
      </c>
      <c r="H1246" s="6" t="n">
        <f>SUM(F1246,G1246)/2</f>
        <v>0</v>
      </c>
    </row>
    <row r="1247" s="18" customFormat="1" ht="14.399999999999999" customHeight="1">
      <c r="A1247" s="10" t="s">
        <v>710</v>
      </c>
      <c r="B1247" s="10" t="s">
        <v>711</v>
      </c>
      <c r="C1247" s="13" t="n">
        <v>2490481</v>
      </c>
      <c r="D1247" s="13" t="n">
        <v>3978298</v>
      </c>
      <c r="E1247" s="6" t="n">
        <f>SUM(C1247,D1247)/2</f>
        <v>3234389.5</v>
      </c>
      <c r="F1247" s="12" t="n">
        <v>474227</v>
      </c>
      <c r="G1247" s="12" t="n">
        <v>693151</v>
      </c>
      <c r="H1247" s="6" t="n">
        <f>SUM(F1247,G1247)/2</f>
        <v>583689</v>
      </c>
    </row>
    <row r="1248" s="18" customFormat="1" ht="14.399999999999999" customHeight="1">
      <c r="A1248" s="10" t="s">
        <v>2907</v>
      </c>
      <c r="B1248" s="10" t="s">
        <v>2908</v>
      </c>
      <c r="C1248" s="10" t="n">
        <v>0</v>
      </c>
      <c r="D1248" s="10" t="n">
        <v>0</v>
      </c>
      <c r="E1248" s="6" t="n">
        <f>SUM(C1248,D1248)/2</f>
        <v>0</v>
      </c>
      <c r="F1248" s="18" t="n">
        <v>0</v>
      </c>
      <c r="G1248" s="18" t="n">
        <v>0</v>
      </c>
      <c r="H1248" s="6" t="n">
        <f>SUM(F1248,G1248)/2</f>
        <v>0</v>
      </c>
    </row>
    <row r="1249" s="18" customFormat="1" ht="14.399999999999999" customHeight="1">
      <c r="A1249" s="10" t="s">
        <v>442</v>
      </c>
      <c r="B1249" s="10" t="s">
        <v>443</v>
      </c>
      <c r="C1249" s="10" t="n">
        <v>378</v>
      </c>
      <c r="D1249" s="10" t="n">
        <v>604</v>
      </c>
      <c r="E1249" s="6" t="n">
        <f>SUM(C1249,D1249)/2</f>
        <v>491</v>
      </c>
      <c r="F1249" s="18" t="n">
        <v>302</v>
      </c>
      <c r="G1249" s="18" t="n">
        <v>335</v>
      </c>
      <c r="H1249" s="6" t="n">
        <f>SUM(F1249,G1249)/2</f>
        <v>318.5</v>
      </c>
    </row>
    <row r="1250" s="18" customFormat="1" ht="14.399999999999999" customHeight="1">
      <c r="A1250" s="10" t="s">
        <v>684</v>
      </c>
      <c r="B1250" s="10" t="s">
        <v>685</v>
      </c>
      <c r="C1250" s="10" t="n">
        <v>393</v>
      </c>
      <c r="D1250" s="10" t="n">
        <v>629</v>
      </c>
      <c r="E1250" s="6" t="n">
        <f>SUM(C1250,D1250)/2</f>
        <v>511</v>
      </c>
      <c r="F1250" s="18" t="n">
        <v>29</v>
      </c>
      <c r="G1250" s="18" t="n">
        <v>36</v>
      </c>
      <c r="H1250" s="6" t="n">
        <f>SUM(F1250,G1250)/2</f>
        <v>32.5</v>
      </c>
    </row>
    <row r="1251" s="18" customFormat="1" ht="14.399999999999999" customHeight="1">
      <c r="A1251" s="10" t="s">
        <v>1326</v>
      </c>
      <c r="B1251" s="10" t="s">
        <v>1327</v>
      </c>
      <c r="C1251" s="10" t="n">
        <v>25</v>
      </c>
      <c r="D1251" s="10" t="n">
        <v>39</v>
      </c>
      <c r="E1251" s="6" t="n">
        <f>SUM(C1251,D1251)/2</f>
        <v>32</v>
      </c>
      <c r="F1251" s="18" t="n">
        <v>73</v>
      </c>
      <c r="G1251" s="18" t="n">
        <v>106</v>
      </c>
      <c r="H1251" s="6" t="n">
        <f>SUM(F1251,G1251)/2</f>
        <v>89.5</v>
      </c>
    </row>
    <row r="1252" s="18" customFormat="1" ht="14.399999999999999" customHeight="1">
      <c r="A1252" s="10" t="s">
        <v>6043</v>
      </c>
      <c r="B1252" s="10" t="s">
        <v>6044</v>
      </c>
      <c r="C1252" s="13" t="n">
        <v>212112</v>
      </c>
      <c r="D1252" s="13" t="n">
        <v>338831</v>
      </c>
      <c r="E1252" s="6" t="n">
        <f>SUM(C1252,D1252)/2</f>
        <v>275471.5</v>
      </c>
      <c r="F1252" s="12" t="n">
        <v>69933</v>
      </c>
      <c r="G1252" s="12" t="n">
        <v>111895</v>
      </c>
      <c r="H1252" s="6" t="n">
        <f>SUM(F1252,G1252)/2</f>
        <v>90914</v>
      </c>
    </row>
    <row r="1253" s="18" customFormat="1" ht="14.399999999999999" customHeight="1">
      <c r="A1253" s="10" t="s">
        <v>1813</v>
      </c>
      <c r="B1253" s="10" t="s">
        <v>1814</v>
      </c>
      <c r="C1253" s="10" t="n">
        <v>14</v>
      </c>
      <c r="D1253" s="10" t="n">
        <v>24</v>
      </c>
      <c r="E1253" s="6" t="n">
        <f>SUM(C1253,D1253)/2</f>
        <v>19</v>
      </c>
      <c r="F1253" s="18" t="n">
        <v>15</v>
      </c>
      <c r="G1253" s="18" t="n">
        <v>20</v>
      </c>
      <c r="H1253" s="6" t="n">
        <f>SUM(F1253,G1253)/2</f>
        <v>17.5</v>
      </c>
    </row>
    <row r="1254" s="18" customFormat="1" ht="14.399999999999999" customHeight="1">
      <c r="A1254" s="10" t="s">
        <v>937</v>
      </c>
      <c r="B1254" s="10" t="s">
        <v>938</v>
      </c>
      <c r="C1254" s="13" t="n">
        <v>675428</v>
      </c>
      <c r="D1254" s="13" t="n">
        <v>1078930</v>
      </c>
      <c r="E1254" s="6" t="n">
        <f>SUM(C1254,D1254)/2</f>
        <v>877179</v>
      </c>
      <c r="F1254" s="12" t="n">
        <v>110595</v>
      </c>
      <c r="G1254" s="12" t="n">
        <v>166533</v>
      </c>
      <c r="H1254" s="6" t="n">
        <f>SUM(F1254,G1254)/2</f>
        <v>138564</v>
      </c>
    </row>
    <row r="1255" s="18" customFormat="1" ht="14.399999999999999" customHeight="1">
      <c r="A1255" s="10" t="s">
        <v>4297</v>
      </c>
      <c r="B1255" s="10" t="s">
        <v>4298</v>
      </c>
      <c r="C1255" s="13" t="n">
        <v>26524</v>
      </c>
      <c r="D1255" s="13" t="n">
        <v>42370</v>
      </c>
      <c r="E1255" s="6" t="n">
        <f>SUM(C1255,D1255)/2</f>
        <v>34447</v>
      </c>
      <c r="F1255" s="12" t="n">
        <v>9092</v>
      </c>
      <c r="G1255" s="12" t="n">
        <v>13243</v>
      </c>
      <c r="H1255" s="6" t="n">
        <f>SUM(F1255,G1255)/2</f>
        <v>11167.5</v>
      </c>
    </row>
    <row r="1256" s="18" customFormat="1" ht="14.399999999999999" customHeight="1">
      <c r="A1256" s="10" t="s">
        <v>1136</v>
      </c>
      <c r="B1256" s="10" t="s">
        <v>1137</v>
      </c>
      <c r="C1256" s="13" t="n">
        <v>170545</v>
      </c>
      <c r="D1256" s="13" t="n">
        <v>272429</v>
      </c>
      <c r="E1256" s="6" t="n">
        <f>SUM(C1256,D1256)/2</f>
        <v>221487</v>
      </c>
      <c r="F1256" s="12" t="n">
        <v>105373</v>
      </c>
      <c r="G1256" s="12" t="n">
        <v>155285</v>
      </c>
      <c r="H1256" s="6" t="n">
        <f>SUM(F1256,G1256)/2</f>
        <v>130329</v>
      </c>
    </row>
    <row r="1257" s="18" customFormat="1" ht="14.399999999999999" customHeight="1">
      <c r="A1257" s="10" t="s">
        <v>3499</v>
      </c>
      <c r="B1257" s="10" t="s">
        <v>3500</v>
      </c>
      <c r="C1257" s="13" t="n">
        <v>43517</v>
      </c>
      <c r="D1257" s="13" t="n">
        <v>69515</v>
      </c>
      <c r="E1257" s="6" t="n">
        <f>SUM(C1257,D1257)/2</f>
        <v>56516</v>
      </c>
      <c r="F1257" s="12" t="n">
        <v>25234</v>
      </c>
      <c r="G1257" s="12" t="n">
        <v>35357</v>
      </c>
      <c r="H1257" s="6" t="n">
        <f>SUM(F1257,G1257)/2</f>
        <v>30295.5</v>
      </c>
    </row>
    <row r="1258" s="18" customFormat="1" ht="14.399999999999999" customHeight="1">
      <c r="A1258" s="10" t="s">
        <v>3335</v>
      </c>
      <c r="B1258" s="10" t="s">
        <v>3336</v>
      </c>
      <c r="C1258" s="13" t="n">
        <v>118321</v>
      </c>
      <c r="D1258" s="13" t="n">
        <v>189007</v>
      </c>
      <c r="E1258" s="6" t="n">
        <f>SUM(C1258,D1258)/2</f>
        <v>153664</v>
      </c>
      <c r="F1258" s="12" t="n">
        <v>14284</v>
      </c>
      <c r="G1258" s="12" t="n">
        <v>20515</v>
      </c>
      <c r="H1258" s="6" t="n">
        <f>SUM(F1258,G1258)/2</f>
        <v>17399.5</v>
      </c>
    </row>
    <row r="1259" s="18" customFormat="1" ht="14.399999999999999" customHeight="1">
      <c r="A1259" s="10" t="s">
        <v>6045</v>
      </c>
      <c r="B1259" s="10" t="s">
        <v>6046</v>
      </c>
      <c r="C1259" s="13" t="n">
        <v>194905</v>
      </c>
      <c r="D1259" s="13" t="n">
        <v>311341</v>
      </c>
      <c r="E1259" s="6" t="n">
        <f>SUM(C1259,D1259)/2</f>
        <v>253123</v>
      </c>
      <c r="F1259" s="12" t="n">
        <v>30967</v>
      </c>
      <c r="G1259" s="12" t="n">
        <v>46581</v>
      </c>
      <c r="H1259" s="6" t="n">
        <f>SUM(F1259,G1259)/2</f>
        <v>38774</v>
      </c>
    </row>
    <row r="1260" s="18" customFormat="1" ht="14.399999999999999" customHeight="1">
      <c r="A1260" s="10" t="s">
        <v>3519</v>
      </c>
      <c r="B1260" s="10" t="s">
        <v>3520</v>
      </c>
      <c r="C1260" s="13" t="n">
        <v>84657</v>
      </c>
      <c r="D1260" s="13" t="n">
        <v>135229</v>
      </c>
      <c r="E1260" s="6" t="n">
        <f>SUM(C1260,D1260)/2</f>
        <v>109943</v>
      </c>
      <c r="F1260" s="12" t="n">
        <v>15033</v>
      </c>
      <c r="G1260" s="12" t="n">
        <v>21298</v>
      </c>
      <c r="H1260" s="6" t="n">
        <f>SUM(F1260,G1260)/2</f>
        <v>18165.5</v>
      </c>
    </row>
    <row r="1261" s="18" customFormat="1" ht="14.399999999999999" customHeight="1">
      <c r="A1261" s="10" t="s">
        <v>6047</v>
      </c>
      <c r="B1261" s="10" t="s">
        <v>6048</v>
      </c>
      <c r="C1261" s="10"/>
      <c r="D1261" s="10"/>
      <c r="E1261" s="6" t="n">
        <f>SUM(C1261,D1261)/2</f>
        <v>0</v>
      </c>
      <c r="F1261" s="12" t="n">
        <v>2406885</v>
      </c>
      <c r="G1261" s="12" t="n">
        <v>2742037</v>
      </c>
      <c r="H1261" s="6" t="n">
        <f>SUM(F1261,G1261)/2</f>
        <v>2574461</v>
      </c>
    </row>
    <row r="1262" s="18" customFormat="1" ht="14.399999999999999" customHeight="1">
      <c r="A1262" s="10" t="s">
        <v>3277</v>
      </c>
      <c r="B1262" s="10" t="s">
        <v>3278</v>
      </c>
      <c r="C1262" s="13" t="n">
        <v>96318</v>
      </c>
      <c r="D1262" s="13" t="n">
        <v>153858</v>
      </c>
      <c r="E1262" s="6" t="n">
        <f>SUM(C1262,D1262)/2</f>
        <v>125088</v>
      </c>
      <c r="F1262" s="12" t="n">
        <v>22809</v>
      </c>
      <c r="G1262" s="12" t="n">
        <v>34243</v>
      </c>
      <c r="H1262" s="6" t="n">
        <f>SUM(F1262,G1262)/2</f>
        <v>28526</v>
      </c>
    </row>
    <row r="1263" s="18" customFormat="1" ht="14.399999999999999" customHeight="1">
      <c r="A1263" s="10" t="s">
        <v>6049</v>
      </c>
      <c r="B1263" s="10" t="s">
        <v>6050</v>
      </c>
      <c r="C1263" s="13" t="n">
        <v>141475</v>
      </c>
      <c r="D1263" s="13" t="n">
        <v>225991</v>
      </c>
      <c r="E1263" s="6" t="n">
        <f>SUM(C1263,D1263)/2</f>
        <v>183733</v>
      </c>
      <c r="F1263" s="12" t="n">
        <v>44393</v>
      </c>
      <c r="G1263" s="12" t="n">
        <v>62884</v>
      </c>
      <c r="H1263" s="6" t="n">
        <f>SUM(F1263,G1263)/2</f>
        <v>53638.5</v>
      </c>
    </row>
    <row r="1264" s="18" customFormat="1" ht="14.399999999999999" customHeight="1">
      <c r="A1264" s="10" t="s">
        <v>4891</v>
      </c>
      <c r="B1264" s="10" t="s">
        <v>4892</v>
      </c>
      <c r="C1264" s="13" t="n">
        <v>20886</v>
      </c>
      <c r="D1264" s="13" t="n">
        <v>33360</v>
      </c>
      <c r="E1264" s="6" t="n">
        <f>SUM(C1264,D1264)/2</f>
        <v>27123</v>
      </c>
      <c r="F1264" s="12" t="n">
        <v>4390</v>
      </c>
      <c r="G1264" s="12" t="n">
        <v>5947</v>
      </c>
      <c r="H1264" s="6" t="n">
        <f>SUM(F1264,G1264)/2</f>
        <v>5168.5</v>
      </c>
    </row>
    <row r="1265" s="18" customFormat="1" ht="14.399999999999999" customHeight="1">
      <c r="A1265" s="10" t="s">
        <v>1557</v>
      </c>
      <c r="B1265" s="10" t="s">
        <v>1558</v>
      </c>
      <c r="C1265" s="10" t="n">
        <v>164</v>
      </c>
      <c r="D1265" s="10" t="n">
        <v>260</v>
      </c>
      <c r="E1265" s="6" t="n">
        <f>SUM(C1265,D1265)/2</f>
        <v>212</v>
      </c>
      <c r="F1265" s="18" t="n">
        <v>6</v>
      </c>
      <c r="G1265" s="18" t="n">
        <v>8</v>
      </c>
      <c r="H1265" s="6" t="n">
        <f>SUM(F1265,G1265)/2</f>
        <v>7</v>
      </c>
    </row>
    <row r="1266" s="18" customFormat="1" ht="14.399999999999999" customHeight="1">
      <c r="A1266" s="10" t="s">
        <v>3741</v>
      </c>
      <c r="B1266" s="10" t="s">
        <v>3742</v>
      </c>
      <c r="C1266" s="13" t="n">
        <v>76467</v>
      </c>
      <c r="D1266" s="13" t="n">
        <v>122148</v>
      </c>
      <c r="E1266" s="6" t="n">
        <f>SUM(C1266,D1266)/2</f>
        <v>99307.5</v>
      </c>
      <c r="F1266" s="12" t="n">
        <v>8019</v>
      </c>
      <c r="G1266" s="12" t="n">
        <v>14472</v>
      </c>
      <c r="H1266" s="6" t="n">
        <f>SUM(F1266,G1266)/2</f>
        <v>11245.5</v>
      </c>
    </row>
    <row r="1267" s="18" customFormat="1" ht="14.399999999999999" customHeight="1">
      <c r="A1267" s="10" t="s">
        <v>6051</v>
      </c>
      <c r="B1267" s="10" t="s">
        <v>6052</v>
      </c>
      <c r="C1267" s="13" t="n">
        <v>29953</v>
      </c>
      <c r="D1267" s="13" t="n">
        <v>47848</v>
      </c>
      <c r="E1267" s="6" t="n">
        <f>SUM(C1267,D1267)/2</f>
        <v>38900.5</v>
      </c>
      <c r="F1267" s="12" t="n">
        <v>10086</v>
      </c>
      <c r="G1267" s="12" t="n">
        <v>13845</v>
      </c>
      <c r="H1267" s="6" t="n">
        <f>SUM(F1267,G1267)/2</f>
        <v>11965.5</v>
      </c>
    </row>
    <row r="1268" s="18" customFormat="1" ht="14.399999999999999" customHeight="1">
      <c r="A1268" s="10" t="s">
        <v>2506</v>
      </c>
      <c r="B1268" s="10" t="s">
        <v>2507</v>
      </c>
      <c r="C1268" s="10" t="n">
        <v>127</v>
      </c>
      <c r="D1268" s="10" t="n">
        <v>203</v>
      </c>
      <c r="E1268" s="6" t="n">
        <f>SUM(C1268,D1268)/2</f>
        <v>165</v>
      </c>
      <c r="F1268" s="18" t="n">
        <v>22</v>
      </c>
      <c r="G1268" s="18" t="n">
        <v>28</v>
      </c>
      <c r="H1268" s="6" t="n">
        <f>SUM(F1268,G1268)/2</f>
        <v>25</v>
      </c>
    </row>
    <row r="1269" s="18" customFormat="1" ht="14.399999999999999" customHeight="1">
      <c r="A1269" s="10" t="s">
        <v>4435</v>
      </c>
      <c r="B1269" s="10" t="s">
        <v>4436</v>
      </c>
      <c r="C1269" s="13" t="n">
        <v>26503</v>
      </c>
      <c r="D1269" s="13" t="n">
        <v>42335</v>
      </c>
      <c r="E1269" s="6" t="n">
        <f>SUM(C1269,D1269)/2</f>
        <v>34419</v>
      </c>
      <c r="F1269" s="12" t="n">
        <v>7681</v>
      </c>
      <c r="G1269" s="12" t="n">
        <v>10446</v>
      </c>
      <c r="H1269" s="6" t="n">
        <f>SUM(F1269,G1269)/2</f>
        <v>9063.5</v>
      </c>
    </row>
    <row r="1270" s="18" customFormat="1" ht="14.399999999999999" customHeight="1">
      <c r="A1270" s="10" t="s">
        <v>4791</v>
      </c>
      <c r="B1270" s="10" t="s">
        <v>4792</v>
      </c>
      <c r="C1270" s="13" t="n">
        <v>14905</v>
      </c>
      <c r="D1270" s="13" t="n">
        <v>23807</v>
      </c>
      <c r="E1270" s="6" t="n">
        <f>SUM(C1270,D1270)/2</f>
        <v>19356</v>
      </c>
      <c r="F1270" s="12" t="n">
        <v>6611</v>
      </c>
      <c r="G1270" s="12" t="n">
        <v>8868</v>
      </c>
      <c r="H1270" s="6" t="n">
        <f>SUM(F1270,G1270)/2</f>
        <v>7739.5</v>
      </c>
    </row>
    <row r="1271" s="18" customFormat="1" ht="14.399999999999999" customHeight="1">
      <c r="A1271" s="10" t="s">
        <v>4179</v>
      </c>
      <c r="B1271" s="10" t="s">
        <v>4180</v>
      </c>
      <c r="C1271" s="13" t="n">
        <v>20293</v>
      </c>
      <c r="D1271" s="13" t="n">
        <v>32413</v>
      </c>
      <c r="E1271" s="6" t="n">
        <f>SUM(C1271,D1271)/2</f>
        <v>26353</v>
      </c>
      <c r="F1271" s="12" t="n">
        <v>12708</v>
      </c>
      <c r="G1271" s="12" t="n">
        <v>17405</v>
      </c>
      <c r="H1271" s="6" t="n">
        <f>SUM(F1271,G1271)/2</f>
        <v>15056.5</v>
      </c>
    </row>
    <row r="1272" s="18" customFormat="1" ht="14.399999999999999" customHeight="1">
      <c r="A1272" s="10" t="s">
        <v>1109</v>
      </c>
      <c r="B1272" s="10" t="s">
        <v>1110</v>
      </c>
      <c r="C1272" s="13" t="n">
        <v>174269</v>
      </c>
      <c r="D1272" s="13" t="n">
        <v>278377</v>
      </c>
      <c r="E1272" s="6" t="n">
        <f>SUM(C1272,D1272)/2</f>
        <v>226323</v>
      </c>
      <c r="F1272" s="12" t="n">
        <v>109151</v>
      </c>
      <c r="G1272" s="12" t="n">
        <v>166640</v>
      </c>
      <c r="H1272" s="6" t="n">
        <f>SUM(F1272,G1272)/2</f>
        <v>137895.5</v>
      </c>
    </row>
    <row r="1273" s="18" customFormat="1" ht="14.399999999999999" customHeight="1">
      <c r="A1273" s="10" t="s">
        <v>6053</v>
      </c>
      <c r="B1273" s="10" t="s">
        <v>6054</v>
      </c>
      <c r="C1273" s="10" t="n">
        <v>29</v>
      </c>
      <c r="D1273" s="10" t="n">
        <v>47</v>
      </c>
      <c r="E1273" s="6" t="n">
        <f>SUM(C1273,D1273)/2</f>
        <v>38</v>
      </c>
      <c r="F1273" s="18" t="n">
        <v>31</v>
      </c>
      <c r="G1273" s="18" t="n">
        <v>47</v>
      </c>
      <c r="H1273" s="6" t="n">
        <f>SUM(F1273,G1273)/2</f>
        <v>39</v>
      </c>
    </row>
    <row r="1274" s="18" customFormat="1" ht="14.399999999999999" customHeight="1">
      <c r="A1274" s="10" t="s">
        <v>4099</v>
      </c>
      <c r="B1274" s="10" t="s">
        <v>4100</v>
      </c>
      <c r="C1274" s="13" t="n">
        <v>25891</v>
      </c>
      <c r="D1274" s="13" t="n">
        <v>41357</v>
      </c>
      <c r="E1274" s="6" t="n">
        <f>SUM(C1274,D1274)/2</f>
        <v>33624</v>
      </c>
      <c r="F1274" s="12" t="n">
        <v>11921</v>
      </c>
      <c r="G1274" s="12" t="n">
        <v>18124</v>
      </c>
      <c r="H1274" s="6" t="n">
        <f>SUM(F1274,G1274)/2</f>
        <v>15022.5</v>
      </c>
    </row>
    <row r="1275" s="18" customFormat="1" ht="14.399999999999999" customHeight="1">
      <c r="A1275" s="10" t="s">
        <v>1581</v>
      </c>
      <c r="B1275" s="10" t="s">
        <v>1582</v>
      </c>
      <c r="C1275" s="10" t="n">
        <v>273</v>
      </c>
      <c r="D1275" s="10" t="n">
        <v>437</v>
      </c>
      <c r="E1275" s="6" t="n">
        <f>SUM(C1275,D1275)/2</f>
        <v>355</v>
      </c>
      <c r="F1275" s="18" t="n">
        <v>165</v>
      </c>
      <c r="G1275" s="18" t="n">
        <v>231</v>
      </c>
      <c r="H1275" s="6" t="n">
        <f>SUM(F1275,G1275)/2</f>
        <v>198</v>
      </c>
    </row>
    <row r="1276" s="18" customFormat="1" ht="14.399999999999999" customHeight="1">
      <c r="A1276" s="10" t="s">
        <v>4507</v>
      </c>
      <c r="B1276" s="10" t="s">
        <v>4508</v>
      </c>
      <c r="C1276" s="13" t="n">
        <v>15789</v>
      </c>
      <c r="D1276" s="13" t="n">
        <v>25219</v>
      </c>
      <c r="E1276" s="6" t="n">
        <f>SUM(C1276,D1276)/2</f>
        <v>20504</v>
      </c>
      <c r="F1276" s="12" t="n">
        <v>9133</v>
      </c>
      <c r="G1276" s="12" t="n">
        <v>12643</v>
      </c>
      <c r="H1276" s="6" t="n">
        <f>SUM(F1276,G1276)/2</f>
        <v>10888</v>
      </c>
    </row>
    <row r="1277" s="18" customFormat="1" ht="14.399999999999999" customHeight="1">
      <c r="A1277" s="10" t="s">
        <v>2909</v>
      </c>
      <c r="B1277" s="10" t="s">
        <v>2910</v>
      </c>
      <c r="C1277" s="10" t="n">
        <v>0</v>
      </c>
      <c r="D1277" s="10" t="n">
        <v>0</v>
      </c>
      <c r="E1277" s="6" t="n">
        <f>SUM(C1277,D1277)/2</f>
        <v>0</v>
      </c>
      <c r="F1277" s="18" t="n">
        <v>0</v>
      </c>
      <c r="G1277" s="18" t="n">
        <v>0</v>
      </c>
      <c r="H1277" s="6" t="n">
        <f>SUM(F1277,G1277)/2</f>
        <v>0</v>
      </c>
    </row>
    <row r="1278" s="18" customFormat="1" ht="14.399999999999999" customHeight="1">
      <c r="A1278" s="10" t="s">
        <v>4565</v>
      </c>
      <c r="B1278" s="10" t="s">
        <v>4566</v>
      </c>
      <c r="C1278" s="13" t="n">
        <v>18324</v>
      </c>
      <c r="D1278" s="13" t="n">
        <v>29270</v>
      </c>
      <c r="E1278" s="6" t="n">
        <f>SUM(C1278,D1278)/2</f>
        <v>23797</v>
      </c>
      <c r="F1278" s="12" t="n">
        <v>6845</v>
      </c>
      <c r="G1278" s="12" t="n">
        <v>12183</v>
      </c>
      <c r="H1278" s="6" t="n">
        <f>SUM(F1278,G1278)/2</f>
        <v>9514</v>
      </c>
    </row>
    <row r="1279" s="18" customFormat="1" ht="14.399999999999999" customHeight="1">
      <c r="A1279" s="10" t="s">
        <v>3677</v>
      </c>
      <c r="B1279" s="10" t="s">
        <v>3678</v>
      </c>
      <c r="C1279" s="13" t="n">
        <v>64849</v>
      </c>
      <c r="D1279" s="13" t="n">
        <v>103593</v>
      </c>
      <c r="E1279" s="6" t="n">
        <f>SUM(C1279,D1279)/2</f>
        <v>84221</v>
      </c>
      <c r="F1279" s="12" t="n">
        <v>14762</v>
      </c>
      <c r="G1279" s="12" t="n">
        <v>20022</v>
      </c>
      <c r="H1279" s="6" t="n">
        <f>SUM(F1279,G1279)/2</f>
        <v>17392</v>
      </c>
    </row>
    <row r="1280" s="18" customFormat="1" ht="14.399999999999999" customHeight="1">
      <c r="A1280" s="10" t="s">
        <v>3763</v>
      </c>
      <c r="B1280" s="10" t="s">
        <v>3764</v>
      </c>
      <c r="C1280" s="13" t="n">
        <v>13419</v>
      </c>
      <c r="D1280" s="13" t="n">
        <v>21433</v>
      </c>
      <c r="E1280" s="6" t="n">
        <f>SUM(C1280,D1280)/2</f>
        <v>17426</v>
      </c>
      <c r="F1280" s="12" t="n">
        <v>23098</v>
      </c>
      <c r="G1280" s="12" t="n">
        <v>32551</v>
      </c>
      <c r="H1280" s="6" t="n">
        <f>SUM(F1280,G1280)/2</f>
        <v>27824.5</v>
      </c>
    </row>
    <row r="1281" s="18" customFormat="1" ht="14.399999999999999" customHeight="1">
      <c r="A1281" s="10" t="s">
        <v>2640</v>
      </c>
      <c r="B1281" s="10" t="s">
        <v>2641</v>
      </c>
      <c r="C1281" s="10" t="n">
        <v>1</v>
      </c>
      <c r="D1281" s="10" t="n">
        <v>1</v>
      </c>
      <c r="E1281" s="6" t="n">
        <f>SUM(C1281,D1281)/2</f>
        <v>1</v>
      </c>
      <c r="F1281" s="18" t="n">
        <v>1</v>
      </c>
      <c r="G1281" s="18" t="n">
        <v>1</v>
      </c>
      <c r="H1281" s="6" t="n">
        <f>SUM(F1281,G1281)/2</f>
        <v>1</v>
      </c>
    </row>
    <row r="1282" s="18" customFormat="1" ht="14.399999999999999" customHeight="1">
      <c r="A1282" s="10" t="s">
        <v>6055</v>
      </c>
      <c r="B1282" s="10" t="s">
        <v>6056</v>
      </c>
      <c r="C1282" s="10" t="n">
        <v>2</v>
      </c>
      <c r="D1282" s="10" t="n">
        <v>2</v>
      </c>
      <c r="E1282" s="6" t="n">
        <f>SUM(C1282,D1282)/2</f>
        <v>2</v>
      </c>
      <c r="F1282" s="18" t="n">
        <v>2</v>
      </c>
      <c r="G1282" s="18" t="n">
        <v>3</v>
      </c>
      <c r="H1282" s="6" t="n">
        <f>SUM(F1282,G1282)/2</f>
        <v>2.5</v>
      </c>
    </row>
    <row r="1283" s="18" customFormat="1" ht="14.399999999999999" customHeight="1">
      <c r="A1283" s="10" t="s">
        <v>6057</v>
      </c>
      <c r="B1283" s="10" t="s">
        <v>6058</v>
      </c>
      <c r="C1283" s="13" t="n">
        <v>118884</v>
      </c>
      <c r="D1283" s="13" t="n">
        <v>189904</v>
      </c>
      <c r="E1283" s="6" t="n">
        <f>SUM(C1283,D1283)/2</f>
        <v>154394</v>
      </c>
      <c r="F1283" s="12" t="n">
        <v>48197</v>
      </c>
      <c r="G1283" s="12" t="n">
        <v>70584</v>
      </c>
      <c r="H1283" s="6" t="n">
        <f>SUM(F1283,G1283)/2</f>
        <v>59390.5</v>
      </c>
    </row>
    <row r="1284" s="18" customFormat="1" ht="14.399999999999999" customHeight="1">
      <c r="A1284" s="10" t="s">
        <v>5089</v>
      </c>
      <c r="B1284" s="10" t="s">
        <v>5090</v>
      </c>
      <c r="C1284" s="13" t="n">
        <v>4959</v>
      </c>
      <c r="D1284" s="13" t="n">
        <v>7925</v>
      </c>
      <c r="E1284" s="6" t="n">
        <f>SUM(C1284,D1284)/2</f>
        <v>6442</v>
      </c>
      <c r="F1284" s="12" t="n">
        <v>6068</v>
      </c>
      <c r="G1284" s="12" t="n">
        <v>8279</v>
      </c>
      <c r="H1284" s="6" t="n">
        <f>SUM(F1284,G1284)/2</f>
        <v>7173.5</v>
      </c>
    </row>
    <row r="1285" s="18" customFormat="1" ht="14.399999999999999" customHeight="1">
      <c r="A1285" s="10" t="s">
        <v>6059</v>
      </c>
      <c r="B1285" s="10" t="s">
        <v>6060</v>
      </c>
      <c r="C1285" s="10"/>
      <c r="D1285" s="10"/>
      <c r="E1285" s="6" t="n">
        <f>SUM(C1285,D1285)/2</f>
        <v>0</v>
      </c>
      <c r="F1285" s="12" t="n">
        <v>778294</v>
      </c>
      <c r="G1285" s="12" t="n">
        <v>1122783</v>
      </c>
      <c r="H1285" s="6" t="n">
        <f>SUM(F1285,G1285)/2</f>
        <v>950538.5</v>
      </c>
    </row>
    <row r="1286" s="18" customFormat="1" ht="14.399999999999999" customHeight="1">
      <c r="A1286" s="10" t="s">
        <v>6061</v>
      </c>
      <c r="B1286" s="10" t="s">
        <v>6062</v>
      </c>
      <c r="C1286" s="10" t="n">
        <v>55</v>
      </c>
      <c r="D1286" s="10" t="n">
        <v>85</v>
      </c>
      <c r="E1286" s="6" t="n">
        <f>SUM(C1286,D1286)/2</f>
        <v>70</v>
      </c>
      <c r="F1286" s="18" t="n">
        <v>71</v>
      </c>
      <c r="G1286" s="18" t="n">
        <v>87</v>
      </c>
      <c r="H1286" s="6" t="n">
        <f>SUM(F1286,G1286)/2</f>
        <v>79</v>
      </c>
    </row>
    <row r="1287" s="18" customFormat="1" ht="14.399999999999999" customHeight="1">
      <c r="A1287" s="10" t="s">
        <v>6063</v>
      </c>
      <c r="B1287" s="10" t="s">
        <v>6064</v>
      </c>
      <c r="C1287" s="13" t="n">
        <v>13746</v>
      </c>
      <c r="D1287" s="13" t="n">
        <v>21958</v>
      </c>
      <c r="E1287" s="6" t="n">
        <f>SUM(C1287,D1287)/2</f>
        <v>17852</v>
      </c>
      <c r="F1287" s="12" t="n">
        <v>4544</v>
      </c>
      <c r="G1287" s="12" t="n">
        <v>5990</v>
      </c>
      <c r="H1287" s="6" t="n">
        <f>SUM(F1287,G1287)/2</f>
        <v>5267</v>
      </c>
    </row>
    <row r="1288" s="18" customFormat="1" ht="14.399999999999999" customHeight="1">
      <c r="A1288" s="10" t="s">
        <v>2911</v>
      </c>
      <c r="B1288" s="10" t="s">
        <v>2912</v>
      </c>
      <c r="C1288" s="10" t="n">
        <v>0</v>
      </c>
      <c r="D1288" s="10" t="n">
        <v>0</v>
      </c>
      <c r="E1288" s="6" t="n">
        <f>SUM(C1288,D1288)/2</f>
        <v>0</v>
      </c>
      <c r="F1288" s="18" t="n">
        <v>0</v>
      </c>
      <c r="G1288" s="18" t="n">
        <v>0</v>
      </c>
      <c r="H1288" s="6" t="n">
        <f>SUM(F1288,G1288)/2</f>
        <v>0</v>
      </c>
    </row>
    <row r="1289" s="18" customFormat="1" ht="14.399999999999999" customHeight="1">
      <c r="A1289" s="10" t="s">
        <v>6065</v>
      </c>
      <c r="B1289" s="10" t="s">
        <v>6066</v>
      </c>
      <c r="C1289" s="10" t="n">
        <v>78</v>
      </c>
      <c r="D1289" s="10" t="n">
        <v>124</v>
      </c>
      <c r="E1289" s="6" t="n">
        <f>SUM(C1289,D1289)/2</f>
        <v>101</v>
      </c>
      <c r="F1289" s="18" t="n">
        <v>17</v>
      </c>
      <c r="G1289" s="18" t="n">
        <v>25</v>
      </c>
      <c r="H1289" s="6" t="n">
        <f>SUM(F1289,G1289)/2</f>
        <v>21</v>
      </c>
    </row>
    <row r="1290" s="18" customFormat="1" ht="14.399999999999999" customHeight="1">
      <c r="A1290" s="10" t="s">
        <v>2570</v>
      </c>
      <c r="B1290" s="10" t="s">
        <v>2571</v>
      </c>
      <c r="C1290" s="10" t="n">
        <v>1</v>
      </c>
      <c r="D1290" s="10" t="n">
        <v>1</v>
      </c>
      <c r="E1290" s="6" t="n">
        <f>SUM(C1290,D1290)/2</f>
        <v>1</v>
      </c>
      <c r="F1290" s="18" t="n">
        <v>2</v>
      </c>
      <c r="G1290" s="18" t="n">
        <v>2</v>
      </c>
      <c r="H1290" s="6" t="n">
        <f>SUM(F1290,G1290)/2</f>
        <v>2</v>
      </c>
    </row>
    <row r="1291" s="18" customFormat="1" ht="14.399999999999999" customHeight="1">
      <c r="A1291" s="10" t="s">
        <v>4893</v>
      </c>
      <c r="B1291" s="10" t="s">
        <v>4894</v>
      </c>
      <c r="C1291" s="13" t="n">
        <v>14196</v>
      </c>
      <c r="D1291" s="13" t="n">
        <v>22676</v>
      </c>
      <c r="E1291" s="6" t="n">
        <f>SUM(C1291,D1291)/2</f>
        <v>18436</v>
      </c>
      <c r="F1291" s="12" t="n">
        <v>5797</v>
      </c>
      <c r="G1291" s="12" t="n">
        <v>8224</v>
      </c>
      <c r="H1291" s="6" t="n">
        <f>SUM(F1291,G1291)/2</f>
        <v>7010.5</v>
      </c>
    </row>
    <row r="1292" s="18" customFormat="1" ht="14.399999999999999" customHeight="1">
      <c r="A1292" s="10" t="s">
        <v>1907</v>
      </c>
      <c r="B1292" s="10" t="s">
        <v>1908</v>
      </c>
      <c r="C1292" s="10" t="n">
        <v>38</v>
      </c>
      <c r="D1292" s="10" t="n">
        <v>60</v>
      </c>
      <c r="E1292" s="6" t="n">
        <f>SUM(C1292,D1292)/2</f>
        <v>49</v>
      </c>
      <c r="F1292" s="18" t="n">
        <v>5</v>
      </c>
      <c r="G1292" s="18" t="n">
        <v>7</v>
      </c>
      <c r="H1292" s="6" t="n">
        <f>SUM(F1292,G1292)/2</f>
        <v>6</v>
      </c>
    </row>
    <row r="1293" s="18" customFormat="1" ht="14.399999999999999" customHeight="1">
      <c r="A1293" s="10" t="s">
        <v>2094</v>
      </c>
      <c r="B1293" s="10" t="s">
        <v>2095</v>
      </c>
      <c r="C1293" s="10" t="n">
        <v>0</v>
      </c>
      <c r="D1293" s="10" t="n">
        <v>0</v>
      </c>
      <c r="E1293" s="6" t="n">
        <f>SUM(C1293,D1293)/2</f>
        <v>0</v>
      </c>
      <c r="F1293" s="18" t="n">
        <v>8</v>
      </c>
      <c r="G1293" s="18" t="n">
        <v>11</v>
      </c>
      <c r="H1293" s="6" t="n">
        <f>SUM(F1293,G1293)/2</f>
        <v>9.5</v>
      </c>
    </row>
    <row r="1294" s="18" customFormat="1" ht="14.399999999999999" customHeight="1">
      <c r="A1294" s="10" t="s">
        <v>436</v>
      </c>
      <c r="B1294" s="10" t="s">
        <v>437</v>
      </c>
      <c r="C1294" s="13" t="n">
        <v>1263</v>
      </c>
      <c r="D1294" s="13" t="n">
        <v>2017</v>
      </c>
      <c r="E1294" s="6" t="n">
        <f>SUM(C1294,D1294)/2</f>
        <v>1640</v>
      </c>
      <c r="F1294" s="18" t="n">
        <v>36</v>
      </c>
      <c r="G1294" s="18" t="n">
        <v>48</v>
      </c>
      <c r="H1294" s="6" t="n">
        <f>SUM(F1294,G1294)/2</f>
        <v>42</v>
      </c>
    </row>
    <row r="1295" s="18" customFormat="1" ht="14.399999999999999" customHeight="1">
      <c r="A1295" s="10" t="s">
        <v>1459</v>
      </c>
      <c r="B1295" s="10" t="s">
        <v>1460</v>
      </c>
      <c r="C1295" s="10" t="n">
        <v>2</v>
      </c>
      <c r="D1295" s="10" t="n">
        <v>4</v>
      </c>
      <c r="E1295" s="6" t="n">
        <f>SUM(C1295,D1295)/2</f>
        <v>3</v>
      </c>
      <c r="F1295" s="18" t="n">
        <v>3</v>
      </c>
      <c r="G1295" s="18" t="n">
        <v>4</v>
      </c>
      <c r="H1295" s="6" t="n">
        <f>SUM(F1295,G1295)/2</f>
        <v>3.5</v>
      </c>
    </row>
    <row r="1296" s="18" customFormat="1" ht="14.399999999999999" customHeight="1">
      <c r="A1296" s="10" t="s">
        <v>2542</v>
      </c>
      <c r="B1296" s="10" t="s">
        <v>2543</v>
      </c>
      <c r="C1296" s="10" t="n">
        <v>56</v>
      </c>
      <c r="D1296" s="10" t="n">
        <v>90</v>
      </c>
      <c r="E1296" s="6" t="n">
        <f>SUM(C1296,D1296)/2</f>
        <v>73</v>
      </c>
      <c r="F1296" s="18" t="n">
        <v>34</v>
      </c>
      <c r="G1296" s="18" t="n">
        <v>47</v>
      </c>
      <c r="H1296" s="6" t="n">
        <f>SUM(F1296,G1296)/2</f>
        <v>40.5</v>
      </c>
    </row>
    <row r="1297" s="18" customFormat="1" ht="14.399999999999999" customHeight="1">
      <c r="A1297" s="10" t="s">
        <v>3317</v>
      </c>
      <c r="B1297" s="10" t="s">
        <v>3318</v>
      </c>
      <c r="C1297" s="13" t="n">
        <v>65974</v>
      </c>
      <c r="D1297" s="13" t="n">
        <v>105386</v>
      </c>
      <c r="E1297" s="6" t="n">
        <f>SUM(C1297,D1297)/2</f>
        <v>85680</v>
      </c>
      <c r="F1297" s="12" t="n">
        <v>28754</v>
      </c>
      <c r="G1297" s="12" t="n">
        <v>38659</v>
      </c>
      <c r="H1297" s="6" t="n">
        <f>SUM(F1297,G1297)/2</f>
        <v>33706.5</v>
      </c>
    </row>
    <row r="1298" s="18" customFormat="1" ht="14.399999999999999" customHeight="1">
      <c r="A1298" s="10" t="s">
        <v>4989</v>
      </c>
      <c r="B1298" s="10" t="s">
        <v>4990</v>
      </c>
      <c r="C1298" s="13" t="n">
        <v>15582</v>
      </c>
      <c r="D1298" s="13" t="n">
        <v>24890</v>
      </c>
      <c r="E1298" s="6" t="n">
        <f>SUM(C1298,D1298)/2</f>
        <v>20236</v>
      </c>
      <c r="F1298" s="12" t="n">
        <v>4540</v>
      </c>
      <c r="G1298" s="12" t="n">
        <v>6461</v>
      </c>
      <c r="H1298" s="6" t="n">
        <f>SUM(F1298,G1298)/2</f>
        <v>5500.5</v>
      </c>
    </row>
    <row r="1299" s="18" customFormat="1" ht="14.399999999999999" customHeight="1">
      <c r="A1299" s="10" t="s">
        <v>1222</v>
      </c>
      <c r="B1299" s="10" t="s">
        <v>1223</v>
      </c>
      <c r="C1299" s="13" t="n">
        <v>123061</v>
      </c>
      <c r="D1299" s="13" t="n">
        <v>196579</v>
      </c>
      <c r="E1299" s="6" t="n">
        <f>SUM(C1299,D1299)/2</f>
        <v>159820</v>
      </c>
      <c r="F1299" s="12" t="n">
        <v>48510</v>
      </c>
      <c r="G1299" s="12" t="n">
        <v>66997</v>
      </c>
      <c r="H1299" s="6" t="n">
        <f>SUM(F1299,G1299)/2</f>
        <v>57753.5</v>
      </c>
    </row>
    <row r="1300" s="18" customFormat="1" ht="14.399999999999999" customHeight="1">
      <c r="A1300" s="10" t="s">
        <v>4693</v>
      </c>
      <c r="B1300" s="10" t="s">
        <v>4694</v>
      </c>
      <c r="C1300" s="13" t="n">
        <v>13482</v>
      </c>
      <c r="D1300" s="13" t="n">
        <v>21534</v>
      </c>
      <c r="E1300" s="6" t="n">
        <f>SUM(C1300,D1300)/2</f>
        <v>17508</v>
      </c>
      <c r="F1300" s="12" t="n">
        <v>8537</v>
      </c>
      <c r="G1300" s="12" t="n">
        <v>9854</v>
      </c>
      <c r="H1300" s="6" t="n">
        <f>SUM(F1300,G1300)/2</f>
        <v>9195.5</v>
      </c>
    </row>
    <row r="1301" s="18" customFormat="1" ht="14.399999999999999" customHeight="1">
      <c r="A1301" s="10" t="s">
        <v>2272</v>
      </c>
      <c r="B1301" s="10" t="s">
        <v>2273</v>
      </c>
      <c r="C1301" s="10" t="n">
        <v>0</v>
      </c>
      <c r="D1301" s="10" t="n">
        <v>0</v>
      </c>
      <c r="E1301" s="6" t="n">
        <f>SUM(C1301,D1301)/2</f>
        <v>0</v>
      </c>
      <c r="F1301" s="18" t="n">
        <v>5</v>
      </c>
      <c r="G1301" s="18" t="n">
        <v>7</v>
      </c>
      <c r="H1301" s="6" t="n">
        <f>SUM(F1301,G1301)/2</f>
        <v>6</v>
      </c>
    </row>
    <row r="1302" s="18" customFormat="1" ht="14.399999999999999" customHeight="1">
      <c r="A1302" s="10" t="s">
        <v>2316</v>
      </c>
      <c r="B1302" s="10" t="s">
        <v>2317</v>
      </c>
      <c r="C1302" s="10" t="n">
        <v>142</v>
      </c>
      <c r="D1302" s="10" t="n">
        <v>226</v>
      </c>
      <c r="E1302" s="6" t="n">
        <f>SUM(C1302,D1302)/2</f>
        <v>184</v>
      </c>
      <c r="F1302" s="18" t="n">
        <v>72</v>
      </c>
      <c r="G1302" s="18" t="n">
        <v>80</v>
      </c>
      <c r="H1302" s="6" t="n">
        <f>SUM(F1302,G1302)/2</f>
        <v>76</v>
      </c>
    </row>
    <row r="1303" s="18" customFormat="1" ht="14.399999999999999" customHeight="1">
      <c r="A1303" s="10" t="s">
        <v>4321</v>
      </c>
      <c r="B1303" s="10" t="s">
        <v>4322</v>
      </c>
      <c r="C1303" s="13" t="n">
        <v>12725</v>
      </c>
      <c r="D1303" s="13" t="n">
        <v>20327</v>
      </c>
      <c r="E1303" s="6" t="n">
        <f>SUM(C1303,D1303)/2</f>
        <v>16526</v>
      </c>
      <c r="F1303" s="12" t="n">
        <v>12020</v>
      </c>
      <c r="G1303" s="12" t="n">
        <v>17148</v>
      </c>
      <c r="H1303" s="6" t="n">
        <f>SUM(F1303,G1303)/2</f>
        <v>14584</v>
      </c>
    </row>
    <row r="1304" s="18" customFormat="1" ht="14.399999999999999" customHeight="1">
      <c r="A1304" s="10" t="s">
        <v>951</v>
      </c>
      <c r="B1304" s="10" t="s">
        <v>952</v>
      </c>
      <c r="C1304" s="13" t="n">
        <v>627219</v>
      </c>
      <c r="D1304" s="13" t="n">
        <v>1001923</v>
      </c>
      <c r="E1304" s="6" t="n">
        <f>SUM(C1304,D1304)/2</f>
        <v>814571</v>
      </c>
      <c r="F1304" s="12" t="n">
        <v>112055</v>
      </c>
      <c r="G1304" s="12" t="n">
        <v>158213</v>
      </c>
      <c r="H1304" s="6" t="n">
        <f>SUM(F1304,G1304)/2</f>
        <v>135134</v>
      </c>
    </row>
    <row r="1305" s="18" customFormat="1" ht="14.399999999999999" customHeight="1">
      <c r="A1305" s="10" t="s">
        <v>786</v>
      </c>
      <c r="B1305" s="10" t="s">
        <v>787</v>
      </c>
      <c r="C1305" s="13" t="n">
        <v>1380324</v>
      </c>
      <c r="D1305" s="13" t="n">
        <v>2204934</v>
      </c>
      <c r="E1305" s="6" t="n">
        <f>SUM(C1305,D1305)/2</f>
        <v>1792629</v>
      </c>
      <c r="F1305" s="12" t="n">
        <v>250500</v>
      </c>
      <c r="G1305" s="12" t="n">
        <v>349342</v>
      </c>
      <c r="H1305" s="6" t="n">
        <f>SUM(F1305,G1305)/2</f>
        <v>299921</v>
      </c>
    </row>
    <row r="1306" s="18" customFormat="1" ht="14.399999999999999" customHeight="1">
      <c r="A1306" s="10" t="s">
        <v>3589</v>
      </c>
      <c r="B1306" s="10" t="s">
        <v>3590</v>
      </c>
      <c r="C1306" s="13" t="n">
        <v>69746</v>
      </c>
      <c r="D1306" s="13" t="n">
        <v>111412</v>
      </c>
      <c r="E1306" s="6" t="n">
        <f>SUM(C1306,D1306)/2</f>
        <v>90579</v>
      </c>
      <c r="F1306" s="12" t="n">
        <v>14844</v>
      </c>
      <c r="G1306" s="12" t="n">
        <v>23086</v>
      </c>
      <c r="H1306" s="6" t="n">
        <f>SUM(F1306,G1306)/2</f>
        <v>18965</v>
      </c>
    </row>
    <row r="1307" s="18" customFormat="1" ht="14.399999999999999" customHeight="1">
      <c r="A1307" s="10" t="s">
        <v>1649</v>
      </c>
      <c r="B1307" s="10" t="s">
        <v>1650</v>
      </c>
      <c r="C1307" s="10" t="n">
        <v>113</v>
      </c>
      <c r="D1307" s="10" t="n">
        <v>181</v>
      </c>
      <c r="E1307" s="6" t="n">
        <f>SUM(C1307,D1307)/2</f>
        <v>147</v>
      </c>
      <c r="F1307" s="18" t="n">
        <v>10</v>
      </c>
      <c r="G1307" s="18" t="n">
        <v>14</v>
      </c>
      <c r="H1307" s="6" t="n">
        <f>SUM(F1307,G1307)/2</f>
        <v>12</v>
      </c>
    </row>
    <row r="1308" s="18" customFormat="1" ht="14.399999999999999" customHeight="1">
      <c r="A1308" s="10" t="s">
        <v>6067</v>
      </c>
      <c r="B1308" s="10" t="s">
        <v>6068</v>
      </c>
      <c r="C1308" s="13" t="n">
        <v>15115</v>
      </c>
      <c r="D1308" s="13" t="n">
        <v>24147</v>
      </c>
      <c r="E1308" s="6" t="n">
        <f>SUM(C1308,D1308)/2</f>
        <v>19631</v>
      </c>
      <c r="F1308" s="12" t="n">
        <v>7050</v>
      </c>
      <c r="G1308" s="12" t="n">
        <v>9206</v>
      </c>
      <c r="H1308" s="6" t="n">
        <f>SUM(F1308,G1308)/2</f>
        <v>8128</v>
      </c>
    </row>
    <row r="1309" s="18" customFormat="1" ht="14.399999999999999" customHeight="1">
      <c r="A1309" s="10" t="s">
        <v>3545</v>
      </c>
      <c r="B1309" s="10" t="s">
        <v>3546</v>
      </c>
      <c r="C1309" s="13" t="n">
        <v>28656</v>
      </c>
      <c r="D1309" s="13" t="n">
        <v>45776</v>
      </c>
      <c r="E1309" s="6" t="n">
        <f>SUM(C1309,D1309)/2</f>
        <v>37216</v>
      </c>
      <c r="F1309" s="12" t="n">
        <v>26659</v>
      </c>
      <c r="G1309" s="12" t="n">
        <v>39180</v>
      </c>
      <c r="H1309" s="6" t="n">
        <f>SUM(F1309,G1309)/2</f>
        <v>32919.5</v>
      </c>
    </row>
    <row r="1310" s="18" customFormat="1" ht="14.399999999999999" customHeight="1">
      <c r="A1310" s="10" t="s">
        <v>4541</v>
      </c>
      <c r="B1310" s="10" t="s">
        <v>4542</v>
      </c>
      <c r="C1310" s="13" t="n">
        <v>10322</v>
      </c>
      <c r="D1310" s="13" t="n">
        <v>16492</v>
      </c>
      <c r="E1310" s="6" t="n">
        <f>SUM(C1310,D1310)/2</f>
        <v>13407</v>
      </c>
      <c r="F1310" s="12" t="n">
        <v>10315</v>
      </c>
      <c r="G1310" s="12" t="n">
        <v>13563</v>
      </c>
      <c r="H1310" s="6" t="n">
        <f>SUM(F1310,G1310)/2</f>
        <v>11939</v>
      </c>
    </row>
    <row r="1311" s="18" customFormat="1" ht="14.399999999999999" customHeight="1">
      <c r="A1311" s="10" t="s">
        <v>2450</v>
      </c>
      <c r="B1311" s="10" t="s">
        <v>2451</v>
      </c>
      <c r="C1311" s="10" t="n">
        <v>1</v>
      </c>
      <c r="D1311" s="10" t="n">
        <v>1</v>
      </c>
      <c r="E1311" s="6" t="n">
        <f>SUM(C1311,D1311)/2</f>
        <v>1</v>
      </c>
      <c r="F1311" s="18" t="n">
        <v>3</v>
      </c>
      <c r="G1311" s="18" t="n">
        <v>4</v>
      </c>
      <c r="H1311" s="6" t="n">
        <f>SUM(F1311,G1311)/2</f>
        <v>3.5</v>
      </c>
    </row>
    <row r="1312" s="18" customFormat="1" ht="14.399999999999999" customHeight="1">
      <c r="A1312" s="10" t="s">
        <v>6069</v>
      </c>
      <c r="B1312" s="10" t="s">
        <v>6070</v>
      </c>
      <c r="C1312" s="13" t="n">
        <v>11107</v>
      </c>
      <c r="D1312" s="13" t="n">
        <v>17745</v>
      </c>
      <c r="E1312" s="6" t="n">
        <f>SUM(C1312,D1312)/2</f>
        <v>14426</v>
      </c>
      <c r="F1312" s="12" t="n">
        <v>4072</v>
      </c>
      <c r="G1312" s="12" t="n">
        <v>6281</v>
      </c>
      <c r="H1312" s="6" t="n">
        <f>SUM(F1312,G1312)/2</f>
        <v>5176.5</v>
      </c>
    </row>
    <row r="1313" s="18" customFormat="1" ht="14.399999999999999" customHeight="1">
      <c r="A1313" s="10" t="s">
        <v>6071</v>
      </c>
      <c r="B1313" s="10" t="s">
        <v>6072</v>
      </c>
      <c r="C1313" s="13" t="n">
        <v>10530</v>
      </c>
      <c r="D1313" s="13" t="n">
        <v>16821</v>
      </c>
      <c r="E1313" s="6" t="n">
        <f>SUM(C1313,D1313)/2</f>
        <v>13675.5</v>
      </c>
      <c r="F1313" s="12" t="n">
        <v>9279</v>
      </c>
      <c r="G1313" s="12" t="n">
        <v>11183</v>
      </c>
      <c r="H1313" s="6" t="n">
        <f>SUM(F1313,G1313)/2</f>
        <v>10231</v>
      </c>
    </row>
    <row r="1314" s="18" customFormat="1" ht="14.399999999999999" customHeight="1">
      <c r="A1314" s="10" t="s">
        <v>3975</v>
      </c>
      <c r="B1314" s="10" t="s">
        <v>3976</v>
      </c>
      <c r="C1314" s="13" t="n">
        <v>25112</v>
      </c>
      <c r="D1314" s="13" t="n">
        <v>40116</v>
      </c>
      <c r="E1314" s="6" t="n">
        <f>SUM(C1314,D1314)/2</f>
        <v>32614</v>
      </c>
      <c r="F1314" s="12" t="n">
        <v>14854</v>
      </c>
      <c r="G1314" s="12" t="n">
        <v>22144</v>
      </c>
      <c r="H1314" s="6" t="n">
        <f>SUM(F1314,G1314)/2</f>
        <v>18499</v>
      </c>
    </row>
    <row r="1315" s="18" customFormat="1" ht="14.399999999999999" customHeight="1">
      <c r="A1315" s="10" t="s">
        <v>4087</v>
      </c>
      <c r="B1315" s="10" t="s">
        <v>4088</v>
      </c>
      <c r="C1315" s="13" t="n">
        <v>50572</v>
      </c>
      <c r="D1315" s="13" t="n">
        <v>80782</v>
      </c>
      <c r="E1315" s="6" t="n">
        <f>SUM(C1315,D1315)/2</f>
        <v>65677</v>
      </c>
      <c r="F1315" s="12" t="n">
        <v>7252</v>
      </c>
      <c r="G1315" s="12" t="n">
        <v>9988</v>
      </c>
      <c r="H1315" s="6" t="n">
        <f>SUM(F1315,G1315)/2</f>
        <v>8620</v>
      </c>
    </row>
    <row r="1316" s="18" customFormat="1" ht="14.399999999999999" customHeight="1">
      <c r="A1316" s="10" t="s">
        <v>4923</v>
      </c>
      <c r="B1316" s="10" t="s">
        <v>4924</v>
      </c>
      <c r="C1316" s="13" t="n">
        <v>12251</v>
      </c>
      <c r="D1316" s="13" t="n">
        <v>19567</v>
      </c>
      <c r="E1316" s="6" t="n">
        <f>SUM(C1316,D1316)/2</f>
        <v>15909</v>
      </c>
      <c r="F1316" s="12" t="n">
        <v>5672</v>
      </c>
      <c r="G1316" s="12" t="n">
        <v>8671</v>
      </c>
      <c r="H1316" s="6" t="n">
        <f>SUM(F1316,G1316)/2</f>
        <v>7171.5</v>
      </c>
    </row>
    <row r="1317" s="18" customFormat="1" ht="14.399999999999999" customHeight="1">
      <c r="A1317" s="10" t="s">
        <v>4399</v>
      </c>
      <c r="B1317" s="10" t="s">
        <v>4400</v>
      </c>
      <c r="C1317" s="13" t="n">
        <v>10241</v>
      </c>
      <c r="D1317" s="13" t="n">
        <v>16357</v>
      </c>
      <c r="E1317" s="6" t="n">
        <f>SUM(C1317,D1317)/2</f>
        <v>13299</v>
      </c>
      <c r="F1317" s="12" t="n">
        <v>11797</v>
      </c>
      <c r="G1317" s="12" t="n">
        <v>16140</v>
      </c>
      <c r="H1317" s="6" t="n">
        <f>SUM(F1317,G1317)/2</f>
        <v>13968.5</v>
      </c>
    </row>
    <row r="1318" s="18" customFormat="1" ht="14.399999999999999" customHeight="1">
      <c r="A1318" s="10" t="s">
        <v>865</v>
      </c>
      <c r="B1318" s="10" t="s">
        <v>866</v>
      </c>
      <c r="C1318" s="13" t="n">
        <v>347819</v>
      </c>
      <c r="D1318" s="13" t="n">
        <v>555604</v>
      </c>
      <c r="E1318" s="6" t="n">
        <f>SUM(C1318,D1318)/2</f>
        <v>451711.5</v>
      </c>
      <c r="F1318" s="12" t="n">
        <v>275651</v>
      </c>
      <c r="G1318" s="12" t="n">
        <v>399253</v>
      </c>
      <c r="H1318" s="6" t="n">
        <f>SUM(F1318,G1318)/2</f>
        <v>337452</v>
      </c>
    </row>
    <row r="1319" s="18" customFormat="1" ht="14.399999999999999" customHeight="1">
      <c r="A1319" s="10" t="s">
        <v>1821</v>
      </c>
      <c r="B1319" s="10" t="s">
        <v>1822</v>
      </c>
      <c r="C1319" s="10" t="n">
        <v>25</v>
      </c>
      <c r="D1319" s="10" t="n">
        <v>41</v>
      </c>
      <c r="E1319" s="6" t="n">
        <f>SUM(C1319,D1319)/2</f>
        <v>33</v>
      </c>
      <c r="F1319" s="18" t="n">
        <v>12</v>
      </c>
      <c r="G1319" s="18" t="n">
        <v>16</v>
      </c>
      <c r="H1319" s="6" t="n">
        <f>SUM(F1319,G1319)/2</f>
        <v>14</v>
      </c>
    </row>
    <row r="1320" s="18" customFormat="1" ht="14.399999999999999" customHeight="1">
      <c r="A1320" s="10" t="s">
        <v>6073</v>
      </c>
      <c r="B1320" s="10" t="s">
        <v>6074</v>
      </c>
      <c r="C1320" s="10" t="n">
        <v>113</v>
      </c>
      <c r="D1320" s="10" t="n">
        <v>179</v>
      </c>
      <c r="E1320" s="6" t="n">
        <f>SUM(C1320,D1320)/2</f>
        <v>146</v>
      </c>
      <c r="F1320" s="18" t="n">
        <v>43</v>
      </c>
      <c r="G1320" s="18" t="n">
        <v>59</v>
      </c>
      <c r="H1320" s="6" t="n">
        <f>SUM(F1320,G1320)/2</f>
        <v>51</v>
      </c>
    </row>
    <row r="1321" s="18" customFormat="1" ht="14.399999999999999" customHeight="1">
      <c r="A1321" s="10" t="s">
        <v>334</v>
      </c>
      <c r="B1321" s="10" t="s">
        <v>335</v>
      </c>
      <c r="C1321" s="13" t="n">
        <v>2653</v>
      </c>
      <c r="D1321" s="13" t="n">
        <v>4239</v>
      </c>
      <c r="E1321" s="6" t="n">
        <f>SUM(C1321,D1321)/2</f>
        <v>3446</v>
      </c>
      <c r="F1321" s="18" t="n">
        <v>274</v>
      </c>
      <c r="G1321" s="18" t="n">
        <v>392</v>
      </c>
      <c r="H1321" s="6" t="n">
        <f>SUM(F1321,G1321)/2</f>
        <v>333</v>
      </c>
    </row>
    <row r="1322" s="18" customFormat="1" ht="14.399999999999999" customHeight="1">
      <c r="A1322" s="10" t="s">
        <v>5444</v>
      </c>
      <c r="B1322" s="10" t="s">
        <v>5445</v>
      </c>
      <c r="C1322" s="13" t="n">
        <v>177936</v>
      </c>
      <c r="D1322" s="13" t="n">
        <v>284234</v>
      </c>
      <c r="E1322" s="6" t="n">
        <f>SUM(C1322,D1322)/2</f>
        <v>231085</v>
      </c>
      <c r="F1322" s="12" t="n">
        <v>30425</v>
      </c>
      <c r="G1322" s="12" t="n">
        <v>76156</v>
      </c>
      <c r="H1322" s="6" t="n">
        <f>SUM(F1322,G1322)/2</f>
        <v>53290.5</v>
      </c>
    </row>
    <row r="1323" s="18" customFormat="1" ht="14.399999999999999" customHeight="1">
      <c r="A1323" s="10" t="s">
        <v>4993</v>
      </c>
      <c r="B1323" s="10" t="s">
        <v>4994</v>
      </c>
      <c r="C1323" s="13" t="n">
        <v>12153</v>
      </c>
      <c r="D1323" s="13" t="n">
        <v>19413</v>
      </c>
      <c r="E1323" s="6" t="n">
        <f>SUM(C1323,D1323)/2</f>
        <v>15783</v>
      </c>
      <c r="F1323" s="12" t="n">
        <v>5394</v>
      </c>
      <c r="G1323" s="12" t="n">
        <v>7428</v>
      </c>
      <c r="H1323" s="6" t="n">
        <f>SUM(F1323,G1323)/2</f>
        <v>6411</v>
      </c>
    </row>
    <row r="1324" s="18" customFormat="1" ht="14.399999999999999" customHeight="1">
      <c r="A1324" s="10" t="s">
        <v>1433</v>
      </c>
      <c r="B1324" s="10" t="s">
        <v>1434</v>
      </c>
      <c r="C1324" s="10" t="n">
        <v>60</v>
      </c>
      <c r="D1324" s="10" t="n">
        <v>94</v>
      </c>
      <c r="E1324" s="6" t="n">
        <f>SUM(C1324,D1324)/2</f>
        <v>77</v>
      </c>
      <c r="F1324" s="18" t="n">
        <v>3</v>
      </c>
      <c r="G1324" s="18" t="n">
        <v>4</v>
      </c>
      <c r="H1324" s="6" t="n">
        <f>SUM(F1324,G1324)/2</f>
        <v>3.5</v>
      </c>
    </row>
    <row r="1325" s="18" customFormat="1" ht="14.399999999999999" customHeight="1">
      <c r="A1325" s="10" t="s">
        <v>6075</v>
      </c>
      <c r="B1325" s="10" t="s">
        <v>6076</v>
      </c>
      <c r="C1325" s="13" t="n">
        <v>10379</v>
      </c>
      <c r="D1325" s="13" t="n">
        <v>16581</v>
      </c>
      <c r="E1325" s="6" t="n">
        <f>SUM(C1325,D1325)/2</f>
        <v>13480</v>
      </c>
      <c r="F1325" s="12" t="n">
        <v>8056</v>
      </c>
      <c r="G1325" s="12" t="n">
        <v>10924</v>
      </c>
      <c r="H1325" s="6" t="n">
        <f>SUM(F1325,G1325)/2</f>
        <v>9490</v>
      </c>
    </row>
    <row r="1326" s="18" customFormat="1" ht="14.399999999999999" customHeight="1">
      <c r="A1326" s="10" t="s">
        <v>3995</v>
      </c>
      <c r="B1326" s="10" t="s">
        <v>3996</v>
      </c>
      <c r="C1326" s="13" t="n">
        <v>52861</v>
      </c>
      <c r="D1326" s="13" t="n">
        <v>84439</v>
      </c>
      <c r="E1326" s="6" t="n">
        <f>SUM(C1326,D1326)/2</f>
        <v>68650</v>
      </c>
      <c r="F1326" s="12" t="n">
        <v>8174</v>
      </c>
      <c r="G1326" s="12" t="n">
        <v>12628</v>
      </c>
      <c r="H1326" s="6" t="n">
        <f>SUM(F1326,G1326)/2</f>
        <v>10401</v>
      </c>
    </row>
    <row r="1327" s="18" customFormat="1" ht="14.399999999999999" customHeight="1">
      <c r="A1327" s="10" t="s">
        <v>6077</v>
      </c>
      <c r="B1327" s="10" t="s">
        <v>6078</v>
      </c>
      <c r="C1327" s="10" t="n">
        <v>75</v>
      </c>
      <c r="D1327" s="10" t="n">
        <v>121</v>
      </c>
      <c r="E1327" s="6" t="n">
        <f>SUM(C1327,D1327)/2</f>
        <v>98</v>
      </c>
      <c r="F1327" s="18" t="n">
        <v>14</v>
      </c>
      <c r="G1327" s="18" t="n">
        <v>42</v>
      </c>
      <c r="H1327" s="6" t="n">
        <f>SUM(F1327,G1327)/2</f>
        <v>28</v>
      </c>
    </row>
    <row r="1328" s="18" customFormat="1" ht="14.399999999999999" customHeight="1">
      <c r="A1328" s="10" t="s">
        <v>4329</v>
      </c>
      <c r="B1328" s="10" t="s">
        <v>4330</v>
      </c>
      <c r="C1328" s="13" t="n">
        <v>34640</v>
      </c>
      <c r="D1328" s="13" t="n">
        <v>55332</v>
      </c>
      <c r="E1328" s="6" t="n">
        <f>SUM(C1328,D1328)/2</f>
        <v>44986</v>
      </c>
      <c r="F1328" s="12" t="n">
        <v>7150</v>
      </c>
      <c r="G1328" s="12" t="n">
        <v>9736</v>
      </c>
      <c r="H1328" s="6" t="n">
        <f>SUM(F1328,G1328)/2</f>
        <v>8443</v>
      </c>
    </row>
    <row r="1329" s="18" customFormat="1" ht="14.399999999999999" customHeight="1">
      <c r="A1329" s="10" t="s">
        <v>1579</v>
      </c>
      <c r="B1329" s="10" t="s">
        <v>1580</v>
      </c>
      <c r="C1329" s="10" t="n">
        <v>79</v>
      </c>
      <c r="D1329" s="10" t="n">
        <v>127</v>
      </c>
      <c r="E1329" s="6" t="n">
        <f>SUM(C1329,D1329)/2</f>
        <v>103</v>
      </c>
      <c r="F1329" s="18" t="n">
        <v>11</v>
      </c>
      <c r="G1329" s="18" t="n">
        <v>40</v>
      </c>
      <c r="H1329" s="6" t="n">
        <f>SUM(F1329,G1329)/2</f>
        <v>25.5</v>
      </c>
    </row>
    <row r="1330" s="18" customFormat="1" ht="14.399999999999999" customHeight="1">
      <c r="A1330" s="10" t="s">
        <v>6079</v>
      </c>
      <c r="B1330" s="10" t="s">
        <v>6080</v>
      </c>
      <c r="C1330" s="10" t="n">
        <v>251</v>
      </c>
      <c r="D1330" s="10" t="n">
        <v>401</v>
      </c>
      <c r="E1330" s="6" t="n">
        <f>SUM(C1330,D1330)/2</f>
        <v>326</v>
      </c>
      <c r="F1330" s="18" t="n">
        <v>61</v>
      </c>
      <c r="G1330" s="18" t="n">
        <v>81</v>
      </c>
      <c r="H1330" s="6" t="n">
        <f>SUM(F1330,G1330)/2</f>
        <v>71</v>
      </c>
    </row>
    <row r="1331" s="18" customFormat="1" ht="14.399999999999999" customHeight="1">
      <c r="A1331" s="10" t="s">
        <v>6081</v>
      </c>
      <c r="B1331" s="10" t="s">
        <v>6082</v>
      </c>
      <c r="C1331" s="13" t="n">
        <v>33015</v>
      </c>
      <c r="D1331" s="13" t="n">
        <v>52739</v>
      </c>
      <c r="E1331" s="6" t="n">
        <f>SUM(C1331,D1331)/2</f>
        <v>42877</v>
      </c>
      <c r="F1331" s="12" t="n">
        <v>12870</v>
      </c>
      <c r="G1331" s="12" t="n">
        <v>18476</v>
      </c>
      <c r="H1331" s="6" t="n">
        <f>SUM(F1331,G1331)/2</f>
        <v>15673</v>
      </c>
    </row>
    <row r="1332" s="18" customFormat="1" ht="14.399999999999999" customHeight="1">
      <c r="A1332" s="10" t="s">
        <v>6083</v>
      </c>
      <c r="B1332" s="10" t="s">
        <v>6084</v>
      </c>
      <c r="C1332" s="10" t="n">
        <v>0</v>
      </c>
      <c r="D1332" s="10" t="n">
        <v>0</v>
      </c>
      <c r="E1332" s="6" t="n">
        <f>SUM(C1332,D1332)/2</f>
        <v>0</v>
      </c>
      <c r="F1332" s="18" t="n">
        <v>0</v>
      </c>
      <c r="G1332" s="18" t="n">
        <v>0</v>
      </c>
      <c r="H1332" s="6" t="n">
        <f>SUM(F1332,G1332)/2</f>
        <v>0</v>
      </c>
    </row>
    <row r="1333" s="18" customFormat="1" ht="14.399999999999999" customHeight="1">
      <c r="A1333" s="10" t="s">
        <v>108</v>
      </c>
      <c r="B1333" s="10" t="s">
        <v>109</v>
      </c>
      <c r="C1333" s="13" t="n">
        <v>44918</v>
      </c>
      <c r="D1333" s="13" t="n">
        <v>71754</v>
      </c>
      <c r="E1333" s="6" t="n">
        <f>SUM(C1333,D1333)/2</f>
        <v>58336</v>
      </c>
      <c r="F1333" s="18" t="n">
        <v>2233</v>
      </c>
      <c r="G1333" s="18" t="n">
        <v>3606</v>
      </c>
      <c r="H1333" s="6" t="n">
        <f>SUM(F1333,G1333)/2</f>
        <v>2919.5</v>
      </c>
    </row>
    <row r="1334" s="18" customFormat="1" ht="14.399999999999999" customHeight="1">
      <c r="A1334" s="10" t="s">
        <v>6085</v>
      </c>
      <c r="B1334" s="10" t="s">
        <v>6086</v>
      </c>
      <c r="C1334" s="10" t="n">
        <v>183</v>
      </c>
      <c r="D1334" s="10" t="n">
        <v>293</v>
      </c>
      <c r="E1334" s="6" t="n">
        <f>SUM(C1334,D1334)/2</f>
        <v>238</v>
      </c>
      <c r="F1334" s="18" t="n">
        <v>4</v>
      </c>
      <c r="G1334" s="18" t="n">
        <v>6</v>
      </c>
      <c r="H1334" s="6" t="n">
        <f>SUM(F1334,G1334)/2</f>
        <v>5</v>
      </c>
    </row>
    <row r="1335" s="18" customFormat="1" ht="14.399999999999999" customHeight="1">
      <c r="A1335" s="10" t="s">
        <v>6087</v>
      </c>
      <c r="B1335" s="10" t="s">
        <v>6088</v>
      </c>
      <c r="C1335" s="10" t="n">
        <v>550</v>
      </c>
      <c r="D1335" s="10" t="n">
        <v>880</v>
      </c>
      <c r="E1335" s="6" t="n">
        <f>SUM(C1335,D1335)/2</f>
        <v>715</v>
      </c>
      <c r="F1335" s="18" t="n">
        <v>5</v>
      </c>
      <c r="G1335" s="18" t="n">
        <v>6</v>
      </c>
      <c r="H1335" s="6" t="n">
        <f>SUM(F1335,G1335)/2</f>
        <v>5.5</v>
      </c>
    </row>
    <row r="1336" s="18" customFormat="1" ht="14.399999999999999" customHeight="1">
      <c r="A1336" s="10" t="s">
        <v>6089</v>
      </c>
      <c r="B1336" s="10" t="s">
        <v>6090</v>
      </c>
      <c r="C1336" s="10" t="n">
        <v>2</v>
      </c>
      <c r="D1336" s="10" t="n">
        <v>2</v>
      </c>
      <c r="E1336" s="6" t="n">
        <f>SUM(C1336,D1336)/2</f>
        <v>2</v>
      </c>
      <c r="F1336" s="18" t="n">
        <v>0</v>
      </c>
      <c r="G1336" s="18" t="n">
        <v>0</v>
      </c>
      <c r="H1336" s="6" t="n">
        <f>SUM(F1336,G1336)/2</f>
        <v>0</v>
      </c>
    </row>
    <row r="1337" s="18" customFormat="1" ht="14.399999999999999" customHeight="1">
      <c r="A1337" s="10" t="s">
        <v>2616</v>
      </c>
      <c r="B1337" s="10" t="s">
        <v>2617</v>
      </c>
      <c r="C1337" s="10" t="n">
        <v>5</v>
      </c>
      <c r="D1337" s="10" t="n">
        <v>9</v>
      </c>
      <c r="E1337" s="6" t="n">
        <f>SUM(C1337,D1337)/2</f>
        <v>7</v>
      </c>
      <c r="F1337" s="18" t="n">
        <v>0</v>
      </c>
      <c r="G1337" s="18" t="n">
        <v>0</v>
      </c>
      <c r="H1337" s="6" t="n">
        <f>SUM(F1337,G1337)/2</f>
        <v>0</v>
      </c>
    </row>
    <row r="1338" s="18" customFormat="1" ht="14.399999999999999" customHeight="1">
      <c r="A1338" s="10" t="s">
        <v>1753</v>
      </c>
      <c r="B1338" s="10" t="s">
        <v>1754</v>
      </c>
      <c r="C1338" s="10" t="n">
        <v>34</v>
      </c>
      <c r="D1338" s="10" t="n">
        <v>54</v>
      </c>
      <c r="E1338" s="6" t="n">
        <f>SUM(C1338,D1338)/2</f>
        <v>44</v>
      </c>
      <c r="F1338" s="18" t="n">
        <v>7</v>
      </c>
      <c r="G1338" s="18" t="n">
        <v>27</v>
      </c>
      <c r="H1338" s="6" t="n">
        <f>SUM(F1338,G1338)/2</f>
        <v>17</v>
      </c>
    </row>
    <row r="1339" s="18" customFormat="1" ht="14.399999999999999" customHeight="1">
      <c r="A1339" s="10" t="s">
        <v>3147</v>
      </c>
      <c r="B1339" s="10" t="s">
        <v>3148</v>
      </c>
      <c r="C1339" s="13" t="n">
        <v>81231</v>
      </c>
      <c r="D1339" s="13" t="n">
        <v>129761</v>
      </c>
      <c r="E1339" s="6" t="n">
        <f>SUM(C1339,D1339)/2</f>
        <v>105496</v>
      </c>
      <c r="F1339" s="12" t="n">
        <v>36434</v>
      </c>
      <c r="G1339" s="12" t="n">
        <v>53375</v>
      </c>
      <c r="H1339" s="6" t="n">
        <f>SUM(F1339,G1339)/2</f>
        <v>44904.5</v>
      </c>
    </row>
    <row r="1340" s="18" customFormat="1" ht="14.399999999999999" customHeight="1">
      <c r="A1340" s="10" t="s">
        <v>4843</v>
      </c>
      <c r="B1340" s="10" t="s">
        <v>4844</v>
      </c>
      <c r="C1340" s="13" t="n">
        <v>14498</v>
      </c>
      <c r="D1340" s="13" t="n">
        <v>23158</v>
      </c>
      <c r="E1340" s="6" t="n">
        <f>SUM(C1340,D1340)/2</f>
        <v>18828</v>
      </c>
      <c r="F1340" s="12" t="n">
        <v>5846</v>
      </c>
      <c r="G1340" s="12" t="n">
        <v>8984</v>
      </c>
      <c r="H1340" s="6" t="n">
        <f>SUM(F1340,G1340)/2</f>
        <v>7415</v>
      </c>
    </row>
    <row r="1341" s="18" customFormat="1" ht="14.399999999999999" customHeight="1">
      <c r="A1341" s="10" t="s">
        <v>2913</v>
      </c>
      <c r="B1341" s="10" t="s">
        <v>2914</v>
      </c>
      <c r="C1341" s="10" t="n">
        <v>0</v>
      </c>
      <c r="D1341" s="10" t="n">
        <v>0</v>
      </c>
      <c r="E1341" s="6" t="n">
        <f>SUM(C1341,D1341)/2</f>
        <v>0</v>
      </c>
      <c r="F1341" s="18" t="n">
        <v>0</v>
      </c>
      <c r="G1341" s="18" t="n">
        <v>0</v>
      </c>
      <c r="H1341" s="6" t="n">
        <f>SUM(F1341,G1341)/2</f>
        <v>0</v>
      </c>
    </row>
    <row r="1342" s="18" customFormat="1" ht="14.399999999999999" customHeight="1">
      <c r="A1342" s="10" t="s">
        <v>2915</v>
      </c>
      <c r="B1342" s="10" t="s">
        <v>2916</v>
      </c>
      <c r="C1342" s="10" t="n">
        <v>0</v>
      </c>
      <c r="D1342" s="10" t="n">
        <v>0</v>
      </c>
      <c r="E1342" s="6" t="n">
        <f>SUM(C1342,D1342)/2</f>
        <v>0</v>
      </c>
      <c r="F1342" s="18" t="n">
        <v>0</v>
      </c>
      <c r="G1342" s="18" t="n">
        <v>0</v>
      </c>
      <c r="H1342" s="6" t="n">
        <f>SUM(F1342,G1342)/2</f>
        <v>0</v>
      </c>
    </row>
    <row r="1343" s="18" customFormat="1" ht="14.399999999999999" customHeight="1">
      <c r="A1343" s="10" t="s">
        <v>5480</v>
      </c>
      <c r="B1343" s="10" t="s">
        <v>5481</v>
      </c>
      <c r="C1343" s="10" t="n">
        <v>595</v>
      </c>
      <c r="D1343" s="10" t="n">
        <v>951</v>
      </c>
      <c r="E1343" s="6" t="n">
        <f>SUM(C1343,D1343)/2</f>
        <v>773</v>
      </c>
      <c r="F1343" s="18" t="n">
        <v>0</v>
      </c>
      <c r="G1343" s="18" t="n">
        <v>0</v>
      </c>
      <c r="H1343" s="6" t="n">
        <f>SUM(F1343,G1343)/2</f>
        <v>0</v>
      </c>
    </row>
    <row r="1344" s="18" customFormat="1" ht="14.399999999999999" customHeight="1">
      <c r="A1344" s="10" t="s">
        <v>1943</v>
      </c>
      <c r="B1344" s="10" t="s">
        <v>1944</v>
      </c>
      <c r="C1344" s="10" t="n">
        <v>18</v>
      </c>
      <c r="D1344" s="10" t="n">
        <v>30</v>
      </c>
      <c r="E1344" s="6" t="n">
        <f>SUM(C1344,D1344)/2</f>
        <v>24</v>
      </c>
      <c r="F1344" s="18" t="n">
        <v>502</v>
      </c>
      <c r="G1344" s="18" t="n">
        <v>745</v>
      </c>
      <c r="H1344" s="6" t="n">
        <f>SUM(F1344,G1344)/2</f>
        <v>623.5</v>
      </c>
    </row>
    <row r="1345" s="18" customFormat="1" ht="14.399999999999999" customHeight="1">
      <c r="A1345" s="10" t="s">
        <v>1631</v>
      </c>
      <c r="B1345" s="10" t="s">
        <v>1632</v>
      </c>
      <c r="C1345" s="10" t="n">
        <v>37</v>
      </c>
      <c r="D1345" s="10" t="n">
        <v>61</v>
      </c>
      <c r="E1345" s="6" t="n">
        <f>SUM(C1345,D1345)/2</f>
        <v>49</v>
      </c>
      <c r="F1345" s="18" t="n">
        <v>29</v>
      </c>
      <c r="G1345" s="18" t="n">
        <v>41</v>
      </c>
      <c r="H1345" s="6" t="n">
        <f>SUM(F1345,G1345)/2</f>
        <v>35</v>
      </c>
    </row>
    <row r="1346" s="18" customFormat="1" ht="14.399999999999999" customHeight="1">
      <c r="A1346" s="10" t="s">
        <v>1761</v>
      </c>
      <c r="B1346" s="10" t="s">
        <v>1762</v>
      </c>
      <c r="C1346" s="10" t="n">
        <v>4</v>
      </c>
      <c r="D1346" s="10" t="n">
        <v>6</v>
      </c>
      <c r="E1346" s="6" t="n">
        <f>SUM(C1346,D1346)/2</f>
        <v>5</v>
      </c>
      <c r="F1346" s="18" t="n">
        <v>19</v>
      </c>
      <c r="G1346" s="18" t="n">
        <v>29</v>
      </c>
      <c r="H1346" s="6" t="n">
        <f>SUM(F1346,G1346)/2</f>
        <v>24</v>
      </c>
    </row>
    <row r="1347" s="18" customFormat="1" ht="14.399999999999999" customHeight="1">
      <c r="A1347" s="10" t="s">
        <v>6091</v>
      </c>
      <c r="B1347" s="10" t="s">
        <v>6092</v>
      </c>
      <c r="C1347" s="10" t="n">
        <v>5</v>
      </c>
      <c r="D1347" s="10" t="n">
        <v>7</v>
      </c>
      <c r="E1347" s="6" t="n">
        <f>SUM(C1347,D1347)/2</f>
        <v>6</v>
      </c>
      <c r="F1347" s="18" t="n">
        <v>0</v>
      </c>
      <c r="G1347" s="18" t="n">
        <v>0</v>
      </c>
      <c r="H1347" s="6" t="n">
        <f>SUM(F1347,G1347)/2</f>
        <v>0</v>
      </c>
    </row>
    <row r="1348" s="18" customFormat="1" ht="14.399999999999999" customHeight="1">
      <c r="A1348" s="10" t="s">
        <v>4765</v>
      </c>
      <c r="B1348" s="10" t="s">
        <v>4766</v>
      </c>
      <c r="C1348" s="13" t="n">
        <v>15766</v>
      </c>
      <c r="D1348" s="13" t="n">
        <v>25184</v>
      </c>
      <c r="E1348" s="6" t="n">
        <f>SUM(C1348,D1348)/2</f>
        <v>20475</v>
      </c>
      <c r="F1348" s="12" t="n">
        <v>7085</v>
      </c>
      <c r="G1348" s="12" t="n">
        <v>8442</v>
      </c>
      <c r="H1348" s="6" t="n">
        <f>SUM(F1348,G1348)/2</f>
        <v>7763.5</v>
      </c>
    </row>
    <row r="1349" s="18" customFormat="1" ht="14.399999999999999" customHeight="1">
      <c r="A1349" s="10" t="s">
        <v>4339</v>
      </c>
      <c r="B1349" s="10" t="s">
        <v>4340</v>
      </c>
      <c r="C1349" s="13" t="n">
        <v>16174</v>
      </c>
      <c r="D1349" s="13" t="n">
        <v>25838</v>
      </c>
      <c r="E1349" s="6" t="n">
        <f>SUM(C1349,D1349)/2</f>
        <v>21006</v>
      </c>
      <c r="F1349" s="12" t="n">
        <v>11275</v>
      </c>
      <c r="G1349" s="12" t="n">
        <v>15419</v>
      </c>
      <c r="H1349" s="6" t="n">
        <f>SUM(F1349,G1349)/2</f>
        <v>13347</v>
      </c>
    </row>
    <row r="1350" s="18" customFormat="1" ht="14.399999999999999" customHeight="1">
      <c r="A1350" s="10" t="s">
        <v>2917</v>
      </c>
      <c r="B1350" s="10" t="s">
        <v>2918</v>
      </c>
      <c r="C1350" s="10" t="n">
        <v>0</v>
      </c>
      <c r="D1350" s="10" t="n">
        <v>0</v>
      </c>
      <c r="E1350" s="6" t="n">
        <f>SUM(C1350,D1350)/2</f>
        <v>0</v>
      </c>
      <c r="F1350" s="18" t="n">
        <v>0</v>
      </c>
      <c r="G1350" s="18" t="n">
        <v>0</v>
      </c>
      <c r="H1350" s="6" t="n">
        <f>SUM(F1350,G1350)/2</f>
        <v>0</v>
      </c>
    </row>
    <row r="1351" s="18" customFormat="1" ht="14.399999999999999" customHeight="1">
      <c r="A1351" s="10" t="s">
        <v>5165</v>
      </c>
      <c r="B1351" s="10" t="s">
        <v>5166</v>
      </c>
      <c r="C1351" s="13" t="n">
        <v>4651</v>
      </c>
      <c r="D1351" s="13" t="n">
        <v>7429</v>
      </c>
      <c r="E1351" s="6" t="n">
        <f>SUM(C1351,D1351)/2</f>
        <v>6040</v>
      </c>
      <c r="F1351" s="12" t="n">
        <v>4721</v>
      </c>
      <c r="G1351" s="12" t="n">
        <v>6372</v>
      </c>
      <c r="H1351" s="6" t="n">
        <f>SUM(F1351,G1351)/2</f>
        <v>5546.5</v>
      </c>
    </row>
    <row r="1352" s="18" customFormat="1" ht="14.399999999999999" customHeight="1">
      <c r="A1352" s="10" t="s">
        <v>2919</v>
      </c>
      <c r="B1352" s="10" t="s">
        <v>2920</v>
      </c>
      <c r="C1352" s="10" t="n">
        <v>0</v>
      </c>
      <c r="D1352" s="10" t="n">
        <v>0</v>
      </c>
      <c r="E1352" s="6" t="n">
        <f>SUM(C1352,D1352)/2</f>
        <v>0</v>
      </c>
      <c r="F1352" s="18" t="n">
        <v>0</v>
      </c>
      <c r="G1352" s="18" t="n">
        <v>0</v>
      </c>
      <c r="H1352" s="6" t="n">
        <f>SUM(F1352,G1352)/2</f>
        <v>0</v>
      </c>
    </row>
    <row r="1353" s="18" customFormat="1" ht="14.399999999999999" customHeight="1">
      <c r="A1353" s="10" t="s">
        <v>6093</v>
      </c>
      <c r="B1353" s="10" t="s">
        <v>6094</v>
      </c>
      <c r="C1353" s="10" t="n">
        <v>14</v>
      </c>
      <c r="D1353" s="10" t="n">
        <v>22</v>
      </c>
      <c r="E1353" s="6" t="n">
        <f>SUM(C1353,D1353)/2</f>
        <v>18</v>
      </c>
      <c r="F1353" s="18" t="n">
        <v>0</v>
      </c>
      <c r="G1353" s="18" t="n">
        <v>0</v>
      </c>
      <c r="H1353" s="6" t="n">
        <f>SUM(F1353,G1353)/2</f>
        <v>0</v>
      </c>
    </row>
    <row r="1354" s="18" customFormat="1" ht="14.399999999999999" customHeight="1">
      <c r="A1354" s="10" t="s">
        <v>2646</v>
      </c>
      <c r="B1354" s="10" t="s">
        <v>2647</v>
      </c>
      <c r="C1354" s="10" t="n">
        <v>1</v>
      </c>
      <c r="D1354" s="10" t="n">
        <v>1</v>
      </c>
      <c r="E1354" s="6" t="n">
        <f>SUM(C1354,D1354)/2</f>
        <v>1</v>
      </c>
      <c r="F1354" s="18" t="n">
        <v>1</v>
      </c>
      <c r="G1354" s="18" t="n">
        <v>1</v>
      </c>
      <c r="H1354" s="6" t="n">
        <f>SUM(F1354,G1354)/2</f>
        <v>1</v>
      </c>
    </row>
    <row r="1355" s="18" customFormat="1" ht="14.399999999999999" customHeight="1">
      <c r="A1355" s="10" t="s">
        <v>6095</v>
      </c>
      <c r="B1355" s="10" t="s">
        <v>6096</v>
      </c>
      <c r="C1355" s="13" t="n">
        <v>35161</v>
      </c>
      <c r="D1355" s="13" t="n">
        <v>56169</v>
      </c>
      <c r="E1355" s="6" t="n">
        <f>SUM(C1355,D1355)/2</f>
        <v>45665</v>
      </c>
      <c r="F1355" s="12" t="n">
        <v>6187</v>
      </c>
      <c r="G1355" s="12" t="n">
        <v>8665</v>
      </c>
      <c r="H1355" s="6" t="n">
        <f>SUM(F1355,G1355)/2</f>
        <v>7426</v>
      </c>
    </row>
    <row r="1356" s="18" customFormat="1" ht="14.399999999999999" customHeight="1">
      <c r="A1356" s="10" t="s">
        <v>6097</v>
      </c>
      <c r="B1356" s="10" t="s">
        <v>6098</v>
      </c>
      <c r="C1356" s="13" t="n">
        <v>21558</v>
      </c>
      <c r="D1356" s="13" t="n">
        <v>34438</v>
      </c>
      <c r="E1356" s="6" t="n">
        <f>SUM(C1356,D1356)/2</f>
        <v>27998</v>
      </c>
      <c r="F1356" s="12" t="n">
        <v>7277</v>
      </c>
      <c r="G1356" s="12" t="n">
        <v>11895</v>
      </c>
      <c r="H1356" s="6" t="n">
        <f>SUM(F1356,G1356)/2</f>
        <v>9586</v>
      </c>
    </row>
    <row r="1357" s="18" customFormat="1" ht="14.399999999999999" customHeight="1">
      <c r="A1357" s="10" t="s">
        <v>4127</v>
      </c>
      <c r="B1357" s="10" t="s">
        <v>4128</v>
      </c>
      <c r="C1357" s="13" t="n">
        <v>38931</v>
      </c>
      <c r="D1357" s="13" t="n">
        <v>62191</v>
      </c>
      <c r="E1357" s="6" t="n">
        <f>SUM(C1357,D1357)/2</f>
        <v>50561</v>
      </c>
      <c r="F1357" s="12" t="n">
        <v>9442</v>
      </c>
      <c r="G1357" s="12" t="n">
        <v>12262</v>
      </c>
      <c r="H1357" s="6" t="n">
        <f>SUM(F1357,G1357)/2</f>
        <v>10852</v>
      </c>
    </row>
    <row r="1358" s="18" customFormat="1" ht="14.399999999999999" customHeight="1">
      <c r="A1358" s="10" t="s">
        <v>4365</v>
      </c>
      <c r="B1358" s="10" t="s">
        <v>4366</v>
      </c>
      <c r="C1358" s="13" t="n">
        <v>41734</v>
      </c>
      <c r="D1358" s="13" t="n">
        <v>66666</v>
      </c>
      <c r="E1358" s="6" t="n">
        <f>SUM(C1358,D1358)/2</f>
        <v>54200</v>
      </c>
      <c r="F1358" s="12" t="n">
        <v>4627</v>
      </c>
      <c r="G1358" s="12" t="n">
        <v>6760</v>
      </c>
      <c r="H1358" s="6" t="n">
        <f>SUM(F1358,G1358)/2</f>
        <v>5693.5</v>
      </c>
    </row>
    <row r="1359" s="18" customFormat="1" ht="14.399999999999999" customHeight="1">
      <c r="A1359" s="10" t="s">
        <v>953</v>
      </c>
      <c r="B1359" s="10" t="s">
        <v>954</v>
      </c>
      <c r="C1359" s="13" t="n">
        <v>330682</v>
      </c>
      <c r="D1359" s="13" t="n">
        <v>528234</v>
      </c>
      <c r="E1359" s="6" t="n">
        <f>SUM(C1359,D1359)/2</f>
        <v>429458</v>
      </c>
      <c r="F1359" s="12" t="n">
        <v>182272</v>
      </c>
      <c r="G1359" s="12" t="n">
        <v>234955</v>
      </c>
      <c r="H1359" s="6" t="n">
        <f>SUM(F1359,G1359)/2</f>
        <v>208613.5</v>
      </c>
    </row>
    <row r="1360" s="18" customFormat="1" ht="14.399999999999999" customHeight="1">
      <c r="A1360" s="10" t="s">
        <v>2200</v>
      </c>
      <c r="B1360" s="10" t="s">
        <v>2201</v>
      </c>
      <c r="C1360" s="10" t="n">
        <v>2</v>
      </c>
      <c r="D1360" s="10" t="n">
        <v>2</v>
      </c>
      <c r="E1360" s="6" t="n">
        <f>SUM(C1360,D1360)/2</f>
        <v>2</v>
      </c>
      <c r="F1360" s="18" t="n">
        <v>5</v>
      </c>
      <c r="G1360" s="18" t="n">
        <v>9</v>
      </c>
      <c r="H1360" s="6" t="n">
        <f>SUM(F1360,G1360)/2</f>
        <v>7</v>
      </c>
    </row>
    <row r="1361" s="18" customFormat="1" ht="14.399999999999999" customHeight="1">
      <c r="A1361" s="10" t="s">
        <v>5388</v>
      </c>
      <c r="B1361" s="10" t="s">
        <v>5389</v>
      </c>
      <c r="C1361" s="13" t="n">
        <v>424236</v>
      </c>
      <c r="D1361" s="13" t="n">
        <v>677676</v>
      </c>
      <c r="E1361" s="6" t="n">
        <f>SUM(C1361,D1361)/2</f>
        <v>550956</v>
      </c>
      <c r="F1361" s="12" t="n">
        <v>27473</v>
      </c>
      <c r="G1361" s="12" t="n">
        <v>40079</v>
      </c>
      <c r="H1361" s="6" t="n">
        <f>SUM(F1361,G1361)/2</f>
        <v>33776</v>
      </c>
    </row>
    <row r="1362" s="18" customFormat="1" ht="14.399999999999999" customHeight="1">
      <c r="A1362" s="10" t="s">
        <v>4299</v>
      </c>
      <c r="B1362" s="10" t="s">
        <v>4300</v>
      </c>
      <c r="C1362" s="13" t="n">
        <v>33528</v>
      </c>
      <c r="D1362" s="13" t="n">
        <v>53560</v>
      </c>
      <c r="E1362" s="6" t="n">
        <f>SUM(C1362,D1362)/2</f>
        <v>43544</v>
      </c>
      <c r="F1362" s="12" t="n">
        <v>7913</v>
      </c>
      <c r="G1362" s="12" t="n">
        <v>10530</v>
      </c>
      <c r="H1362" s="6" t="n">
        <f>SUM(F1362,G1362)/2</f>
        <v>9221.5</v>
      </c>
    </row>
    <row r="1363" s="18" customFormat="1" ht="14.399999999999999" customHeight="1">
      <c r="A1363" s="10" t="s">
        <v>1385</v>
      </c>
      <c r="B1363" s="10" t="s">
        <v>1386</v>
      </c>
      <c r="C1363" s="10" t="n">
        <v>94</v>
      </c>
      <c r="D1363" s="10" t="n">
        <v>152</v>
      </c>
      <c r="E1363" s="6" t="n">
        <f>SUM(C1363,D1363)/2</f>
        <v>123</v>
      </c>
      <c r="F1363" s="18" t="n">
        <v>5</v>
      </c>
      <c r="G1363" s="18" t="n">
        <v>7</v>
      </c>
      <c r="H1363" s="6" t="n">
        <f>SUM(F1363,G1363)/2</f>
        <v>6</v>
      </c>
    </row>
    <row r="1364" s="18" customFormat="1" ht="14.399999999999999" customHeight="1">
      <c r="A1364" s="10" t="s">
        <v>2384</v>
      </c>
      <c r="B1364" s="10" t="s">
        <v>2385</v>
      </c>
      <c r="C1364" s="10" t="n">
        <v>13</v>
      </c>
      <c r="D1364" s="10" t="n">
        <v>21</v>
      </c>
      <c r="E1364" s="6" t="n">
        <f>SUM(C1364,D1364)/2</f>
        <v>17</v>
      </c>
      <c r="F1364" s="18" t="n">
        <v>1</v>
      </c>
      <c r="G1364" s="18" t="n">
        <v>1</v>
      </c>
      <c r="H1364" s="6" t="n">
        <f>SUM(F1364,G1364)/2</f>
        <v>1</v>
      </c>
    </row>
    <row r="1365" s="18" customFormat="1" ht="14.399999999999999" customHeight="1">
      <c r="A1365" s="10" t="s">
        <v>6099</v>
      </c>
      <c r="B1365" s="10" t="s">
        <v>6100</v>
      </c>
      <c r="C1365" s="13" t="n">
        <v>10944</v>
      </c>
      <c r="D1365" s="13" t="n">
        <v>17480</v>
      </c>
      <c r="E1365" s="6" t="n">
        <f>SUM(C1365,D1365)/2</f>
        <v>14212</v>
      </c>
      <c r="F1365" s="12" t="n">
        <v>13558</v>
      </c>
      <c r="G1365" s="12" t="n">
        <v>20137</v>
      </c>
      <c r="H1365" s="6" t="n">
        <f>SUM(F1365,G1365)/2</f>
        <v>16847.5</v>
      </c>
    </row>
    <row r="1366" s="18" customFormat="1" ht="14.399999999999999" customHeight="1">
      <c r="A1366" s="10" t="s">
        <v>3517</v>
      </c>
      <c r="B1366" s="10" t="s">
        <v>3518</v>
      </c>
      <c r="C1366" s="13" t="n">
        <v>12946</v>
      </c>
      <c r="D1366" s="13" t="n">
        <v>20680</v>
      </c>
      <c r="E1366" s="6" t="n">
        <f>SUM(C1366,D1366)/2</f>
        <v>16813</v>
      </c>
      <c r="F1366" s="12" t="n">
        <v>29268</v>
      </c>
      <c r="G1366" s="12" t="n">
        <v>46756</v>
      </c>
      <c r="H1366" s="6" t="n">
        <f>SUM(F1366,G1366)/2</f>
        <v>38012</v>
      </c>
    </row>
    <row r="1367" s="18" customFormat="1" ht="14.399999999999999" customHeight="1">
      <c r="A1367" s="10" t="s">
        <v>1276</v>
      </c>
      <c r="B1367" s="10" t="s">
        <v>1277</v>
      </c>
      <c r="C1367" s="13" t="n">
        <v>30532</v>
      </c>
      <c r="D1367" s="13" t="n">
        <v>48770</v>
      </c>
      <c r="E1367" s="6" t="n">
        <f>SUM(C1367,D1367)/2</f>
        <v>39651</v>
      </c>
      <c r="F1367" s="12" t="n">
        <v>58921</v>
      </c>
      <c r="G1367" s="12" t="n">
        <v>77009</v>
      </c>
      <c r="H1367" s="6" t="n">
        <f>SUM(F1367,G1367)/2</f>
        <v>67965</v>
      </c>
    </row>
    <row r="1368" s="18" customFormat="1" ht="14.399999999999999" customHeight="1">
      <c r="A1368" s="10" t="s">
        <v>3839</v>
      </c>
      <c r="B1368" s="10" t="s">
        <v>3840</v>
      </c>
      <c r="C1368" s="13" t="n">
        <v>52953</v>
      </c>
      <c r="D1368" s="13" t="n">
        <v>84587</v>
      </c>
      <c r="E1368" s="6" t="n">
        <f>SUM(C1368,D1368)/2</f>
        <v>68770</v>
      </c>
      <c r="F1368" s="12" t="n">
        <v>11196</v>
      </c>
      <c r="G1368" s="12" t="n">
        <v>16794</v>
      </c>
      <c r="H1368" s="6" t="n">
        <f>SUM(F1368,G1368)/2</f>
        <v>13995</v>
      </c>
    </row>
    <row r="1369" s="18" customFormat="1" ht="14.399999999999999" customHeight="1">
      <c r="A1369" s="10" t="s">
        <v>3663</v>
      </c>
      <c r="B1369" s="10" t="s">
        <v>3664</v>
      </c>
      <c r="C1369" s="13" t="n">
        <v>80747</v>
      </c>
      <c r="D1369" s="13" t="n">
        <v>128987</v>
      </c>
      <c r="E1369" s="6" t="n">
        <f>SUM(C1369,D1369)/2</f>
        <v>104867</v>
      </c>
      <c r="F1369" s="12" t="n">
        <v>10356</v>
      </c>
      <c r="G1369" s="12" t="n">
        <v>15956</v>
      </c>
      <c r="H1369" s="6" t="n">
        <f>SUM(F1369,G1369)/2</f>
        <v>13156</v>
      </c>
    </row>
    <row r="1370" s="18" customFormat="1" ht="14.399999999999999" customHeight="1">
      <c r="A1370" s="10" t="s">
        <v>3271</v>
      </c>
      <c r="B1370" s="10" t="s">
        <v>3272</v>
      </c>
      <c r="C1370" s="13" t="n">
        <v>26226</v>
      </c>
      <c r="D1370" s="13" t="n">
        <v>41893</v>
      </c>
      <c r="E1370" s="6" t="n">
        <f>SUM(C1370,D1370)/2</f>
        <v>34059.5</v>
      </c>
      <c r="F1370" s="12" t="n">
        <v>40720</v>
      </c>
      <c r="G1370" s="12" t="n">
        <v>56364</v>
      </c>
      <c r="H1370" s="6" t="n">
        <f>SUM(F1370,G1370)/2</f>
        <v>48542</v>
      </c>
    </row>
    <row r="1371" s="18" customFormat="1" ht="14.399999999999999" customHeight="1">
      <c r="A1371" s="10" t="s">
        <v>2320</v>
      </c>
      <c r="B1371" s="10" t="s">
        <v>2321</v>
      </c>
      <c r="C1371" s="10" t="n">
        <v>20</v>
      </c>
      <c r="D1371" s="10" t="n">
        <v>32</v>
      </c>
      <c r="E1371" s="6" t="n">
        <f>SUM(C1371,D1371)/2</f>
        <v>26</v>
      </c>
      <c r="F1371" s="18" t="n">
        <v>0</v>
      </c>
      <c r="G1371" s="18" t="n">
        <v>0</v>
      </c>
      <c r="H1371" s="6" t="n">
        <f>SUM(F1371,G1371)/2</f>
        <v>0</v>
      </c>
    </row>
    <row r="1372" s="18" customFormat="1" ht="14.399999999999999" customHeight="1">
      <c r="A1372" s="10" t="s">
        <v>6101</v>
      </c>
      <c r="B1372" s="10" t="s">
        <v>6102</v>
      </c>
      <c r="C1372" s="10" t="n">
        <v>321</v>
      </c>
      <c r="D1372" s="10" t="n">
        <v>511</v>
      </c>
      <c r="E1372" s="6" t="n">
        <f>SUM(C1372,D1372)/2</f>
        <v>416</v>
      </c>
      <c r="F1372" s="18" t="n">
        <v>71</v>
      </c>
      <c r="G1372" s="18" t="n">
        <v>94</v>
      </c>
      <c r="H1372" s="6" t="n">
        <f>SUM(F1372,G1372)/2</f>
        <v>82.5</v>
      </c>
    </row>
    <row r="1373" s="18" customFormat="1" ht="14.399999999999999" customHeight="1">
      <c r="A1373" s="10" t="s">
        <v>6103</v>
      </c>
      <c r="B1373" s="10" t="s">
        <v>6104</v>
      </c>
      <c r="C1373" s="10" t="n">
        <v>12</v>
      </c>
      <c r="D1373" s="10" t="n">
        <v>18</v>
      </c>
      <c r="E1373" s="6" t="n">
        <f>SUM(C1373,D1373)/2</f>
        <v>15</v>
      </c>
      <c r="F1373" s="18" t="n">
        <v>4</v>
      </c>
      <c r="G1373" s="18" t="n">
        <v>6</v>
      </c>
      <c r="H1373" s="6" t="n">
        <f>SUM(F1373,G1373)/2</f>
        <v>5</v>
      </c>
    </row>
    <row r="1374" s="18" customFormat="1" ht="14.399999999999999" customHeight="1">
      <c r="A1374" s="10" t="s">
        <v>5488</v>
      </c>
      <c r="B1374" s="10" t="s">
        <v>5489</v>
      </c>
      <c r="C1374" s="10" t="n">
        <v>292</v>
      </c>
      <c r="D1374" s="10" t="n">
        <v>466</v>
      </c>
      <c r="E1374" s="6" t="n">
        <f>SUM(C1374,D1374)/2</f>
        <v>379</v>
      </c>
      <c r="F1374" s="18" t="n">
        <v>44</v>
      </c>
      <c r="G1374" s="18" t="n">
        <v>122</v>
      </c>
      <c r="H1374" s="6" t="n">
        <f>SUM(F1374,G1374)/2</f>
        <v>83</v>
      </c>
    </row>
    <row r="1375" s="18" customFormat="1" ht="14.399999999999999" customHeight="1">
      <c r="A1375" s="10" t="s">
        <v>1691</v>
      </c>
      <c r="B1375" s="10" t="s">
        <v>1692</v>
      </c>
      <c r="C1375" s="10" t="n">
        <v>66</v>
      </c>
      <c r="D1375" s="10" t="n">
        <v>106</v>
      </c>
      <c r="E1375" s="6" t="n">
        <f>SUM(C1375,D1375)/2</f>
        <v>86</v>
      </c>
      <c r="F1375" s="18" t="n">
        <v>13</v>
      </c>
      <c r="G1375" s="18" t="n">
        <v>21</v>
      </c>
      <c r="H1375" s="6" t="n">
        <f>SUM(F1375,G1375)/2</f>
        <v>17</v>
      </c>
    </row>
    <row r="1376" s="18" customFormat="1" ht="14.399999999999999" customHeight="1">
      <c r="A1376" s="10" t="s">
        <v>3161</v>
      </c>
      <c r="B1376" s="10" t="s">
        <v>3162</v>
      </c>
      <c r="C1376" s="13" t="n">
        <v>155550</v>
      </c>
      <c r="D1376" s="13" t="n">
        <v>248478</v>
      </c>
      <c r="E1376" s="6" t="n">
        <f>SUM(C1376,D1376)/2</f>
        <v>202014</v>
      </c>
      <c r="F1376" s="12" t="n">
        <v>17959</v>
      </c>
      <c r="G1376" s="12" t="n">
        <v>26416</v>
      </c>
      <c r="H1376" s="6" t="n">
        <f>SUM(F1376,G1376)/2</f>
        <v>22187.5</v>
      </c>
    </row>
    <row r="1377" s="18" customFormat="1" ht="14.399999999999999" customHeight="1">
      <c r="A1377" s="10" t="s">
        <v>3929</v>
      </c>
      <c r="B1377" s="10" t="s">
        <v>3930</v>
      </c>
      <c r="C1377" s="13" t="n">
        <v>56560</v>
      </c>
      <c r="D1377" s="13" t="n">
        <v>90352</v>
      </c>
      <c r="E1377" s="6" t="n">
        <f>SUM(C1377,D1377)/2</f>
        <v>73456</v>
      </c>
      <c r="F1377" s="12" t="n">
        <v>8436</v>
      </c>
      <c r="G1377" s="12" t="n">
        <v>12243</v>
      </c>
      <c r="H1377" s="6" t="n">
        <f>SUM(F1377,G1377)/2</f>
        <v>10339.5</v>
      </c>
    </row>
    <row r="1378" s="18" customFormat="1" ht="14.399999999999999" customHeight="1">
      <c r="A1378" s="10" t="s">
        <v>1155</v>
      </c>
      <c r="B1378" s="10" t="s">
        <v>1156</v>
      </c>
      <c r="C1378" s="10" t="n">
        <v>361</v>
      </c>
      <c r="D1378" s="10" t="n">
        <v>577</v>
      </c>
      <c r="E1378" s="6" t="n">
        <f>SUM(C1378,D1378)/2</f>
        <v>469</v>
      </c>
      <c r="F1378" s="18" t="n">
        <v>160</v>
      </c>
      <c r="G1378" s="18" t="n">
        <v>235</v>
      </c>
      <c r="H1378" s="6" t="n">
        <f>SUM(F1378,G1378)/2</f>
        <v>197.5</v>
      </c>
    </row>
    <row r="1379" s="18" customFormat="1" ht="14.399999999999999" customHeight="1">
      <c r="A1379" s="10" t="s">
        <v>2120</v>
      </c>
      <c r="B1379" s="10" t="s">
        <v>2121</v>
      </c>
      <c r="C1379" s="10" t="n">
        <v>8</v>
      </c>
      <c r="D1379" s="10" t="n">
        <v>12</v>
      </c>
      <c r="E1379" s="6" t="n">
        <f>SUM(C1379,D1379)/2</f>
        <v>10</v>
      </c>
      <c r="F1379" s="18" t="n">
        <v>6</v>
      </c>
      <c r="G1379" s="18" t="n">
        <v>7</v>
      </c>
      <c r="H1379" s="6" t="n">
        <f>SUM(F1379,G1379)/2</f>
        <v>6.5</v>
      </c>
    </row>
    <row r="1380" s="18" customFormat="1" ht="14.399999999999999" customHeight="1">
      <c r="A1380" s="10" t="s">
        <v>4159</v>
      </c>
      <c r="B1380" s="10" t="s">
        <v>4160</v>
      </c>
      <c r="C1380" s="13" t="n">
        <v>40706</v>
      </c>
      <c r="D1380" s="13" t="n">
        <v>65024</v>
      </c>
      <c r="E1380" s="6" t="n">
        <f>SUM(C1380,D1380)/2</f>
        <v>52865</v>
      </c>
      <c r="F1380" s="12" t="n">
        <v>8845</v>
      </c>
      <c r="G1380" s="12" t="n">
        <v>10594</v>
      </c>
      <c r="H1380" s="6" t="n">
        <f>SUM(F1380,G1380)/2</f>
        <v>9719.5</v>
      </c>
    </row>
    <row r="1381" s="18" customFormat="1" ht="14.399999999999999" customHeight="1">
      <c r="A1381" s="10" t="s">
        <v>1929</v>
      </c>
      <c r="B1381" s="10" t="s">
        <v>1930</v>
      </c>
      <c r="C1381" s="10" t="n">
        <v>14</v>
      </c>
      <c r="D1381" s="10" t="n">
        <v>22</v>
      </c>
      <c r="E1381" s="6" t="n">
        <f>SUM(C1381,D1381)/2</f>
        <v>18</v>
      </c>
      <c r="F1381" s="18" t="n">
        <v>10</v>
      </c>
      <c r="G1381" s="18" t="n">
        <v>12</v>
      </c>
      <c r="H1381" s="6" t="n">
        <f>SUM(F1381,G1381)/2</f>
        <v>11</v>
      </c>
    </row>
    <row r="1382" s="18" customFormat="1" ht="14.399999999999999" customHeight="1">
      <c r="A1382" s="10" t="s">
        <v>4367</v>
      </c>
      <c r="B1382" s="10" t="s">
        <v>4368</v>
      </c>
      <c r="C1382" s="13" t="n">
        <v>32768</v>
      </c>
      <c r="D1382" s="13" t="n">
        <v>52344</v>
      </c>
      <c r="E1382" s="6" t="n">
        <f>SUM(C1382,D1382)/2</f>
        <v>42556</v>
      </c>
      <c r="F1382" s="12" t="n">
        <v>6829</v>
      </c>
      <c r="G1382" s="12" t="n">
        <v>9513</v>
      </c>
      <c r="H1382" s="6" t="n">
        <f>SUM(F1382,G1382)/2</f>
        <v>8171</v>
      </c>
    </row>
    <row r="1383" s="18" customFormat="1" ht="14.399999999999999" customHeight="1">
      <c r="A1383" s="10" t="s">
        <v>6105</v>
      </c>
      <c r="B1383" s="10" t="s">
        <v>6106</v>
      </c>
      <c r="C1383" s="10" t="n">
        <v>50</v>
      </c>
      <c r="D1383" s="10" t="n">
        <v>80</v>
      </c>
      <c r="E1383" s="6" t="n">
        <f>SUM(C1383,D1383)/2</f>
        <v>65</v>
      </c>
      <c r="F1383" s="18" t="n">
        <v>20</v>
      </c>
      <c r="G1383" s="18" t="n">
        <v>31</v>
      </c>
      <c r="H1383" s="6" t="n">
        <f>SUM(F1383,G1383)/2</f>
        <v>25.5</v>
      </c>
    </row>
    <row r="1384" s="18" customFormat="1" ht="14.399999999999999" customHeight="1">
      <c r="A1384" s="10" t="s">
        <v>6107</v>
      </c>
      <c r="B1384" s="10" t="s">
        <v>6108</v>
      </c>
      <c r="C1384" s="10" t="n">
        <v>114</v>
      </c>
      <c r="D1384" s="10" t="n">
        <v>182</v>
      </c>
      <c r="E1384" s="6" t="n">
        <f>SUM(C1384,D1384)/2</f>
        <v>148</v>
      </c>
      <c r="F1384" s="18" t="n">
        <v>18</v>
      </c>
      <c r="G1384" s="18" t="n">
        <v>32</v>
      </c>
      <c r="H1384" s="6" t="n">
        <f>SUM(F1384,G1384)/2</f>
        <v>25</v>
      </c>
    </row>
    <row r="1385" s="18" customFormat="1" ht="14.399999999999999" customHeight="1">
      <c r="A1385" s="10" t="s">
        <v>1948</v>
      </c>
      <c r="B1385" s="10" t="s">
        <v>1949</v>
      </c>
      <c r="C1385" s="10" t="n">
        <v>11</v>
      </c>
      <c r="D1385" s="10" t="n">
        <v>15</v>
      </c>
      <c r="E1385" s="6" t="n">
        <f>SUM(C1385,D1385)/2</f>
        <v>13</v>
      </c>
      <c r="F1385" s="18" t="n">
        <v>10</v>
      </c>
      <c r="G1385" s="18" t="n">
        <v>13</v>
      </c>
      <c r="H1385" s="6" t="n">
        <f>SUM(F1385,G1385)/2</f>
        <v>11.5</v>
      </c>
    </row>
    <row r="1386" s="18" customFormat="1" ht="14.399999999999999" customHeight="1">
      <c r="A1386" s="10" t="s">
        <v>2921</v>
      </c>
      <c r="B1386" s="10" t="s">
        <v>2922</v>
      </c>
      <c r="C1386" s="10" t="n">
        <v>0</v>
      </c>
      <c r="D1386" s="10" t="n">
        <v>0</v>
      </c>
      <c r="E1386" s="6" t="n">
        <f>SUM(C1386,D1386)/2</f>
        <v>0</v>
      </c>
      <c r="F1386" s="18" t="n">
        <v>0</v>
      </c>
      <c r="G1386" s="18" t="n">
        <v>0</v>
      </c>
      <c r="H1386" s="6" t="n">
        <f>SUM(F1386,G1386)/2</f>
        <v>0</v>
      </c>
    </row>
    <row r="1387" s="18" customFormat="1" ht="14.399999999999999" customHeight="1">
      <c r="A1387" s="10" t="s">
        <v>1534</v>
      </c>
      <c r="B1387" s="10" t="s">
        <v>1535</v>
      </c>
      <c r="C1387" s="13" t="n">
        <v>144651</v>
      </c>
      <c r="D1387" s="13" t="n">
        <v>231065</v>
      </c>
      <c r="E1387" s="6" t="n">
        <f>SUM(C1387,D1387)/2</f>
        <v>187858</v>
      </c>
      <c r="F1387" s="12" t="n">
        <v>77274</v>
      </c>
      <c r="G1387" s="12" t="n">
        <v>112546</v>
      </c>
      <c r="H1387" s="6" t="n">
        <f>SUM(F1387,G1387)/2</f>
        <v>94910</v>
      </c>
    </row>
    <row r="1388" s="18" customFormat="1" ht="14.399999999999999" customHeight="1">
      <c r="A1388" s="10" t="s">
        <v>6109</v>
      </c>
      <c r="B1388" s="10" t="s">
        <v>6110</v>
      </c>
      <c r="C1388" s="10" t="n">
        <v>0</v>
      </c>
      <c r="D1388" s="10" t="n">
        <v>0</v>
      </c>
      <c r="E1388" s="6" t="n">
        <f>SUM(C1388,D1388)/2</f>
        <v>0</v>
      </c>
      <c r="F1388" s="18" t="n">
        <v>3</v>
      </c>
      <c r="G1388" s="18" t="n">
        <v>3</v>
      </c>
      <c r="H1388" s="6" t="n">
        <f>SUM(F1388,G1388)/2</f>
        <v>3</v>
      </c>
    </row>
    <row r="1389" s="18" customFormat="1" ht="14.399999999999999" customHeight="1">
      <c r="A1389" s="10" t="s">
        <v>4369</v>
      </c>
      <c r="B1389" s="10" t="s">
        <v>4370</v>
      </c>
      <c r="C1389" s="13" t="n">
        <v>25636</v>
      </c>
      <c r="D1389" s="13" t="n">
        <v>40950</v>
      </c>
      <c r="E1389" s="6" t="n">
        <f>SUM(C1389,D1389)/2</f>
        <v>33293</v>
      </c>
      <c r="F1389" s="12" t="n">
        <v>8554</v>
      </c>
      <c r="G1389" s="12" t="n">
        <v>11639</v>
      </c>
      <c r="H1389" s="6" t="n">
        <f>SUM(F1389,G1389)/2</f>
        <v>10096.5</v>
      </c>
    </row>
    <row r="1390" s="18" customFormat="1" ht="14.399999999999999" customHeight="1">
      <c r="A1390" s="10" t="s">
        <v>1547</v>
      </c>
      <c r="B1390" s="10" t="s">
        <v>1548</v>
      </c>
      <c r="C1390" s="10" t="n">
        <v>125</v>
      </c>
      <c r="D1390" s="10" t="n">
        <v>201</v>
      </c>
      <c r="E1390" s="6" t="n">
        <f>SUM(C1390,D1390)/2</f>
        <v>163</v>
      </c>
      <c r="F1390" s="18" t="n">
        <v>12</v>
      </c>
      <c r="G1390" s="18" t="n">
        <v>27</v>
      </c>
      <c r="H1390" s="6" t="n">
        <f>SUM(F1390,G1390)/2</f>
        <v>19.5</v>
      </c>
    </row>
    <row r="1391" s="18" customFormat="1" ht="14.399999999999999" customHeight="1">
      <c r="A1391" s="10" t="s">
        <v>2334</v>
      </c>
      <c r="B1391" s="10" t="s">
        <v>2335</v>
      </c>
      <c r="C1391" s="10" t="n">
        <v>19</v>
      </c>
      <c r="D1391" s="10" t="n">
        <v>31</v>
      </c>
      <c r="E1391" s="6" t="n">
        <f>SUM(C1391,D1391)/2</f>
        <v>25</v>
      </c>
      <c r="F1391" s="18" t="n">
        <v>0</v>
      </c>
      <c r="G1391" s="18" t="n">
        <v>0</v>
      </c>
      <c r="H1391" s="6" t="n">
        <f>SUM(F1391,G1391)/2</f>
        <v>0</v>
      </c>
    </row>
    <row r="1392" s="18" customFormat="1" ht="14.399999999999999" customHeight="1">
      <c r="A1392" s="10" t="s">
        <v>1042</v>
      </c>
      <c r="B1392" s="10" t="s">
        <v>1043</v>
      </c>
      <c r="C1392" s="13" t="n">
        <v>496454</v>
      </c>
      <c r="D1392" s="13" t="n">
        <v>793034</v>
      </c>
      <c r="E1392" s="6" t="n">
        <f>SUM(C1392,D1392)/2</f>
        <v>644744</v>
      </c>
      <c r="F1392" s="12" t="n">
        <v>85718</v>
      </c>
      <c r="G1392" s="12" t="n">
        <v>125340</v>
      </c>
      <c r="H1392" s="6" t="n">
        <f>SUM(F1392,G1392)/2</f>
        <v>105529</v>
      </c>
    </row>
    <row r="1393" s="18" customFormat="1" ht="14.399999999999999" customHeight="1">
      <c r="A1393" s="10" t="s">
        <v>6111</v>
      </c>
      <c r="B1393" s="10" t="s">
        <v>6112</v>
      </c>
      <c r="C1393" s="13" t="n">
        <v>16368</v>
      </c>
      <c r="D1393" s="13" t="n">
        <v>26146</v>
      </c>
      <c r="E1393" s="6" t="n">
        <f>SUM(C1393,D1393)/2</f>
        <v>21257</v>
      </c>
      <c r="F1393" s="12" t="n">
        <v>11318</v>
      </c>
      <c r="G1393" s="12" t="n">
        <v>12955</v>
      </c>
      <c r="H1393" s="6" t="n">
        <f>SUM(F1393,G1393)/2</f>
        <v>12136.5</v>
      </c>
    </row>
    <row r="1394" s="18" customFormat="1" ht="14.399999999999999" customHeight="1">
      <c r="A1394" s="10" t="s">
        <v>945</v>
      </c>
      <c r="B1394" s="10" t="s">
        <v>946</v>
      </c>
      <c r="C1394" s="13" t="n">
        <v>798149</v>
      </c>
      <c r="D1394" s="13" t="n">
        <v>1274965</v>
      </c>
      <c r="E1394" s="6" t="n">
        <f>SUM(C1394,D1394)/2</f>
        <v>1036557</v>
      </c>
      <c r="F1394" s="12" t="n">
        <v>79085</v>
      </c>
      <c r="G1394" s="12" t="n">
        <v>114181</v>
      </c>
      <c r="H1394" s="6" t="n">
        <f>SUM(F1394,G1394)/2</f>
        <v>96633</v>
      </c>
    </row>
    <row r="1395" s="18" customFormat="1" ht="14.399999999999999" customHeight="1">
      <c r="A1395" s="10" t="s">
        <v>5105</v>
      </c>
      <c r="B1395" s="10" t="s">
        <v>5106</v>
      </c>
      <c r="C1395" s="13" t="n">
        <v>6104</v>
      </c>
      <c r="D1395" s="13" t="n">
        <v>9754</v>
      </c>
      <c r="E1395" s="6" t="n">
        <f>SUM(C1395,D1395)/2</f>
        <v>7929</v>
      </c>
      <c r="F1395" s="12" t="n">
        <v>4954</v>
      </c>
      <c r="G1395" s="12" t="n">
        <v>7846</v>
      </c>
      <c r="H1395" s="6" t="n">
        <f>SUM(F1395,G1395)/2</f>
        <v>6400</v>
      </c>
    </row>
    <row r="1396" s="18" customFormat="1" ht="14.399999999999999" customHeight="1">
      <c r="A1396" s="10" t="s">
        <v>5151</v>
      </c>
      <c r="B1396" s="10" t="s">
        <v>5152</v>
      </c>
      <c r="C1396" s="13" t="n">
        <v>3940</v>
      </c>
      <c r="D1396" s="13" t="n">
        <v>6296</v>
      </c>
      <c r="E1396" s="6" t="n">
        <f>SUM(C1396,D1396)/2</f>
        <v>5118</v>
      </c>
      <c r="F1396" s="12" t="n">
        <v>5167</v>
      </c>
      <c r="G1396" s="12" t="n">
        <v>7011</v>
      </c>
      <c r="H1396" s="6" t="n">
        <f>SUM(F1396,G1396)/2</f>
        <v>6089</v>
      </c>
    </row>
    <row r="1397" s="18" customFormat="1" ht="14.399999999999999" customHeight="1">
      <c r="A1397" s="10" t="s">
        <v>6113</v>
      </c>
      <c r="B1397" s="10" t="s">
        <v>6114</v>
      </c>
      <c r="C1397" s="13" t="n">
        <v>14632</v>
      </c>
      <c r="D1397" s="13" t="n">
        <v>23376</v>
      </c>
      <c r="E1397" s="6" t="n">
        <f>SUM(C1397,D1397)/2</f>
        <v>19004</v>
      </c>
      <c r="F1397" s="12" t="n">
        <v>5345</v>
      </c>
      <c r="G1397" s="12" t="n">
        <v>7214</v>
      </c>
      <c r="H1397" s="6" t="n">
        <f>SUM(F1397,G1397)/2</f>
        <v>6279.5</v>
      </c>
    </row>
    <row r="1398" s="18" customFormat="1" ht="14.399999999999999" customHeight="1">
      <c r="A1398" s="10" t="s">
        <v>6115</v>
      </c>
      <c r="B1398" s="10" t="s">
        <v>6116</v>
      </c>
      <c r="C1398" s="10" t="n">
        <v>313</v>
      </c>
      <c r="D1398" s="10" t="n">
        <v>501</v>
      </c>
      <c r="E1398" s="6" t="n">
        <f>SUM(C1398,D1398)/2</f>
        <v>407</v>
      </c>
      <c r="F1398" s="18" t="n">
        <v>509</v>
      </c>
      <c r="G1398" s="18" t="n">
        <v>693</v>
      </c>
      <c r="H1398" s="6" t="n">
        <f>SUM(F1398,G1398)/2</f>
        <v>601</v>
      </c>
    </row>
    <row r="1399" s="18" customFormat="1" ht="14.399999999999999" customHeight="1">
      <c r="A1399" s="10" t="s">
        <v>3667</v>
      </c>
      <c r="B1399" s="10" t="s">
        <v>3668</v>
      </c>
      <c r="C1399" s="13" t="n">
        <v>90747</v>
      </c>
      <c r="D1399" s="13" t="n">
        <v>144957</v>
      </c>
      <c r="E1399" s="6" t="n">
        <f>SUM(C1399,D1399)/2</f>
        <v>117852</v>
      </c>
      <c r="F1399" s="12" t="n">
        <v>4153</v>
      </c>
      <c r="G1399" s="12" t="n">
        <v>16499</v>
      </c>
      <c r="H1399" s="6" t="n">
        <f>SUM(F1399,G1399)/2</f>
        <v>10326</v>
      </c>
    </row>
    <row r="1400" s="18" customFormat="1" ht="14.399999999999999" customHeight="1">
      <c r="A1400" s="10" t="s">
        <v>933</v>
      </c>
      <c r="B1400" s="10" t="s">
        <v>934</v>
      </c>
      <c r="C1400" s="13" t="n">
        <v>773635</v>
      </c>
      <c r="D1400" s="13" t="n">
        <v>1235809</v>
      </c>
      <c r="E1400" s="6" t="n">
        <f>SUM(C1400,D1400)/2</f>
        <v>1004722</v>
      </c>
      <c r="F1400" s="12" t="n">
        <v>75226</v>
      </c>
      <c r="G1400" s="12" t="n">
        <v>156903</v>
      </c>
      <c r="H1400" s="6" t="n">
        <f>SUM(F1400,G1400)/2</f>
        <v>116064.5</v>
      </c>
    </row>
    <row r="1401" s="18" customFormat="1" ht="14.399999999999999" customHeight="1">
      <c r="A1401" s="10" t="s">
        <v>2258</v>
      </c>
      <c r="B1401" s="10" t="s">
        <v>2259</v>
      </c>
      <c r="C1401" s="10" t="n">
        <v>2</v>
      </c>
      <c r="D1401" s="10" t="n">
        <v>2</v>
      </c>
      <c r="E1401" s="6" t="n">
        <f>SUM(C1401,D1401)/2</f>
        <v>2</v>
      </c>
      <c r="F1401" s="18" t="n">
        <v>5</v>
      </c>
      <c r="G1401" s="18" t="n">
        <v>7</v>
      </c>
      <c r="H1401" s="6" t="n">
        <f>SUM(F1401,G1401)/2</f>
        <v>6</v>
      </c>
    </row>
    <row r="1402" s="18" customFormat="1" ht="14.399999999999999" customHeight="1">
      <c r="A1402" s="10" t="s">
        <v>3239</v>
      </c>
      <c r="B1402" s="10" t="s">
        <v>3240</v>
      </c>
      <c r="C1402" s="13" t="n">
        <v>152336</v>
      </c>
      <c r="D1402" s="13" t="n">
        <v>243342</v>
      </c>
      <c r="E1402" s="6" t="n">
        <f>SUM(C1402,D1402)/2</f>
        <v>197839</v>
      </c>
      <c r="F1402" s="12" t="n">
        <v>12758</v>
      </c>
      <c r="G1402" s="12" t="n">
        <v>18582</v>
      </c>
      <c r="H1402" s="6" t="n">
        <f>SUM(F1402,G1402)/2</f>
        <v>15670</v>
      </c>
    </row>
    <row r="1403" s="18" customFormat="1" ht="14.399999999999999" customHeight="1">
      <c r="A1403" s="10" t="s">
        <v>3141</v>
      </c>
      <c r="B1403" s="10" t="s">
        <v>3142</v>
      </c>
      <c r="C1403" s="13" t="n">
        <v>323959</v>
      </c>
      <c r="D1403" s="13" t="n">
        <v>517491</v>
      </c>
      <c r="E1403" s="6" t="n">
        <f>SUM(C1403,D1403)/2</f>
        <v>420725</v>
      </c>
      <c r="F1403" s="12" t="n">
        <v>68373</v>
      </c>
      <c r="G1403" s="12" t="n">
        <v>99944</v>
      </c>
      <c r="H1403" s="6" t="n">
        <f>SUM(F1403,G1403)/2</f>
        <v>84158.5</v>
      </c>
    </row>
    <row r="1404" s="18" customFormat="1" ht="14.399999999999999" customHeight="1">
      <c r="A1404" s="10" t="s">
        <v>941</v>
      </c>
      <c r="B1404" s="10" t="s">
        <v>942</v>
      </c>
      <c r="C1404" s="13" t="n">
        <v>432776</v>
      </c>
      <c r="D1404" s="13" t="n">
        <v>691318</v>
      </c>
      <c r="E1404" s="6" t="n">
        <f>SUM(C1404,D1404)/2</f>
        <v>562047</v>
      </c>
      <c r="F1404" s="12" t="n">
        <v>186153</v>
      </c>
      <c r="G1404" s="12" t="n">
        <v>216475</v>
      </c>
      <c r="H1404" s="6" t="n">
        <f>SUM(F1404,G1404)/2</f>
        <v>201314</v>
      </c>
    </row>
    <row r="1405" s="18" customFormat="1" ht="14.399999999999999" customHeight="1">
      <c r="A1405" s="10" t="s">
        <v>5294</v>
      </c>
      <c r="B1405" s="10" t="s">
        <v>5295</v>
      </c>
      <c r="C1405" s="13" t="n">
        <v>3072</v>
      </c>
      <c r="D1405" s="13" t="n">
        <v>4908</v>
      </c>
      <c r="E1405" s="6" t="n">
        <f>SUM(C1405,D1405)/2</f>
        <v>3990</v>
      </c>
      <c r="H1405" s="6" t="n">
        <f>SUM(F1405,G1405)/2</f>
        <v>0</v>
      </c>
    </row>
    <row r="1406" s="18" customFormat="1" ht="14.399999999999999" customHeight="1">
      <c r="A1406" s="10" t="s">
        <v>6117</v>
      </c>
      <c r="B1406" s="10" t="s">
        <v>6118</v>
      </c>
      <c r="C1406" s="10" t="n">
        <v>0</v>
      </c>
      <c r="D1406" s="10" t="n">
        <v>0</v>
      </c>
      <c r="E1406" s="6" t="n">
        <f>SUM(C1406,D1406)/2</f>
        <v>0</v>
      </c>
      <c r="F1406" s="18" t="n">
        <v>3</v>
      </c>
      <c r="G1406" s="18" t="n">
        <v>4</v>
      </c>
      <c r="H1406" s="6" t="n">
        <f>SUM(F1406,G1406)/2</f>
        <v>3.5</v>
      </c>
    </row>
    <row r="1407" s="18" customFormat="1" ht="14.399999999999999" customHeight="1">
      <c r="A1407" s="10" t="s">
        <v>5095</v>
      </c>
      <c r="B1407" s="10" t="s">
        <v>5096</v>
      </c>
      <c r="C1407" s="13" t="n">
        <v>7797</v>
      </c>
      <c r="D1407" s="13" t="n">
        <v>12453</v>
      </c>
      <c r="E1407" s="6" t="n">
        <f>SUM(C1407,D1407)/2</f>
        <v>10125</v>
      </c>
      <c r="F1407" s="12" t="n">
        <v>5099</v>
      </c>
      <c r="G1407" s="12" t="n">
        <v>7331</v>
      </c>
      <c r="H1407" s="6" t="n">
        <f>SUM(F1407,G1407)/2</f>
        <v>6215</v>
      </c>
    </row>
    <row r="1408" s="18" customFormat="1" ht="14.399999999999999" customHeight="1">
      <c r="A1408" s="10" t="s">
        <v>68</v>
      </c>
      <c r="B1408" s="10" t="s">
        <v>69</v>
      </c>
      <c r="C1408" s="13" t="n">
        <v>1967451</v>
      </c>
      <c r="D1408" s="13" t="n">
        <v>3142811</v>
      </c>
      <c r="E1408" s="6" t="n">
        <f>SUM(C1408,D1408)/2</f>
        <v>2555131</v>
      </c>
      <c r="F1408" s="12" t="n">
        <v>787558</v>
      </c>
      <c r="G1408" s="12" t="n">
        <v>1104038</v>
      </c>
      <c r="H1408" s="6" t="n">
        <f>SUM(F1408,G1408)/2</f>
        <v>945798</v>
      </c>
    </row>
    <row r="1409" s="18" customFormat="1" ht="14.399999999999999" customHeight="1">
      <c r="A1409" s="10" t="s">
        <v>4345</v>
      </c>
      <c r="B1409" s="10" t="s">
        <v>4346</v>
      </c>
      <c r="C1409" s="13" t="n">
        <v>40988</v>
      </c>
      <c r="D1409" s="13" t="n">
        <v>65476</v>
      </c>
      <c r="E1409" s="6" t="n">
        <f>SUM(C1409,D1409)/2</f>
        <v>53232</v>
      </c>
      <c r="F1409" s="12" t="n">
        <v>5451</v>
      </c>
      <c r="G1409" s="12" t="n">
        <v>7194</v>
      </c>
      <c r="H1409" s="6" t="n">
        <f>SUM(F1409,G1409)/2</f>
        <v>6322.5</v>
      </c>
    </row>
    <row r="1410" s="18" customFormat="1" ht="14.399999999999999" customHeight="1">
      <c r="A1410" s="10" t="s">
        <v>5129</v>
      </c>
      <c r="B1410" s="10" t="s">
        <v>5130</v>
      </c>
      <c r="C1410" s="13" t="n">
        <v>3805</v>
      </c>
      <c r="D1410" s="13" t="n">
        <v>6079</v>
      </c>
      <c r="E1410" s="6" t="n">
        <f>SUM(C1410,D1410)/2</f>
        <v>4942</v>
      </c>
      <c r="F1410" s="12" t="n">
        <v>5417</v>
      </c>
      <c r="G1410" s="12" t="n">
        <v>7718</v>
      </c>
      <c r="H1410" s="6" t="n">
        <f>SUM(F1410,G1410)/2</f>
        <v>6567.5</v>
      </c>
    </row>
    <row r="1411" s="18" customFormat="1" ht="14.399999999999999" customHeight="1">
      <c r="A1411" s="10" t="s">
        <v>2923</v>
      </c>
      <c r="B1411" s="10" t="s">
        <v>2924</v>
      </c>
      <c r="C1411" s="10" t="n">
        <v>0</v>
      </c>
      <c r="D1411" s="10" t="n">
        <v>0</v>
      </c>
      <c r="E1411" s="6" t="n">
        <f>SUM(C1411,D1411)/2</f>
        <v>0</v>
      </c>
      <c r="F1411" s="18" t="n">
        <v>0</v>
      </c>
      <c r="G1411" s="18" t="n">
        <v>0</v>
      </c>
      <c r="H1411" s="6" t="n">
        <f>SUM(F1411,G1411)/2</f>
        <v>0</v>
      </c>
    </row>
    <row r="1412" s="18" customFormat="1" ht="14.399999999999999" customHeight="1">
      <c r="A1412" s="10" t="s">
        <v>792</v>
      </c>
      <c r="B1412" s="10" t="s">
        <v>793</v>
      </c>
      <c r="C1412" s="13" t="n">
        <v>1218949</v>
      </c>
      <c r="D1412" s="13" t="n">
        <v>1947151</v>
      </c>
      <c r="E1412" s="6" t="n">
        <f>SUM(C1412,D1412)/2</f>
        <v>1583050</v>
      </c>
      <c r="F1412" s="12" t="n">
        <v>278170</v>
      </c>
      <c r="G1412" s="12" t="n">
        <v>392416</v>
      </c>
      <c r="H1412" s="6" t="n">
        <f>SUM(F1412,G1412)/2</f>
        <v>335293</v>
      </c>
    </row>
    <row r="1413" s="18" customFormat="1" ht="14.399999999999999" customHeight="1">
      <c r="A1413" s="10" t="s">
        <v>4877</v>
      </c>
      <c r="B1413" s="10" t="s">
        <v>4878</v>
      </c>
      <c r="C1413" s="13" t="n">
        <v>11617</v>
      </c>
      <c r="D1413" s="13" t="n">
        <v>18557</v>
      </c>
      <c r="E1413" s="6" t="n">
        <f>SUM(C1413,D1413)/2</f>
        <v>15087</v>
      </c>
      <c r="F1413" s="12" t="n">
        <v>6252</v>
      </c>
      <c r="G1413" s="12" t="n">
        <v>9467</v>
      </c>
      <c r="H1413" s="6" t="n">
        <f>SUM(F1413,G1413)/2</f>
        <v>7859.5</v>
      </c>
    </row>
    <row r="1414" s="18" customFormat="1" ht="14.399999999999999" customHeight="1">
      <c r="A1414" s="10" t="s">
        <v>3651</v>
      </c>
      <c r="B1414" s="10" t="s">
        <v>3652</v>
      </c>
      <c r="C1414" s="13" t="n">
        <v>86419</v>
      </c>
      <c r="D1414" s="13" t="n">
        <v>138047</v>
      </c>
      <c r="E1414" s="6" t="n">
        <f>SUM(C1414,D1414)/2</f>
        <v>112233</v>
      </c>
      <c r="F1414" s="12" t="n">
        <v>9239</v>
      </c>
      <c r="G1414" s="12" t="n">
        <v>14732</v>
      </c>
      <c r="H1414" s="6" t="n">
        <f>SUM(F1414,G1414)/2</f>
        <v>11985.5</v>
      </c>
    </row>
    <row r="1415" s="18" customFormat="1" ht="14.399999999999999" customHeight="1">
      <c r="A1415" s="10" t="s">
        <v>4595</v>
      </c>
      <c r="B1415" s="10" t="s">
        <v>4596</v>
      </c>
      <c r="C1415" s="13" t="n">
        <v>24007</v>
      </c>
      <c r="D1415" s="13" t="n">
        <v>38347</v>
      </c>
      <c r="E1415" s="6" t="n">
        <f>SUM(C1415,D1415)/2</f>
        <v>31177</v>
      </c>
      <c r="F1415" s="12" t="n">
        <v>6915</v>
      </c>
      <c r="G1415" s="12" t="n">
        <v>8358</v>
      </c>
      <c r="H1415" s="6" t="n">
        <f>SUM(F1415,G1415)/2</f>
        <v>7636.5</v>
      </c>
    </row>
    <row r="1416" s="18" customFormat="1" ht="14.399999999999999" customHeight="1">
      <c r="A1416" s="10" t="s">
        <v>3201</v>
      </c>
      <c r="B1416" s="10" t="s">
        <v>3202</v>
      </c>
      <c r="C1416" s="13" t="n">
        <v>63929</v>
      </c>
      <c r="D1416" s="13" t="n">
        <v>102121</v>
      </c>
      <c r="E1416" s="6" t="n">
        <f>SUM(C1416,D1416)/2</f>
        <v>83025</v>
      </c>
      <c r="F1416" s="12" t="n">
        <v>37243</v>
      </c>
      <c r="G1416" s="12" t="n">
        <v>47260</v>
      </c>
      <c r="H1416" s="6" t="n">
        <f>SUM(F1416,G1416)/2</f>
        <v>42251.5</v>
      </c>
    </row>
    <row r="1417" s="18" customFormat="1" ht="14.399999999999999" customHeight="1">
      <c r="A1417" s="10" t="s">
        <v>6119</v>
      </c>
      <c r="B1417" s="10" t="s">
        <v>6120</v>
      </c>
      <c r="C1417" s="10" t="n">
        <v>1</v>
      </c>
      <c r="D1417" s="10" t="n">
        <v>1</v>
      </c>
      <c r="E1417" s="6" t="n">
        <f>SUM(C1417,D1417)/2</f>
        <v>1</v>
      </c>
      <c r="F1417" s="18" t="n">
        <v>1</v>
      </c>
      <c r="G1417" s="18" t="n">
        <v>1</v>
      </c>
      <c r="H1417" s="6" t="n">
        <f>SUM(F1417,G1417)/2</f>
        <v>1</v>
      </c>
    </row>
    <row r="1418" s="18" customFormat="1" ht="14.399999999999999" customHeight="1">
      <c r="A1418" s="10" t="s">
        <v>2714</v>
      </c>
      <c r="B1418" s="10" t="s">
        <v>2715</v>
      </c>
      <c r="C1418" s="10" t="n">
        <v>3</v>
      </c>
      <c r="D1418" s="10" t="n">
        <v>5</v>
      </c>
      <c r="E1418" s="6" t="n">
        <f>SUM(C1418,D1418)/2</f>
        <v>4</v>
      </c>
      <c r="F1418" s="18" t="n">
        <v>0</v>
      </c>
      <c r="G1418" s="18" t="n">
        <v>0</v>
      </c>
      <c r="H1418" s="6" t="n">
        <f>SUM(F1418,G1418)/2</f>
        <v>0</v>
      </c>
    </row>
    <row r="1419" s="18" customFormat="1" ht="14.399999999999999" customHeight="1">
      <c r="A1419" s="10" t="s">
        <v>6121</v>
      </c>
      <c r="B1419" s="10" t="s">
        <v>6122</v>
      </c>
      <c r="C1419" s="10" t="n">
        <v>212</v>
      </c>
      <c r="D1419" s="10" t="n">
        <v>338</v>
      </c>
      <c r="E1419" s="6" t="n">
        <f>SUM(C1419,D1419)/2</f>
        <v>275</v>
      </c>
      <c r="F1419" s="18" t="n">
        <v>20</v>
      </c>
      <c r="G1419" s="18" t="n">
        <v>30</v>
      </c>
      <c r="H1419" s="6" t="n">
        <f>SUM(F1419,G1419)/2</f>
        <v>25</v>
      </c>
    </row>
    <row r="1420" s="18" customFormat="1" ht="14.399999999999999" customHeight="1">
      <c r="A1420" s="10" t="s">
        <v>2626</v>
      </c>
      <c r="B1420" s="10" t="s">
        <v>2627</v>
      </c>
      <c r="C1420" s="10" t="n">
        <v>5</v>
      </c>
      <c r="D1420" s="10" t="n">
        <v>7</v>
      </c>
      <c r="E1420" s="6" t="n">
        <f>SUM(C1420,D1420)/2</f>
        <v>6</v>
      </c>
      <c r="F1420" s="18" t="n">
        <v>0</v>
      </c>
      <c r="G1420" s="18" t="n">
        <v>0</v>
      </c>
      <c r="H1420" s="6" t="n">
        <f>SUM(F1420,G1420)/2</f>
        <v>0</v>
      </c>
    </row>
    <row r="1421" s="18" customFormat="1" ht="14.399999999999999" customHeight="1">
      <c r="A1421" s="10" t="s">
        <v>2737</v>
      </c>
      <c r="B1421" s="10" t="s">
        <v>2738</v>
      </c>
      <c r="C1421" s="10" t="n">
        <v>3</v>
      </c>
      <c r="D1421" s="10" t="n">
        <v>3</v>
      </c>
      <c r="E1421" s="6" t="n">
        <f>SUM(C1421,D1421)/2</f>
        <v>3</v>
      </c>
      <c r="F1421" s="18" t="n">
        <v>0</v>
      </c>
      <c r="G1421" s="18" t="n">
        <v>0</v>
      </c>
      <c r="H1421" s="6" t="n">
        <f>SUM(F1421,G1421)/2</f>
        <v>0</v>
      </c>
    </row>
    <row r="1422" s="18" customFormat="1" ht="14.399999999999999" customHeight="1">
      <c r="A1422" s="10" t="s">
        <v>4821</v>
      </c>
      <c r="B1422" s="10" t="s">
        <v>4822</v>
      </c>
      <c r="C1422" s="13" t="n">
        <v>18332</v>
      </c>
      <c r="D1422" s="13" t="n">
        <v>29286</v>
      </c>
      <c r="E1422" s="6" t="n">
        <f>SUM(C1422,D1422)/2</f>
        <v>23809</v>
      </c>
      <c r="F1422" s="12" t="n">
        <v>5312</v>
      </c>
      <c r="G1422" s="12" t="n">
        <v>7664</v>
      </c>
      <c r="H1422" s="6" t="n">
        <f>SUM(F1422,G1422)/2</f>
        <v>6488</v>
      </c>
    </row>
    <row r="1423" s="18" customFormat="1" ht="14.399999999999999" customHeight="1">
      <c r="A1423" s="10" t="s">
        <v>3745</v>
      </c>
      <c r="B1423" s="10" t="s">
        <v>3746</v>
      </c>
      <c r="C1423" s="13" t="n">
        <v>54722</v>
      </c>
      <c r="D1423" s="13" t="n">
        <v>87412</v>
      </c>
      <c r="E1423" s="6" t="n">
        <f>SUM(C1423,D1423)/2</f>
        <v>71067</v>
      </c>
      <c r="F1423" s="12" t="n">
        <v>14028</v>
      </c>
      <c r="G1423" s="12" t="n">
        <v>20257</v>
      </c>
      <c r="H1423" s="6" t="n">
        <f>SUM(F1423,G1423)/2</f>
        <v>17142.5</v>
      </c>
    </row>
    <row r="1424" s="18" customFormat="1" ht="14.399999999999999" customHeight="1">
      <c r="A1424" s="10" t="s">
        <v>1407</v>
      </c>
      <c r="B1424" s="10" t="s">
        <v>1408</v>
      </c>
      <c r="C1424" s="10" t="n">
        <v>1</v>
      </c>
      <c r="D1424" s="10" t="n">
        <v>1</v>
      </c>
      <c r="E1424" s="6" t="n">
        <f>SUM(C1424,D1424)/2</f>
        <v>1</v>
      </c>
      <c r="F1424" s="18" t="n">
        <v>0</v>
      </c>
      <c r="G1424" s="18" t="n">
        <v>0</v>
      </c>
      <c r="H1424" s="6" t="n">
        <f>SUM(F1424,G1424)/2</f>
        <v>0</v>
      </c>
    </row>
    <row r="1425" s="18" customFormat="1" ht="14.399999999999999" customHeight="1">
      <c r="A1425" s="10" t="s">
        <v>510</v>
      </c>
      <c r="B1425" s="10" t="s">
        <v>511</v>
      </c>
      <c r="C1425" s="10" t="n">
        <v>705</v>
      </c>
      <c r="D1425" s="13" t="n">
        <v>1125</v>
      </c>
      <c r="E1425" s="6" t="n">
        <f>SUM(C1425,D1425)/2</f>
        <v>915</v>
      </c>
      <c r="F1425" s="18" t="n">
        <v>2</v>
      </c>
      <c r="G1425" s="18" t="n">
        <v>3</v>
      </c>
      <c r="H1425" s="6" t="n">
        <f>SUM(F1425,G1425)/2</f>
        <v>2.5</v>
      </c>
    </row>
    <row r="1426" s="18" customFormat="1" ht="14.399999999999999" customHeight="1">
      <c r="A1426" s="10" t="s">
        <v>3909</v>
      </c>
      <c r="B1426" s="10" t="s">
        <v>3910</v>
      </c>
      <c r="C1426" s="13" t="n">
        <v>57728</v>
      </c>
      <c r="D1426" s="13" t="n">
        <v>92218</v>
      </c>
      <c r="E1426" s="6" t="n">
        <f>SUM(C1426,D1426)/2</f>
        <v>74973</v>
      </c>
      <c r="F1426" s="12" t="n">
        <v>8502</v>
      </c>
      <c r="G1426" s="12" t="n">
        <v>13108</v>
      </c>
      <c r="H1426" s="6" t="n">
        <f>SUM(F1426,G1426)/2</f>
        <v>10805</v>
      </c>
    </row>
    <row r="1427" s="18" customFormat="1" ht="14.399999999999999" customHeight="1">
      <c r="A1427" s="10" t="s">
        <v>3875</v>
      </c>
      <c r="B1427" s="10" t="s">
        <v>3876</v>
      </c>
      <c r="C1427" s="13" t="n">
        <v>28941</v>
      </c>
      <c r="D1427" s="13" t="n">
        <v>46231</v>
      </c>
      <c r="E1427" s="6" t="n">
        <f>SUM(C1427,D1427)/2</f>
        <v>37586</v>
      </c>
      <c r="F1427" s="12" t="n">
        <v>16417</v>
      </c>
      <c r="G1427" s="12" t="n">
        <v>23016</v>
      </c>
      <c r="H1427" s="6" t="n">
        <f>SUM(F1427,G1427)/2</f>
        <v>19716.5</v>
      </c>
    </row>
    <row r="1428" s="18" customFormat="1" ht="14.399999999999999" customHeight="1">
      <c r="A1428" s="10" t="s">
        <v>4679</v>
      </c>
      <c r="B1428" s="10" t="s">
        <v>4680</v>
      </c>
      <c r="C1428" s="13" t="n">
        <v>17642</v>
      </c>
      <c r="D1428" s="13" t="n">
        <v>28180</v>
      </c>
      <c r="E1428" s="6" t="n">
        <f>SUM(C1428,D1428)/2</f>
        <v>22911</v>
      </c>
      <c r="F1428" s="12" t="n">
        <v>7210</v>
      </c>
      <c r="G1428" s="12" t="n">
        <v>9191</v>
      </c>
      <c r="H1428" s="6" t="n">
        <f>SUM(F1428,G1428)/2</f>
        <v>8200.5</v>
      </c>
    </row>
    <row r="1429" s="18" customFormat="1" ht="14.399999999999999" customHeight="1">
      <c r="A1429" s="10" t="s">
        <v>2690</v>
      </c>
      <c r="B1429" s="10" t="s">
        <v>2691</v>
      </c>
      <c r="C1429" s="10" t="n">
        <v>0</v>
      </c>
      <c r="D1429" s="10" t="n">
        <v>0</v>
      </c>
      <c r="E1429" s="6" t="n">
        <f>SUM(C1429,D1429)/2</f>
        <v>0</v>
      </c>
      <c r="F1429" s="18" t="n">
        <v>1</v>
      </c>
      <c r="G1429" s="18" t="n">
        <v>1</v>
      </c>
      <c r="H1429" s="6" t="n">
        <f>SUM(F1429,G1429)/2</f>
        <v>1</v>
      </c>
    </row>
    <row r="1430" s="18" customFormat="1" ht="14.399999999999999" customHeight="1">
      <c r="A1430" s="10" t="s">
        <v>4605</v>
      </c>
      <c r="B1430" s="10" t="s">
        <v>4606</v>
      </c>
      <c r="C1430" s="13" t="n">
        <v>24710</v>
      </c>
      <c r="D1430" s="13" t="n">
        <v>39472</v>
      </c>
      <c r="E1430" s="6" t="n">
        <f>SUM(C1430,D1430)/2</f>
        <v>32091</v>
      </c>
      <c r="F1430" s="12" t="n">
        <v>6071</v>
      </c>
      <c r="G1430" s="12" t="n">
        <v>8614</v>
      </c>
      <c r="H1430" s="6" t="n">
        <f>SUM(F1430,G1430)/2</f>
        <v>7342.5</v>
      </c>
    </row>
    <row r="1431" s="18" customFormat="1" ht="14.399999999999999" customHeight="1">
      <c r="A1431" s="10" t="s">
        <v>6123</v>
      </c>
      <c r="B1431" s="10" t="s">
        <v>6124</v>
      </c>
      <c r="C1431" s="13" t="n">
        <v>25000</v>
      </c>
      <c r="D1431" s="13" t="n">
        <v>39934</v>
      </c>
      <c r="E1431" s="6" t="n">
        <f>SUM(C1431,D1431)/2</f>
        <v>32467</v>
      </c>
      <c r="F1431" s="12" t="n">
        <v>3527</v>
      </c>
      <c r="G1431" s="12" t="n">
        <v>5174</v>
      </c>
      <c r="H1431" s="6" t="n">
        <f>SUM(F1431,G1431)/2</f>
        <v>4350.5</v>
      </c>
    </row>
    <row r="1432" s="18" customFormat="1" ht="14.399999999999999" customHeight="1">
      <c r="A1432" s="10" t="s">
        <v>2318</v>
      </c>
      <c r="B1432" s="10" t="s">
        <v>2319</v>
      </c>
      <c r="C1432" s="10" t="n">
        <v>144</v>
      </c>
      <c r="D1432" s="10" t="n">
        <v>228</v>
      </c>
      <c r="E1432" s="6" t="n">
        <f>SUM(C1432,D1432)/2</f>
        <v>186</v>
      </c>
      <c r="F1432" s="18" t="n">
        <v>64</v>
      </c>
      <c r="G1432" s="18" t="n">
        <v>87</v>
      </c>
      <c r="H1432" s="6" t="n">
        <f>SUM(F1432,G1432)/2</f>
        <v>75.5</v>
      </c>
    </row>
    <row r="1433" s="18" customFormat="1" ht="14.399999999999999" customHeight="1">
      <c r="A1433" s="10" t="s">
        <v>1244</v>
      </c>
      <c r="B1433" s="10" t="s">
        <v>1245</v>
      </c>
      <c r="C1433" s="13" t="n">
        <v>216171</v>
      </c>
      <c r="D1433" s="13" t="n">
        <v>345311</v>
      </c>
      <c r="E1433" s="6" t="n">
        <f>SUM(C1433,D1433)/2</f>
        <v>280741</v>
      </c>
      <c r="F1433" s="12" t="n">
        <v>20235</v>
      </c>
      <c r="G1433" s="12" t="n">
        <v>30489</v>
      </c>
      <c r="H1433" s="6" t="n">
        <f>SUM(F1433,G1433)/2</f>
        <v>25362</v>
      </c>
    </row>
    <row r="1434" s="18" customFormat="1" ht="14.399999999999999" customHeight="1">
      <c r="A1434" s="10" t="s">
        <v>3497</v>
      </c>
      <c r="B1434" s="10" t="s">
        <v>3498</v>
      </c>
      <c r="C1434" s="13" t="n">
        <v>121335</v>
      </c>
      <c r="D1434" s="13" t="n">
        <v>193821</v>
      </c>
      <c r="E1434" s="6" t="n">
        <f>SUM(C1434,D1434)/2</f>
        <v>157578</v>
      </c>
      <c r="F1434" s="12" t="n">
        <v>4911</v>
      </c>
      <c r="G1434" s="12" t="n">
        <v>13269</v>
      </c>
      <c r="H1434" s="6" t="n">
        <f>SUM(F1434,G1434)/2</f>
        <v>9090</v>
      </c>
    </row>
    <row r="1435" s="18" customFormat="1" ht="14.399999999999999" customHeight="1">
      <c r="A1435" s="10" t="s">
        <v>1142</v>
      </c>
      <c r="B1435" s="10" t="s">
        <v>1143</v>
      </c>
      <c r="C1435" s="13" t="n">
        <v>203059</v>
      </c>
      <c r="D1435" s="13" t="n">
        <v>324367</v>
      </c>
      <c r="E1435" s="6" t="n">
        <f>SUM(C1435,D1435)/2</f>
        <v>263713</v>
      </c>
      <c r="F1435" s="12" t="n">
        <v>86845</v>
      </c>
      <c r="G1435" s="12" t="n">
        <v>125657</v>
      </c>
      <c r="H1435" s="6" t="n">
        <f>SUM(F1435,G1435)/2</f>
        <v>106251</v>
      </c>
    </row>
    <row r="1436" s="18" customFormat="1" ht="14.399999999999999" customHeight="1">
      <c r="A1436" s="10" t="s">
        <v>6125</v>
      </c>
      <c r="B1436" s="10" t="s">
        <v>6126</v>
      </c>
      <c r="C1436" s="13" t="n">
        <v>10752</v>
      </c>
      <c r="D1436" s="13" t="n">
        <v>17178</v>
      </c>
      <c r="E1436" s="6" t="n">
        <f>SUM(C1436,D1436)/2</f>
        <v>13965</v>
      </c>
      <c r="F1436" s="18" t="n">
        <v>14578</v>
      </c>
      <c r="G1436" s="18" t="n">
        <v>21272</v>
      </c>
      <c r="H1436" s="6" t="n">
        <f>SUM(F1436,G1436)/2</f>
        <v>17925</v>
      </c>
    </row>
    <row r="1437" s="18" customFormat="1" ht="14.399999999999999" customHeight="1">
      <c r="A1437" s="10" t="s">
        <v>1413</v>
      </c>
      <c r="B1437" s="10" t="s">
        <v>1414</v>
      </c>
      <c r="C1437" s="10" t="n">
        <v>2</v>
      </c>
      <c r="D1437" s="10" t="n">
        <v>2</v>
      </c>
      <c r="E1437" s="6" t="n">
        <f>SUM(C1437,D1437)/2</f>
        <v>2</v>
      </c>
      <c r="F1437" s="18" t="n">
        <v>0</v>
      </c>
      <c r="G1437" s="18" t="n">
        <v>0</v>
      </c>
      <c r="H1437" s="6" t="n">
        <f>SUM(F1437,G1437)/2</f>
        <v>0</v>
      </c>
    </row>
    <row r="1438" s="18" customFormat="1" ht="14.399999999999999" customHeight="1">
      <c r="A1438" s="10" t="s">
        <v>350</v>
      </c>
      <c r="B1438" s="10" t="s">
        <v>351</v>
      </c>
      <c r="C1438" s="13" t="n">
        <v>2160</v>
      </c>
      <c r="D1438" s="13" t="n">
        <v>3450</v>
      </c>
      <c r="E1438" s="6" t="n">
        <f>SUM(C1438,D1438)/2</f>
        <v>2805</v>
      </c>
      <c r="F1438" s="18" t="n">
        <v>219</v>
      </c>
      <c r="G1438" s="18" t="n">
        <v>376</v>
      </c>
      <c r="H1438" s="6" t="n">
        <f>SUM(F1438,G1438)/2</f>
        <v>297.5</v>
      </c>
    </row>
    <row r="1439" s="18" customFormat="1" ht="14.399999999999999" customHeight="1">
      <c r="A1439" s="10" t="s">
        <v>1911</v>
      </c>
      <c r="B1439" s="10" t="s">
        <v>1912</v>
      </c>
      <c r="C1439" s="10" t="n">
        <v>8</v>
      </c>
      <c r="D1439" s="10" t="n">
        <v>12</v>
      </c>
      <c r="E1439" s="6" t="n">
        <f>SUM(C1439,D1439)/2</f>
        <v>10</v>
      </c>
      <c r="F1439" s="18" t="n">
        <v>11</v>
      </c>
      <c r="G1439" s="18" t="n">
        <v>17</v>
      </c>
      <c r="H1439" s="6" t="n">
        <f>SUM(F1439,G1439)/2</f>
        <v>14</v>
      </c>
    </row>
    <row r="1440" s="18" customFormat="1" ht="14.399999999999999" customHeight="1">
      <c r="A1440" s="10" t="s">
        <v>2925</v>
      </c>
      <c r="B1440" s="10" t="s">
        <v>2926</v>
      </c>
      <c r="C1440" s="10" t="n">
        <v>0</v>
      </c>
      <c r="D1440" s="10" t="n">
        <v>0</v>
      </c>
      <c r="E1440" s="6" t="n">
        <f>SUM(C1440,D1440)/2</f>
        <v>0</v>
      </c>
      <c r="F1440" s="18" t="n">
        <v>0</v>
      </c>
      <c r="G1440" s="18" t="n">
        <v>0</v>
      </c>
      <c r="H1440" s="6" t="n">
        <f>SUM(F1440,G1440)/2</f>
        <v>0</v>
      </c>
    </row>
    <row r="1441" s="18" customFormat="1" ht="14.399999999999999" customHeight="1">
      <c r="A1441" s="10" t="s">
        <v>2338</v>
      </c>
      <c r="B1441" s="10" t="s">
        <v>2339</v>
      </c>
      <c r="C1441" s="10" t="n">
        <v>12</v>
      </c>
      <c r="D1441" s="10" t="n">
        <v>18</v>
      </c>
      <c r="E1441" s="6" t="n">
        <f>SUM(C1441,D1441)/2</f>
        <v>15</v>
      </c>
      <c r="F1441" s="18" t="n">
        <v>2</v>
      </c>
      <c r="G1441" s="18" t="n">
        <v>2</v>
      </c>
      <c r="H1441" s="6" t="n">
        <f>SUM(F1441,G1441)/2</f>
        <v>2</v>
      </c>
    </row>
    <row r="1442" s="18" customFormat="1" ht="14.399999999999999" customHeight="1">
      <c r="A1442" s="10" t="s">
        <v>3399</v>
      </c>
      <c r="B1442" s="10" t="s">
        <v>3400</v>
      </c>
      <c r="C1442" s="13" t="n">
        <v>80620</v>
      </c>
      <c r="D1442" s="13" t="n">
        <v>128784</v>
      </c>
      <c r="E1442" s="6" t="n">
        <f>SUM(C1442,D1442)/2</f>
        <v>104702</v>
      </c>
      <c r="F1442" s="12" t="n">
        <v>18977</v>
      </c>
      <c r="G1442" s="12" t="n">
        <v>29845</v>
      </c>
      <c r="H1442" s="6" t="n">
        <f>SUM(F1442,G1442)/2</f>
        <v>24411</v>
      </c>
    </row>
    <row r="1443" s="18" customFormat="1" ht="14.399999999999999" customHeight="1">
      <c r="A1443" s="10" t="s">
        <v>3935</v>
      </c>
      <c r="B1443" s="10" t="s">
        <v>3936</v>
      </c>
      <c r="C1443" s="13" t="n">
        <v>24718</v>
      </c>
      <c r="D1443" s="13" t="n">
        <v>39488</v>
      </c>
      <c r="E1443" s="6" t="n">
        <f>SUM(C1443,D1443)/2</f>
        <v>32103</v>
      </c>
      <c r="F1443" s="12" t="n">
        <v>15010</v>
      </c>
      <c r="G1443" s="12" t="n">
        <v>23190</v>
      </c>
      <c r="H1443" s="6" t="n">
        <f>SUM(F1443,G1443)/2</f>
        <v>19100</v>
      </c>
    </row>
    <row r="1444" s="18" customFormat="1" ht="14.399999999999999" customHeight="1">
      <c r="A1444" s="10" t="s">
        <v>2286</v>
      </c>
      <c r="B1444" s="10" t="s">
        <v>2287</v>
      </c>
      <c r="C1444" s="10"/>
      <c r="D1444" s="10"/>
      <c r="E1444" s="6" t="n">
        <f>SUM(C1444,D1444)/2</f>
        <v>0</v>
      </c>
      <c r="F1444" s="12" t="n">
        <v>29807</v>
      </c>
      <c r="G1444" s="12" t="n">
        <v>46560</v>
      </c>
      <c r="H1444" s="6" t="n">
        <f>SUM(F1444,G1444)/2</f>
        <v>38183.5</v>
      </c>
    </row>
    <row r="1445" s="18" customFormat="1" ht="14.399999999999999" customHeight="1">
      <c r="A1445" s="10" t="s">
        <v>6127</v>
      </c>
      <c r="B1445" s="10" t="s">
        <v>6128</v>
      </c>
      <c r="C1445" s="10" t="n">
        <v>406</v>
      </c>
      <c r="D1445" s="10" t="n">
        <v>648</v>
      </c>
      <c r="E1445" s="6" t="n">
        <f>SUM(C1445,D1445)/2</f>
        <v>527</v>
      </c>
      <c r="F1445" s="18" t="n">
        <v>210</v>
      </c>
      <c r="G1445" s="18" t="n">
        <v>259</v>
      </c>
      <c r="H1445" s="6" t="n">
        <f>SUM(F1445,G1445)/2</f>
        <v>234.5</v>
      </c>
    </row>
    <row r="1446" s="18" customFormat="1" ht="14.399999999999999" customHeight="1">
      <c r="A1446" s="10" t="s">
        <v>4567</v>
      </c>
      <c r="B1446" s="10" t="s">
        <v>4568</v>
      </c>
      <c r="C1446" s="13" t="n">
        <v>25547</v>
      </c>
      <c r="D1446" s="13" t="n">
        <v>40807</v>
      </c>
      <c r="E1446" s="6" t="n">
        <f>SUM(C1446,D1446)/2</f>
        <v>33177</v>
      </c>
      <c r="F1446" s="12" t="n">
        <v>6186</v>
      </c>
      <c r="G1446" s="12" t="n">
        <v>8761</v>
      </c>
      <c r="H1446" s="6" t="n">
        <f>SUM(F1446,G1446)/2</f>
        <v>7473.5</v>
      </c>
    </row>
    <row r="1447" s="18" customFormat="1" ht="14.399999999999999" customHeight="1">
      <c r="A1447" s="10" t="s">
        <v>1511</v>
      </c>
      <c r="B1447" s="10" t="s">
        <v>1512</v>
      </c>
      <c r="C1447" s="13" t="n">
        <v>227209</v>
      </c>
      <c r="D1447" s="13" t="n">
        <v>362943</v>
      </c>
      <c r="E1447" s="6" t="n">
        <f>SUM(C1447,D1447)/2</f>
        <v>295076</v>
      </c>
      <c r="F1447" s="12" t="n">
        <v>66495</v>
      </c>
      <c r="G1447" s="12" t="n">
        <v>91818</v>
      </c>
      <c r="H1447" s="6" t="n">
        <f>SUM(F1447,G1447)/2</f>
        <v>79156.5</v>
      </c>
    </row>
    <row r="1448" s="18" customFormat="1" ht="14.399999999999999" customHeight="1">
      <c r="A1448" s="10" t="s">
        <v>2510</v>
      </c>
      <c r="B1448" s="10" t="s">
        <v>2511</v>
      </c>
      <c r="C1448" s="10" t="n">
        <v>4</v>
      </c>
      <c r="D1448" s="10" t="n">
        <v>6</v>
      </c>
      <c r="E1448" s="6" t="n">
        <f>SUM(C1448,D1448)/2</f>
        <v>5</v>
      </c>
      <c r="F1448" s="18" t="n">
        <v>2</v>
      </c>
      <c r="G1448" s="18" t="n">
        <v>2</v>
      </c>
      <c r="H1448" s="6" t="n">
        <f>SUM(F1448,G1448)/2</f>
        <v>2</v>
      </c>
    </row>
    <row r="1449" s="18" customFormat="1" ht="14.399999999999999" customHeight="1">
      <c r="A1449" s="10" t="s">
        <v>1397</v>
      </c>
      <c r="B1449" s="10" t="s">
        <v>1398</v>
      </c>
      <c r="C1449" s="10" t="n">
        <v>20</v>
      </c>
      <c r="D1449" s="10" t="n">
        <v>32</v>
      </c>
      <c r="E1449" s="6" t="n">
        <f>SUM(C1449,D1449)/2</f>
        <v>26</v>
      </c>
      <c r="F1449" s="18" t="n">
        <v>6</v>
      </c>
      <c r="G1449" s="18" t="n">
        <v>8</v>
      </c>
      <c r="H1449" s="6" t="n">
        <f>SUM(F1449,G1449)/2</f>
        <v>7</v>
      </c>
    </row>
    <row r="1450" s="18" customFormat="1" ht="14.399999999999999" customHeight="1">
      <c r="A1450" s="10" t="s">
        <v>4075</v>
      </c>
      <c r="B1450" s="10" t="s">
        <v>4076</v>
      </c>
      <c r="C1450" s="13" t="n">
        <v>9018</v>
      </c>
      <c r="D1450" s="13" t="n">
        <v>14406</v>
      </c>
      <c r="E1450" s="6" t="n">
        <f>SUM(C1450,D1450)/2</f>
        <v>11712</v>
      </c>
      <c r="F1450" s="12" t="n">
        <v>16523</v>
      </c>
      <c r="G1450" s="12" t="n">
        <v>24014</v>
      </c>
      <c r="H1450" s="6" t="n">
        <f>SUM(F1450,G1450)/2</f>
        <v>20268.5</v>
      </c>
    </row>
    <row r="1451" s="18" customFormat="1" ht="14.399999999999999" customHeight="1">
      <c r="A1451" s="10" t="s">
        <v>6129</v>
      </c>
      <c r="B1451" s="10" t="s">
        <v>6130</v>
      </c>
      <c r="C1451" s="10" t="n">
        <v>22</v>
      </c>
      <c r="D1451" s="10" t="n">
        <v>34</v>
      </c>
      <c r="E1451" s="6" t="n">
        <f>SUM(C1451,D1451)/2</f>
        <v>28</v>
      </c>
      <c r="F1451" s="18" t="n">
        <v>23</v>
      </c>
      <c r="G1451" s="18" t="n">
        <v>35</v>
      </c>
      <c r="H1451" s="6" t="n">
        <f>SUM(F1451,G1451)/2</f>
        <v>29</v>
      </c>
    </row>
    <row r="1452" s="18" customFormat="1" ht="14.399999999999999" customHeight="1">
      <c r="A1452" s="10" t="s">
        <v>4707</v>
      </c>
      <c r="B1452" s="10" t="s">
        <v>4708</v>
      </c>
      <c r="C1452" s="13" t="n">
        <v>23881</v>
      </c>
      <c r="D1452" s="13" t="n">
        <v>38149</v>
      </c>
      <c r="E1452" s="6" t="n">
        <f>SUM(C1452,D1452)/2</f>
        <v>31015</v>
      </c>
      <c r="F1452" s="12" t="n">
        <v>4813</v>
      </c>
      <c r="G1452" s="12" t="n">
        <v>7585</v>
      </c>
      <c r="H1452" s="6" t="n">
        <f>SUM(F1452,G1452)/2</f>
        <v>6199</v>
      </c>
    </row>
    <row r="1453" s="18" customFormat="1" ht="14.399999999999999" customHeight="1">
      <c r="A1453" s="10" t="s">
        <v>6131</v>
      </c>
      <c r="B1453" s="10" t="s">
        <v>6132</v>
      </c>
      <c r="C1453" s="10" t="n">
        <v>0</v>
      </c>
      <c r="D1453" s="10" t="n">
        <v>0</v>
      </c>
      <c r="E1453" s="6" t="n">
        <f>SUM(C1453,D1453)/2</f>
        <v>0</v>
      </c>
      <c r="F1453" s="18" t="n">
        <v>3</v>
      </c>
      <c r="G1453" s="18" t="n">
        <v>4</v>
      </c>
      <c r="H1453" s="6" t="n">
        <f>SUM(F1453,G1453)/2</f>
        <v>3.5</v>
      </c>
    </row>
    <row r="1454" s="18" customFormat="1" ht="14.399999999999999" customHeight="1">
      <c r="A1454" s="10" t="s">
        <v>2488</v>
      </c>
      <c r="B1454" s="10" t="s">
        <v>2489</v>
      </c>
      <c r="C1454" s="10" t="n">
        <v>1</v>
      </c>
      <c r="D1454" s="10" t="n">
        <v>1</v>
      </c>
      <c r="E1454" s="6" t="n">
        <f>SUM(C1454,D1454)/2</f>
        <v>1</v>
      </c>
      <c r="F1454" s="18" t="n">
        <v>3</v>
      </c>
      <c r="G1454" s="18" t="n">
        <v>3</v>
      </c>
      <c r="H1454" s="6" t="n">
        <f>SUM(F1454,G1454)/2</f>
        <v>3</v>
      </c>
    </row>
    <row r="1455" s="18" customFormat="1" ht="14.399999999999999" customHeight="1">
      <c r="A1455" s="10" t="s">
        <v>1514</v>
      </c>
      <c r="B1455" s="10" t="s">
        <v>1515</v>
      </c>
      <c r="C1455" s="13" t="n">
        <v>160347</v>
      </c>
      <c r="D1455" s="13" t="n">
        <v>256137</v>
      </c>
      <c r="E1455" s="6" t="n">
        <f>SUM(C1455,D1455)/2</f>
        <v>208242</v>
      </c>
      <c r="F1455" s="12" t="n">
        <v>72923</v>
      </c>
      <c r="G1455" s="12" t="n">
        <v>111096</v>
      </c>
      <c r="H1455" s="6" t="n">
        <f>SUM(F1455,G1455)/2</f>
        <v>92009.5</v>
      </c>
    </row>
    <row r="1456" s="18" customFormat="1" ht="14.399999999999999" customHeight="1">
      <c r="A1456" s="10" t="s">
        <v>2352</v>
      </c>
      <c r="B1456" s="10" t="s">
        <v>2353</v>
      </c>
      <c r="C1456" s="10" t="n">
        <v>19</v>
      </c>
      <c r="D1456" s="10" t="n">
        <v>29</v>
      </c>
      <c r="E1456" s="6" t="n">
        <f>SUM(C1456,D1456)/2</f>
        <v>24</v>
      </c>
      <c r="F1456" s="18" t="n">
        <v>0</v>
      </c>
      <c r="G1456" s="18" t="n">
        <v>0</v>
      </c>
      <c r="H1456" s="6" t="n">
        <f>SUM(F1456,G1456)/2</f>
        <v>0</v>
      </c>
    </row>
    <row r="1457" s="18" customFormat="1" ht="14.399999999999999" customHeight="1">
      <c r="A1457" s="10" t="s">
        <v>5436</v>
      </c>
      <c r="B1457" s="10" t="s">
        <v>5437</v>
      </c>
      <c r="C1457" s="13" t="n">
        <v>256063</v>
      </c>
      <c r="D1457" s="13" t="n">
        <v>409033</v>
      </c>
      <c r="E1457" s="6" t="n">
        <f>SUM(C1457,D1457)/2</f>
        <v>332548</v>
      </c>
      <c r="F1457" s="12" t="n">
        <v>30321</v>
      </c>
      <c r="G1457" s="12" t="n">
        <v>48546</v>
      </c>
      <c r="H1457" s="6" t="n">
        <f>SUM(F1457,G1457)/2</f>
        <v>39433.5</v>
      </c>
    </row>
    <row r="1458" s="18" customFormat="1" ht="14.399999999999999" customHeight="1">
      <c r="A1458" s="10" t="s">
        <v>6133</v>
      </c>
      <c r="B1458" s="10" t="s">
        <v>6134</v>
      </c>
      <c r="C1458" s="13" t="n">
        <v>7242</v>
      </c>
      <c r="D1458" s="13" t="n">
        <v>11570</v>
      </c>
      <c r="E1458" s="6" t="n">
        <f>SUM(C1458,D1458)/2</f>
        <v>9406</v>
      </c>
      <c r="F1458" s="12" t="n">
        <v>18530</v>
      </c>
      <c r="G1458" s="12" t="n">
        <v>28127</v>
      </c>
      <c r="H1458" s="6" t="n">
        <f>SUM(F1458,G1458)/2</f>
        <v>23328.5</v>
      </c>
    </row>
    <row r="1459" s="18" customFormat="1" ht="14.399999999999999" customHeight="1">
      <c r="A1459" s="10" t="s">
        <v>1220</v>
      </c>
      <c r="B1459" s="10" t="s">
        <v>1221</v>
      </c>
      <c r="C1459" s="13" t="n">
        <v>86427</v>
      </c>
      <c r="D1459" s="13" t="n">
        <v>138059</v>
      </c>
      <c r="E1459" s="6" t="n">
        <f>SUM(C1459,D1459)/2</f>
        <v>112243</v>
      </c>
      <c r="F1459" s="12" t="n">
        <v>58530</v>
      </c>
      <c r="G1459" s="12" t="n">
        <v>82144</v>
      </c>
      <c r="H1459" s="6" t="n">
        <f>SUM(F1459,G1459)/2</f>
        <v>70337</v>
      </c>
    </row>
    <row r="1460" s="18" customFormat="1" ht="14.399999999999999" customHeight="1">
      <c r="A1460" s="10" t="s">
        <v>1192</v>
      </c>
      <c r="B1460" s="10" t="s">
        <v>1193</v>
      </c>
      <c r="C1460" s="13" t="n">
        <v>234442</v>
      </c>
      <c r="D1460" s="13" t="n">
        <v>374498</v>
      </c>
      <c r="E1460" s="6" t="n">
        <f>SUM(C1460,D1460)/2</f>
        <v>304470</v>
      </c>
      <c r="F1460" s="12" t="n">
        <v>32666</v>
      </c>
      <c r="G1460" s="12" t="n">
        <v>51755</v>
      </c>
      <c r="H1460" s="6" t="n">
        <f>SUM(F1460,G1460)/2</f>
        <v>42210.5</v>
      </c>
    </row>
    <row r="1461" s="18" customFormat="1" ht="14.399999999999999" customHeight="1">
      <c r="A1461" s="10" t="s">
        <v>991</v>
      </c>
      <c r="B1461" s="10" t="s">
        <v>992</v>
      </c>
      <c r="C1461" s="13" t="n">
        <v>320915</v>
      </c>
      <c r="D1461" s="13" t="n">
        <v>512631</v>
      </c>
      <c r="E1461" s="6" t="n">
        <f>SUM(C1461,D1461)/2</f>
        <v>416773</v>
      </c>
      <c r="F1461" s="12" t="n">
        <v>135308</v>
      </c>
      <c r="G1461" s="12" t="n">
        <v>203912</v>
      </c>
      <c r="H1461" s="6" t="n">
        <f>SUM(F1461,G1461)/2</f>
        <v>169610</v>
      </c>
    </row>
    <row r="1462" s="18" customFormat="1" ht="14.399999999999999" customHeight="1">
      <c r="A1462" s="10" t="s">
        <v>6135</v>
      </c>
      <c r="B1462" s="10" t="s">
        <v>6136</v>
      </c>
      <c r="C1462" s="13" t="n">
        <v>13763</v>
      </c>
      <c r="D1462" s="13" t="n">
        <v>21983</v>
      </c>
      <c r="E1462" s="6" t="n">
        <f>SUM(C1462,D1462)/2</f>
        <v>17873</v>
      </c>
      <c r="F1462" s="12" t="n">
        <v>7423</v>
      </c>
      <c r="G1462" s="12" t="n">
        <v>10540</v>
      </c>
      <c r="H1462" s="6" t="n">
        <f>SUM(F1462,G1462)/2</f>
        <v>8981.5</v>
      </c>
    </row>
    <row r="1463" s="18" customFormat="1" ht="14.399999999999999" customHeight="1">
      <c r="A1463" s="10" t="s">
        <v>6137</v>
      </c>
      <c r="B1463" s="10" t="s">
        <v>6138</v>
      </c>
      <c r="C1463" s="10" t="n">
        <v>0</v>
      </c>
      <c r="D1463" s="10" t="n">
        <v>0</v>
      </c>
      <c r="E1463" s="6" t="n">
        <f>SUM(C1463,D1463)/2</f>
        <v>0</v>
      </c>
      <c r="F1463" s="18" t="n">
        <v>0</v>
      </c>
      <c r="G1463" s="18" t="n">
        <v>0</v>
      </c>
      <c r="H1463" s="6" t="n">
        <f>SUM(F1463,G1463)/2</f>
        <v>0</v>
      </c>
    </row>
    <row r="1464" s="18" customFormat="1" ht="14.399999999999999" customHeight="1">
      <c r="A1464" s="10" t="s">
        <v>2582</v>
      </c>
      <c r="B1464" s="10" t="s">
        <v>2583</v>
      </c>
      <c r="C1464" s="10" t="n">
        <v>0</v>
      </c>
      <c r="D1464" s="10" t="n">
        <v>0</v>
      </c>
      <c r="E1464" s="6" t="n">
        <f>SUM(C1464,D1464)/2</f>
        <v>0</v>
      </c>
      <c r="F1464" s="18" t="n">
        <v>2</v>
      </c>
      <c r="G1464" s="18" t="n">
        <v>2</v>
      </c>
      <c r="H1464" s="6" t="n">
        <f>SUM(F1464,G1464)/2</f>
        <v>2</v>
      </c>
    </row>
    <row r="1465" s="18" customFormat="1" ht="14.399999999999999" customHeight="1">
      <c r="A1465" s="10" t="s">
        <v>2098</v>
      </c>
      <c r="B1465" s="10" t="s">
        <v>2099</v>
      </c>
      <c r="C1465" s="10" t="n">
        <v>4</v>
      </c>
      <c r="D1465" s="10" t="n">
        <v>8</v>
      </c>
      <c r="E1465" s="6" t="n">
        <f>SUM(C1465,D1465)/2</f>
        <v>6</v>
      </c>
      <c r="F1465" s="18" t="n">
        <v>7</v>
      </c>
      <c r="G1465" s="18" t="n">
        <v>9</v>
      </c>
      <c r="H1465" s="6" t="n">
        <f>SUM(F1465,G1465)/2</f>
        <v>8</v>
      </c>
    </row>
    <row r="1466" s="18" customFormat="1" ht="14.399999999999999" customHeight="1">
      <c r="A1466" s="10" t="s">
        <v>230</v>
      </c>
      <c r="B1466" s="10" t="s">
        <v>231</v>
      </c>
      <c r="C1466" s="13" t="n">
        <v>12381</v>
      </c>
      <c r="D1466" s="13" t="n">
        <v>19777</v>
      </c>
      <c r="E1466" s="6" t="n">
        <f>SUM(C1466,D1466)/2</f>
        <v>16079</v>
      </c>
      <c r="F1466" s="18" t="n">
        <v>2067</v>
      </c>
      <c r="G1466" s="18" t="n">
        <v>3202</v>
      </c>
      <c r="H1466" s="6" t="n">
        <f>SUM(F1466,G1466)/2</f>
        <v>2634.5</v>
      </c>
    </row>
    <row r="1467" s="18" customFormat="1" ht="14.399999999999999" customHeight="1">
      <c r="A1467" s="10" t="s">
        <v>544</v>
      </c>
      <c r="B1467" s="10" t="s">
        <v>545</v>
      </c>
      <c r="C1467" s="10" t="n">
        <v>365</v>
      </c>
      <c r="D1467" s="10" t="n">
        <v>581</v>
      </c>
      <c r="E1467" s="6" t="n">
        <f>SUM(C1467,D1467)/2</f>
        <v>473</v>
      </c>
      <c r="F1467" s="18" t="n">
        <v>91</v>
      </c>
      <c r="G1467" s="18" t="n">
        <v>137</v>
      </c>
      <c r="H1467" s="6" t="n">
        <f>SUM(F1467,G1467)/2</f>
        <v>114</v>
      </c>
    </row>
    <row r="1468" s="18" customFormat="1" ht="14.399999999999999" customHeight="1">
      <c r="A1468" s="10" t="s">
        <v>1375</v>
      </c>
      <c r="B1468" s="10" t="s">
        <v>1376</v>
      </c>
      <c r="C1468" s="10" t="n">
        <v>83</v>
      </c>
      <c r="D1468" s="10" t="n">
        <v>133</v>
      </c>
      <c r="E1468" s="6" t="n">
        <f>SUM(C1468,D1468)/2</f>
        <v>108</v>
      </c>
      <c r="F1468" s="18" t="n">
        <v>62</v>
      </c>
      <c r="G1468" s="18" t="n">
        <v>92</v>
      </c>
      <c r="H1468" s="6" t="n">
        <f>SUM(F1468,G1468)/2</f>
        <v>77</v>
      </c>
    </row>
    <row r="1469" s="18" customFormat="1" ht="14.399999999999999" customHeight="1">
      <c r="A1469" s="10" t="s">
        <v>899</v>
      </c>
      <c r="B1469" s="10" t="s">
        <v>900</v>
      </c>
      <c r="C1469" s="13" t="n">
        <v>763347</v>
      </c>
      <c r="D1469" s="13" t="n">
        <v>1219373</v>
      </c>
      <c r="E1469" s="6" t="n">
        <f>SUM(C1469,D1469)/2</f>
        <v>991360</v>
      </c>
      <c r="F1469" s="12" t="n">
        <v>147793</v>
      </c>
      <c r="G1469" s="12" t="n">
        <v>197698</v>
      </c>
      <c r="H1469" s="6" t="n">
        <f>SUM(F1469,G1469)/2</f>
        <v>172745.5</v>
      </c>
    </row>
    <row r="1470" s="18" customFormat="1" ht="14.399999999999999" customHeight="1">
      <c r="A1470" s="10" t="s">
        <v>3891</v>
      </c>
      <c r="B1470" s="10" t="s">
        <v>3892</v>
      </c>
      <c r="C1470" s="13" t="n">
        <v>45173</v>
      </c>
      <c r="D1470" s="13" t="n">
        <v>72163</v>
      </c>
      <c r="E1470" s="6" t="n">
        <f>SUM(C1470,D1470)/2</f>
        <v>58668</v>
      </c>
      <c r="F1470" s="12" t="n">
        <v>11392</v>
      </c>
      <c r="G1470" s="12" t="n">
        <v>18120</v>
      </c>
      <c r="H1470" s="6" t="n">
        <f>SUM(F1470,G1470)/2</f>
        <v>14756</v>
      </c>
    </row>
    <row r="1471" s="18" customFormat="1" ht="14.399999999999999" customHeight="1">
      <c r="A1471" s="10" t="s">
        <v>3397</v>
      </c>
      <c r="B1471" s="10" t="s">
        <v>3398</v>
      </c>
      <c r="C1471" s="13" t="n">
        <v>126441</v>
      </c>
      <c r="D1471" s="13" t="n">
        <v>201977</v>
      </c>
      <c r="E1471" s="6" t="n">
        <f>SUM(C1471,D1471)/2</f>
        <v>164209</v>
      </c>
      <c r="F1471" s="12" t="n">
        <v>8783</v>
      </c>
      <c r="G1471" s="12" t="n">
        <v>14819</v>
      </c>
      <c r="H1471" s="6" t="n">
        <f>SUM(F1471,G1471)/2</f>
        <v>11801</v>
      </c>
    </row>
    <row r="1472" s="18" customFormat="1" ht="14.399999999999999" customHeight="1">
      <c r="A1472" s="10" t="s">
        <v>5390</v>
      </c>
      <c r="B1472" s="10" t="s">
        <v>5391</v>
      </c>
      <c r="C1472" s="10" t="n">
        <v>263</v>
      </c>
      <c r="D1472" s="10" t="n">
        <v>421</v>
      </c>
      <c r="E1472" s="6" t="n">
        <f>SUM(C1472,D1472)/2</f>
        <v>342</v>
      </c>
      <c r="F1472" s="18" t="n">
        <v>267</v>
      </c>
      <c r="G1472" s="18" t="n">
        <v>379</v>
      </c>
      <c r="H1472" s="6" t="n">
        <f>SUM(F1472,G1472)/2</f>
        <v>323</v>
      </c>
    </row>
    <row r="1473" s="18" customFormat="1" ht="14.399999999999999" customHeight="1">
      <c r="A1473" s="10" t="s">
        <v>4527</v>
      </c>
      <c r="B1473" s="10" t="s">
        <v>4528</v>
      </c>
      <c r="C1473" s="13" t="n">
        <v>24651</v>
      </c>
      <c r="D1473" s="13" t="n">
        <v>39377</v>
      </c>
      <c r="E1473" s="6" t="n">
        <f>SUM(C1473,D1473)/2</f>
        <v>32014</v>
      </c>
      <c r="F1473" s="12" t="n">
        <v>6509</v>
      </c>
      <c r="G1473" s="12" t="n">
        <v>9960</v>
      </c>
      <c r="H1473" s="6" t="n">
        <f>SUM(F1473,G1473)/2</f>
        <v>8234.5</v>
      </c>
    </row>
    <row r="1474" s="18" customFormat="1" ht="14.399999999999999" customHeight="1">
      <c r="A1474" s="10" t="s">
        <v>6139</v>
      </c>
      <c r="B1474" s="10" t="s">
        <v>6140</v>
      </c>
      <c r="C1474" s="13" t="n">
        <v>15587</v>
      </c>
      <c r="D1474" s="13" t="n">
        <v>24897</v>
      </c>
      <c r="E1474" s="6" t="n">
        <f>SUM(C1474,D1474)/2</f>
        <v>20242</v>
      </c>
      <c r="F1474" s="12" t="n">
        <v>4878</v>
      </c>
      <c r="G1474" s="12" t="n">
        <v>7378</v>
      </c>
      <c r="H1474" s="6" t="n">
        <f>SUM(F1474,G1474)/2</f>
        <v>6128</v>
      </c>
    </row>
    <row r="1475" s="18" customFormat="1" ht="14.399999999999999" customHeight="1">
      <c r="A1475" s="10" t="s">
        <v>5111</v>
      </c>
      <c r="B1475" s="10" t="s">
        <v>5112</v>
      </c>
      <c r="C1475" s="10" t="n">
        <v>0</v>
      </c>
      <c r="D1475" s="10" t="n">
        <v>0</v>
      </c>
      <c r="E1475" s="6" t="n">
        <f>SUM(C1475,D1475)/2</f>
        <v>0</v>
      </c>
      <c r="F1475" s="12" t="n">
        <v>3004</v>
      </c>
      <c r="G1475" s="12" t="n">
        <v>4893</v>
      </c>
      <c r="H1475" s="6" t="n">
        <f>SUM(F1475,G1475)/2</f>
        <v>3948.5</v>
      </c>
    </row>
    <row r="1476" s="18" customFormat="1" ht="14.399999999999999" customHeight="1">
      <c r="A1476" s="10" t="s">
        <v>5344</v>
      </c>
      <c r="B1476" s="10" t="s">
        <v>5345</v>
      </c>
      <c r="C1476" s="10" t="n">
        <v>678</v>
      </c>
      <c r="D1476" s="13" t="n">
        <v>1086</v>
      </c>
      <c r="E1476" s="6" t="n">
        <f>SUM(C1476,D1476)/2</f>
        <v>882</v>
      </c>
      <c r="F1476" s="18" t="n">
        <v>235</v>
      </c>
      <c r="G1476" s="18" t="n">
        <v>331</v>
      </c>
      <c r="H1476" s="6" t="n">
        <f>SUM(F1476,G1476)/2</f>
        <v>283</v>
      </c>
    </row>
    <row r="1477" s="18" customFormat="1" ht="14.399999999999999" customHeight="1">
      <c r="A1477" s="10" t="s">
        <v>6141</v>
      </c>
      <c r="B1477" s="10" t="s">
        <v>6142</v>
      </c>
      <c r="C1477" s="10" t="n">
        <v>25</v>
      </c>
      <c r="D1477" s="10" t="n">
        <v>41</v>
      </c>
      <c r="E1477" s="6" t="n">
        <f>SUM(C1477,D1477)/2</f>
        <v>33</v>
      </c>
      <c r="F1477" s="18" t="n">
        <v>63</v>
      </c>
      <c r="G1477" s="18" t="n">
        <v>100</v>
      </c>
      <c r="H1477" s="6" t="n">
        <f>SUM(F1477,G1477)/2</f>
        <v>81.5</v>
      </c>
    </row>
    <row r="1478" s="18" customFormat="1" ht="14.399999999999999" customHeight="1">
      <c r="A1478" s="10" t="s">
        <v>6143</v>
      </c>
      <c r="B1478" s="10" t="s">
        <v>6144</v>
      </c>
      <c r="C1478" s="10" t="n">
        <v>356</v>
      </c>
      <c r="D1478" s="10" t="n">
        <v>568</v>
      </c>
      <c r="E1478" s="6" t="n">
        <f>SUM(C1478,D1478)/2</f>
        <v>462</v>
      </c>
      <c r="F1478" s="18" t="n">
        <v>2</v>
      </c>
      <c r="G1478" s="18" t="n">
        <v>2</v>
      </c>
      <c r="H1478" s="6" t="n">
        <f>SUM(F1478,G1478)/2</f>
        <v>2</v>
      </c>
    </row>
    <row r="1479" s="18" customFormat="1" ht="14.399999999999999" customHeight="1">
      <c r="A1479" s="10" t="s">
        <v>3907</v>
      </c>
      <c r="B1479" s="10" t="s">
        <v>3908</v>
      </c>
      <c r="C1479" s="13" t="n">
        <v>52081</v>
      </c>
      <c r="D1479" s="13" t="n">
        <v>83195</v>
      </c>
      <c r="E1479" s="6" t="n">
        <f>SUM(C1479,D1479)/2</f>
        <v>67638</v>
      </c>
      <c r="F1479" s="12" t="n">
        <v>10043</v>
      </c>
      <c r="G1479" s="12" t="n">
        <v>14758</v>
      </c>
      <c r="H1479" s="6" t="n">
        <f>SUM(F1479,G1479)/2</f>
        <v>12400.5</v>
      </c>
    </row>
    <row r="1480" s="18" customFormat="1" ht="14.399999999999999" customHeight="1">
      <c r="A1480" s="10" t="s">
        <v>6145</v>
      </c>
      <c r="B1480" s="10" t="s">
        <v>6146</v>
      </c>
      <c r="C1480" s="10" t="n">
        <v>119</v>
      </c>
      <c r="D1480" s="10" t="n">
        <v>191</v>
      </c>
      <c r="E1480" s="6" t="n">
        <f>SUM(C1480,D1480)/2</f>
        <v>155</v>
      </c>
      <c r="F1480" s="18" t="n">
        <v>45</v>
      </c>
      <c r="G1480" s="18" t="n">
        <v>74</v>
      </c>
      <c r="H1480" s="6" t="n">
        <f>SUM(F1480,G1480)/2</f>
        <v>59.5</v>
      </c>
    </row>
    <row r="1481" s="18" customFormat="1" ht="14.399999999999999" customHeight="1">
      <c r="A1481" s="10" t="s">
        <v>722</v>
      </c>
      <c r="B1481" s="10" t="s">
        <v>723</v>
      </c>
      <c r="C1481" s="13" t="n">
        <v>1201799</v>
      </c>
      <c r="D1481" s="13" t="n">
        <v>1919757</v>
      </c>
      <c r="E1481" s="6" t="n">
        <f>SUM(C1481,D1481)/2</f>
        <v>1560778</v>
      </c>
      <c r="F1481" s="12" t="n">
        <v>724027</v>
      </c>
      <c r="G1481" s="12" t="n">
        <v>920797</v>
      </c>
      <c r="H1481" s="6" t="n">
        <f>SUM(F1481,G1481)/2</f>
        <v>822412</v>
      </c>
    </row>
    <row r="1482" s="18" customFormat="1" ht="14.399999999999999" customHeight="1">
      <c r="A1482" s="10" t="s">
        <v>5085</v>
      </c>
      <c r="B1482" s="10" t="s">
        <v>5086</v>
      </c>
      <c r="C1482" s="13" t="n">
        <v>9793</v>
      </c>
      <c r="D1482" s="13" t="n">
        <v>15645</v>
      </c>
      <c r="E1482" s="6" t="n">
        <f>SUM(C1482,D1482)/2</f>
        <v>12719</v>
      </c>
      <c r="F1482" s="12" t="n">
        <v>5044</v>
      </c>
      <c r="G1482" s="12" t="n">
        <v>6696</v>
      </c>
      <c r="H1482" s="6" t="n">
        <f>SUM(F1482,G1482)/2</f>
        <v>5870</v>
      </c>
    </row>
    <row r="1483" s="18" customFormat="1" ht="14.399999999999999" customHeight="1">
      <c r="A1483" s="10" t="s">
        <v>720</v>
      </c>
      <c r="B1483" s="10" t="s">
        <v>721</v>
      </c>
      <c r="C1483" s="13" t="n">
        <v>670467</v>
      </c>
      <c r="D1483" s="13" t="n">
        <v>1071003</v>
      </c>
      <c r="E1483" s="6" t="n">
        <f>SUM(C1483,D1483)/2</f>
        <v>870735</v>
      </c>
      <c r="F1483" s="12" t="n">
        <v>875304</v>
      </c>
      <c r="G1483" s="12" t="n">
        <v>1064357</v>
      </c>
      <c r="H1483" s="6" t="n">
        <f>SUM(F1483,G1483)/2</f>
        <v>969830.5</v>
      </c>
    </row>
    <row r="1484" s="18" customFormat="1" ht="14.399999999999999" customHeight="1">
      <c r="A1484" s="10" t="s">
        <v>3157</v>
      </c>
      <c r="B1484" s="10" t="s">
        <v>3158</v>
      </c>
      <c r="C1484" s="13" t="n">
        <v>107650</v>
      </c>
      <c r="D1484" s="13" t="n">
        <v>171960</v>
      </c>
      <c r="E1484" s="6" t="n">
        <f>SUM(C1484,D1484)/2</f>
        <v>139805</v>
      </c>
      <c r="F1484" s="12" t="n">
        <v>29798</v>
      </c>
      <c r="G1484" s="12" t="n">
        <v>42633</v>
      </c>
      <c r="H1484" s="6" t="n">
        <f>SUM(F1484,G1484)/2</f>
        <v>36215.5</v>
      </c>
    </row>
    <row r="1485" s="18" customFormat="1" ht="14.399999999999999" customHeight="1">
      <c r="A1485" s="10" t="s">
        <v>3749</v>
      </c>
      <c r="B1485" s="10" t="s">
        <v>3750</v>
      </c>
      <c r="C1485" s="13" t="n">
        <v>9682</v>
      </c>
      <c r="D1485" s="13" t="n">
        <v>15468</v>
      </c>
      <c r="E1485" s="6" t="n">
        <f>SUM(C1485,D1485)/2</f>
        <v>12575</v>
      </c>
      <c r="F1485" s="12" t="n">
        <v>25479</v>
      </c>
      <c r="G1485" s="12" t="n">
        <v>33544</v>
      </c>
      <c r="H1485" s="6" t="n">
        <f>SUM(F1485,G1485)/2</f>
        <v>29511.5</v>
      </c>
    </row>
    <row r="1486" s="18" customFormat="1" ht="14.399999999999999" customHeight="1">
      <c r="A1486" s="10" t="s">
        <v>6147</v>
      </c>
      <c r="B1486" s="10" t="s">
        <v>6148</v>
      </c>
      <c r="C1486" s="13" t="n">
        <v>26142</v>
      </c>
      <c r="D1486" s="13" t="n">
        <v>41757</v>
      </c>
      <c r="E1486" s="6" t="n">
        <f>SUM(C1486,D1486)/2</f>
        <v>33949.5</v>
      </c>
      <c r="F1486" s="12" t="n">
        <v>5764</v>
      </c>
      <c r="G1486" s="12" t="n">
        <v>8422</v>
      </c>
      <c r="H1486" s="6" t="n">
        <f>SUM(F1486,G1486)/2</f>
        <v>7093</v>
      </c>
    </row>
    <row r="1487" s="18" customFormat="1" ht="14.399999999999999" customHeight="1">
      <c r="A1487" s="10" t="s">
        <v>3849</v>
      </c>
      <c r="B1487" s="10" t="s">
        <v>3850</v>
      </c>
      <c r="C1487" s="13" t="n">
        <v>52337</v>
      </c>
      <c r="D1487" s="13" t="n">
        <v>83603</v>
      </c>
      <c r="E1487" s="6" t="n">
        <f>SUM(C1487,D1487)/2</f>
        <v>67970</v>
      </c>
      <c r="F1487" s="12" t="n">
        <v>12659</v>
      </c>
      <c r="G1487" s="12" t="n">
        <v>15263</v>
      </c>
      <c r="H1487" s="6" t="n">
        <f>SUM(F1487,G1487)/2</f>
        <v>13961</v>
      </c>
    </row>
    <row r="1488" s="18" customFormat="1" ht="14.399999999999999" customHeight="1">
      <c r="A1488" s="10" t="s">
        <v>1461</v>
      </c>
      <c r="B1488" s="10" t="s">
        <v>1462</v>
      </c>
      <c r="C1488" s="10" t="n">
        <v>84</v>
      </c>
      <c r="D1488" s="10" t="n">
        <v>134</v>
      </c>
      <c r="E1488" s="6" t="n">
        <f>SUM(C1488,D1488)/2</f>
        <v>109</v>
      </c>
      <c r="F1488" s="18" t="n">
        <v>7</v>
      </c>
      <c r="G1488" s="18" t="n">
        <v>9</v>
      </c>
      <c r="H1488" s="6" t="n">
        <f>SUM(F1488,G1488)/2</f>
        <v>8</v>
      </c>
    </row>
    <row r="1489" s="18" customFormat="1" ht="14.399999999999999" customHeight="1">
      <c r="A1489" s="10" t="s">
        <v>2118</v>
      </c>
      <c r="B1489" s="10" t="s">
        <v>2119</v>
      </c>
      <c r="C1489" s="10" t="n">
        <v>1</v>
      </c>
      <c r="D1489" s="10" t="n">
        <v>1</v>
      </c>
      <c r="E1489" s="6" t="n">
        <f>SUM(C1489,D1489)/2</f>
        <v>1</v>
      </c>
      <c r="F1489" s="18" t="n">
        <v>7</v>
      </c>
      <c r="G1489" s="18" t="n">
        <v>10</v>
      </c>
      <c r="H1489" s="6" t="n">
        <f>SUM(F1489,G1489)/2</f>
        <v>8.5</v>
      </c>
    </row>
    <row r="1490" s="18" customFormat="1" ht="14.399999999999999" customHeight="1">
      <c r="A1490" s="10" t="s">
        <v>3921</v>
      </c>
      <c r="B1490" s="10" t="s">
        <v>3922</v>
      </c>
      <c r="C1490" s="13" t="n">
        <v>56616</v>
      </c>
      <c r="D1490" s="13" t="n">
        <v>90436</v>
      </c>
      <c r="E1490" s="6" t="n">
        <f>SUM(C1490,D1490)/2</f>
        <v>73526</v>
      </c>
      <c r="F1490" s="12" t="n">
        <v>8589</v>
      </c>
      <c r="G1490" s="12" t="n">
        <v>12594</v>
      </c>
      <c r="H1490" s="6" t="n">
        <f>SUM(F1490,G1490)/2</f>
        <v>10591.5</v>
      </c>
    </row>
    <row r="1491" s="18" customFormat="1" ht="14.399999999999999" customHeight="1">
      <c r="A1491" s="10" t="s">
        <v>4069</v>
      </c>
      <c r="B1491" s="10" t="s">
        <v>4070</v>
      </c>
      <c r="C1491" s="13" t="n">
        <v>32284</v>
      </c>
      <c r="D1491" s="13" t="n">
        <v>51572</v>
      </c>
      <c r="E1491" s="6" t="n">
        <f>SUM(C1491,D1491)/2</f>
        <v>41928</v>
      </c>
      <c r="F1491" s="12" t="n">
        <v>11990</v>
      </c>
      <c r="G1491" s="12" t="n">
        <v>15880</v>
      </c>
      <c r="H1491" s="6" t="n">
        <f>SUM(F1491,G1491)/2</f>
        <v>13935</v>
      </c>
    </row>
    <row r="1492" s="18" customFormat="1" ht="14.399999999999999" customHeight="1">
      <c r="A1492" s="10" t="s">
        <v>2312</v>
      </c>
      <c r="B1492" s="10" t="s">
        <v>2313</v>
      </c>
      <c r="C1492" s="10" t="n">
        <v>8</v>
      </c>
      <c r="D1492" s="10" t="n">
        <v>12</v>
      </c>
      <c r="E1492" s="6" t="n">
        <f>SUM(C1492,D1492)/2</f>
        <v>10</v>
      </c>
      <c r="F1492" s="18" t="n">
        <v>3</v>
      </c>
      <c r="G1492" s="18" t="n">
        <v>4</v>
      </c>
      <c r="H1492" s="6" t="n">
        <f>SUM(F1492,G1492)/2</f>
        <v>3.5</v>
      </c>
    </row>
    <row r="1493" s="18" customFormat="1" ht="14.399999999999999" customHeight="1">
      <c r="A1493" s="10" t="s">
        <v>2648</v>
      </c>
      <c r="B1493" s="10" t="s">
        <v>2649</v>
      </c>
      <c r="C1493" s="10" t="n">
        <v>1</v>
      </c>
      <c r="D1493" s="10" t="n">
        <v>1</v>
      </c>
      <c r="E1493" s="6" t="n">
        <f>SUM(C1493,D1493)/2</f>
        <v>1</v>
      </c>
      <c r="F1493" s="18" t="n">
        <v>1</v>
      </c>
      <c r="G1493" s="18" t="n">
        <v>1</v>
      </c>
      <c r="H1493" s="6" t="n">
        <f>SUM(F1493,G1493)/2</f>
        <v>1</v>
      </c>
    </row>
    <row r="1494" s="18" customFormat="1" ht="14.399999999999999" customHeight="1">
      <c r="A1494" s="10" t="s">
        <v>4921</v>
      </c>
      <c r="B1494" s="10" t="s">
        <v>4922</v>
      </c>
      <c r="C1494" s="13" t="n">
        <v>5878</v>
      </c>
      <c r="D1494" s="13" t="n">
        <v>9390</v>
      </c>
      <c r="E1494" s="6" t="n">
        <f>SUM(C1494,D1494)/2</f>
        <v>7634</v>
      </c>
      <c r="F1494" s="12" t="n">
        <v>8332</v>
      </c>
      <c r="G1494" s="12" t="n">
        <v>9578</v>
      </c>
      <c r="H1494" s="6" t="n">
        <f>SUM(F1494,G1494)/2</f>
        <v>8955</v>
      </c>
    </row>
    <row r="1495" s="18" customFormat="1" ht="14.399999999999999" customHeight="1">
      <c r="A1495" s="10" t="s">
        <v>6149</v>
      </c>
      <c r="B1495" s="10" t="s">
        <v>6150</v>
      </c>
      <c r="C1495" s="13" t="n">
        <v>337318</v>
      </c>
      <c r="D1495" s="13" t="n">
        <v>538832</v>
      </c>
      <c r="E1495" s="6" t="n">
        <f>SUM(C1495,D1495)/2</f>
        <v>438075</v>
      </c>
      <c r="F1495" s="12" t="n">
        <v>62643</v>
      </c>
      <c r="G1495" s="12" t="n">
        <v>173551</v>
      </c>
      <c r="H1495" s="6" t="n">
        <f>SUM(F1495,G1495)/2</f>
        <v>118097</v>
      </c>
    </row>
    <row r="1496" s="18" customFormat="1" ht="14.399999999999999" customHeight="1">
      <c r="A1496" s="10" t="s">
        <v>6151</v>
      </c>
      <c r="B1496" s="10" t="s">
        <v>6152</v>
      </c>
      <c r="C1496" s="13" t="n">
        <v>505777</v>
      </c>
      <c r="D1496" s="13" t="n">
        <v>807929</v>
      </c>
      <c r="E1496" s="6" t="n">
        <f>SUM(C1496,D1496)/2</f>
        <v>656853</v>
      </c>
      <c r="F1496" s="12" t="n">
        <v>191648</v>
      </c>
      <c r="G1496" s="12" t="n">
        <v>288349</v>
      </c>
      <c r="H1496" s="6" t="n">
        <f>SUM(F1496,G1496)/2</f>
        <v>239998.5</v>
      </c>
    </row>
    <row r="1497" s="18" customFormat="1" ht="14.399999999999999" customHeight="1">
      <c r="A1497" s="10" t="s">
        <v>6153</v>
      </c>
      <c r="B1497" s="10" t="s">
        <v>6154</v>
      </c>
      <c r="C1497" s="13" t="n">
        <v>4328018</v>
      </c>
      <c r="D1497" s="13" t="n">
        <v>6913587</v>
      </c>
      <c r="E1497" s="6" t="n">
        <f>SUM(C1497,D1497)/2</f>
        <v>5620802.5</v>
      </c>
      <c r="F1497" s="13" t="n">
        <v>3049251</v>
      </c>
      <c r="G1497" s="12" t="n">
        <v>5995699</v>
      </c>
      <c r="H1497" s="6" t="n">
        <f>SUM(F1497,G1497)/2</f>
        <v>4522475</v>
      </c>
    </row>
    <row r="1498" s="18" customFormat="1" ht="14.399999999999999" customHeight="1">
      <c r="A1498" s="10" t="s">
        <v>6155</v>
      </c>
      <c r="B1498" s="10" t="s">
        <v>6156</v>
      </c>
      <c r="C1498" s="13" t="n">
        <v>3100118</v>
      </c>
      <c r="D1498" s="13" t="n">
        <v>4952132</v>
      </c>
      <c r="E1498" s="6" t="n">
        <f>SUM(C1498,D1498)/2</f>
        <v>4026125</v>
      </c>
      <c r="F1498" s="12" t="n">
        <v>1014484</v>
      </c>
      <c r="G1498" s="12" t="n">
        <v>1478136</v>
      </c>
      <c r="H1498" s="6" t="n">
        <f>SUM(F1498,G1498)/2</f>
        <v>1246310</v>
      </c>
    </row>
    <row r="1499" s="18" customFormat="1" ht="14.399999999999999" customHeight="1">
      <c r="A1499" s="10" t="s">
        <v>6157</v>
      </c>
      <c r="B1499" s="10" t="s">
        <v>6158</v>
      </c>
      <c r="C1499" s="13" t="n">
        <v>664371</v>
      </c>
      <c r="D1499" s="13" t="n">
        <v>1061267</v>
      </c>
      <c r="E1499" s="6" t="n">
        <f>SUM(C1499,D1499)/2</f>
        <v>862819</v>
      </c>
      <c r="F1499" s="12" t="n">
        <v>119172</v>
      </c>
      <c r="G1499" s="12" t="n">
        <v>178277</v>
      </c>
      <c r="H1499" s="6" t="n">
        <f>SUM(F1499,G1499)/2</f>
        <v>148724.5</v>
      </c>
    </row>
    <row r="1500" s="18" customFormat="1" ht="14.399999999999999" customHeight="1">
      <c r="A1500" s="10" t="s">
        <v>6159</v>
      </c>
      <c r="B1500" s="10" t="s">
        <v>6160</v>
      </c>
      <c r="C1500" s="13" t="n">
        <v>97252</v>
      </c>
      <c r="D1500" s="13" t="n">
        <v>155352</v>
      </c>
      <c r="E1500" s="6" t="n">
        <f>SUM(C1500,D1500)/2</f>
        <v>126302</v>
      </c>
      <c r="F1500" s="12" t="n">
        <v>29895</v>
      </c>
      <c r="G1500" s="12" t="n">
        <v>40308</v>
      </c>
      <c r="H1500" s="6" t="n">
        <f>SUM(F1500,G1500)/2</f>
        <v>35101.5</v>
      </c>
    </row>
    <row r="1501" s="18" customFormat="1" ht="14.399999999999999" customHeight="1">
      <c r="A1501" s="10" t="s">
        <v>6161</v>
      </c>
      <c r="B1501" s="10" t="s">
        <v>6162</v>
      </c>
      <c r="C1501" s="13" t="n">
        <v>30791</v>
      </c>
      <c r="D1501" s="13" t="n">
        <v>49185</v>
      </c>
      <c r="E1501" s="6" t="n">
        <f>SUM(C1501,D1501)/2</f>
        <v>39988</v>
      </c>
      <c r="F1501" s="12" t="n">
        <v>10354</v>
      </c>
      <c r="G1501" s="12" t="n">
        <v>15982</v>
      </c>
      <c r="H1501" s="6" t="n">
        <f>SUM(F1501,G1501)/2</f>
        <v>13168</v>
      </c>
    </row>
    <row r="1502" s="18" customFormat="1" ht="14.399999999999999" customHeight="1">
      <c r="A1502" s="10" t="s">
        <v>6163</v>
      </c>
      <c r="B1502" s="10" t="s">
        <v>6164</v>
      </c>
      <c r="C1502" s="13" t="n">
        <v>29202</v>
      </c>
      <c r="D1502" s="13" t="n">
        <v>46650</v>
      </c>
      <c r="E1502" s="6" t="n">
        <f>SUM(C1502,D1502)/2</f>
        <v>37926</v>
      </c>
      <c r="F1502" s="12" t="n">
        <v>12725</v>
      </c>
      <c r="G1502" s="12" t="n">
        <v>21101</v>
      </c>
      <c r="H1502" s="6" t="n">
        <f>SUM(F1502,G1502)/2</f>
        <v>16913</v>
      </c>
    </row>
    <row r="1503" s="18" customFormat="1" ht="14.399999999999999" customHeight="1">
      <c r="A1503" s="10" t="s">
        <v>6165</v>
      </c>
      <c r="B1503" s="10" t="s">
        <v>6166</v>
      </c>
      <c r="C1503" s="13" t="n">
        <v>4142</v>
      </c>
      <c r="D1503" s="13" t="n">
        <v>6616</v>
      </c>
      <c r="E1503" s="6" t="n">
        <f>SUM(C1503,D1503)/2</f>
        <v>5379</v>
      </c>
      <c r="F1503" s="12" t="n">
        <v>4319</v>
      </c>
      <c r="G1503" s="12" t="n">
        <v>6127</v>
      </c>
      <c r="H1503" s="6" t="n">
        <f>SUM(F1503,G1503)/2</f>
        <v>5223</v>
      </c>
    </row>
    <row r="1504" s="18" customFormat="1" ht="14.399999999999999" customHeight="1">
      <c r="A1504" s="10" t="s">
        <v>6167</v>
      </c>
      <c r="B1504" s="10" t="s">
        <v>6168</v>
      </c>
      <c r="C1504" s="13" t="n">
        <v>80101</v>
      </c>
      <c r="D1504" s="13" t="n">
        <v>127955</v>
      </c>
      <c r="E1504" s="6" t="n">
        <f>SUM(C1504,D1504)/2</f>
        <v>104028</v>
      </c>
      <c r="F1504" s="12" t="n">
        <v>15327</v>
      </c>
      <c r="G1504" s="12" t="n">
        <v>20993</v>
      </c>
      <c r="H1504" s="6" t="n">
        <f>SUM(F1504,G1504)/2</f>
        <v>18160</v>
      </c>
    </row>
    <row r="1505" s="18" customFormat="1" ht="14.399999999999999" customHeight="1">
      <c r="A1505" s="10" t="s">
        <v>6169</v>
      </c>
      <c r="B1505" s="10" t="s">
        <v>6170</v>
      </c>
      <c r="C1505" s="13" t="n">
        <v>76663</v>
      </c>
      <c r="D1505" s="13" t="n">
        <v>122461</v>
      </c>
      <c r="E1505" s="6" t="n">
        <f>SUM(C1505,D1505)/2</f>
        <v>99562</v>
      </c>
      <c r="F1505" s="12" t="n">
        <v>49990</v>
      </c>
      <c r="G1505" s="12" t="n">
        <v>74621</v>
      </c>
      <c r="H1505" s="6" t="n">
        <f>SUM(F1505,G1505)/2</f>
        <v>62305.5</v>
      </c>
    </row>
    <row r="1506" s="18" customFormat="1" ht="14.399999999999999" customHeight="1">
      <c r="A1506" s="10" t="s">
        <v>6171</v>
      </c>
      <c r="B1506" s="10" t="s">
        <v>6172</v>
      </c>
      <c r="C1506" s="13" t="n">
        <v>220667</v>
      </c>
      <c r="D1506" s="13" t="n">
        <v>352493</v>
      </c>
      <c r="E1506" s="6" t="n">
        <f>SUM(C1506,D1506)/2</f>
        <v>286580</v>
      </c>
      <c r="F1506" s="12" t="n">
        <v>7779</v>
      </c>
      <c r="G1506" s="12" t="n">
        <v>13575</v>
      </c>
      <c r="H1506" s="6" t="n">
        <f>SUM(F1506,G1506)/2</f>
        <v>10677</v>
      </c>
    </row>
    <row r="1507" s="18" customFormat="1" ht="14.399999999999999" customHeight="1">
      <c r="A1507" s="10" t="s">
        <v>6173</v>
      </c>
      <c r="B1507" s="10" t="s">
        <v>6174</v>
      </c>
      <c r="C1507" s="13" t="n">
        <v>296321</v>
      </c>
      <c r="D1507" s="13" t="n">
        <v>473345</v>
      </c>
      <c r="E1507" s="6" t="n">
        <f>SUM(C1507,D1507)/2</f>
        <v>384833</v>
      </c>
      <c r="F1507" s="12" t="n">
        <v>26306</v>
      </c>
      <c r="G1507" s="12" t="n">
        <v>51901</v>
      </c>
      <c r="H1507" s="6" t="n">
        <f>SUM(F1507,G1507)/2</f>
        <v>39103.5</v>
      </c>
    </row>
    <row r="1508" s="18" customFormat="1" ht="14.399999999999999" customHeight="1">
      <c r="A1508" s="10" t="s">
        <v>6175</v>
      </c>
      <c r="B1508" s="10" t="s">
        <v>6176</v>
      </c>
      <c r="C1508" s="13" t="n">
        <v>161965</v>
      </c>
      <c r="D1508" s="13" t="n">
        <v>258723</v>
      </c>
      <c r="E1508" s="6" t="n">
        <f>SUM(C1508,D1508)/2</f>
        <v>210344</v>
      </c>
      <c r="F1508" s="12" t="n">
        <v>53024</v>
      </c>
      <c r="G1508" s="12" t="n">
        <v>91238</v>
      </c>
      <c r="H1508" s="6" t="n">
        <f>SUM(F1508,G1508)/2</f>
        <v>72131</v>
      </c>
    </row>
    <row r="1509" s="18" customFormat="1" ht="14.399999999999999" customHeight="1">
      <c r="A1509" s="10" t="s">
        <v>6177</v>
      </c>
      <c r="B1509" s="10" t="s">
        <v>6178</v>
      </c>
      <c r="C1509" s="13" t="n">
        <v>23688</v>
      </c>
      <c r="D1509" s="13" t="n">
        <v>37838</v>
      </c>
      <c r="E1509" s="6" t="n">
        <f>SUM(C1509,D1509)/2</f>
        <v>30763</v>
      </c>
      <c r="F1509" s="12" t="n">
        <v>5628</v>
      </c>
      <c r="G1509" s="12" t="n">
        <v>9007</v>
      </c>
      <c r="H1509" s="6" t="n">
        <f>SUM(F1509,G1509)/2</f>
        <v>7317.5</v>
      </c>
    </row>
    <row r="1510" s="18" customFormat="1" ht="14.399999999999999" customHeight="1">
      <c r="A1510" s="10" t="s">
        <v>6179</v>
      </c>
      <c r="B1510" s="10" t="s">
        <v>6180</v>
      </c>
      <c r="C1510" s="13" t="n">
        <v>44500</v>
      </c>
      <c r="D1510" s="13" t="n">
        <v>71084</v>
      </c>
      <c r="E1510" s="6" t="n">
        <f>SUM(C1510,D1510)/2</f>
        <v>57792</v>
      </c>
      <c r="F1510" s="12" t="n">
        <v>48099</v>
      </c>
      <c r="G1510" s="12" t="n">
        <v>71588</v>
      </c>
      <c r="H1510" s="6" t="n">
        <f>SUM(F1510,G1510)/2</f>
        <v>59843.5</v>
      </c>
    </row>
    <row r="1511" s="18" customFormat="1" ht="14.399999999999999" customHeight="1">
      <c r="A1511" s="10" t="s">
        <v>6181</v>
      </c>
      <c r="B1511" s="10" t="s">
        <v>6182</v>
      </c>
      <c r="C1511" s="13" t="n">
        <v>1422145</v>
      </c>
      <c r="D1511" s="13" t="n">
        <v>2271739</v>
      </c>
      <c r="E1511" s="6" t="n">
        <f>SUM(C1511,D1511)/2</f>
        <v>1846942</v>
      </c>
      <c r="F1511" s="12" t="n">
        <v>72913</v>
      </c>
      <c r="G1511" s="12" t="n">
        <v>114041</v>
      </c>
      <c r="H1511" s="6" t="n">
        <f>SUM(F1511,G1511)/2</f>
        <v>93477</v>
      </c>
    </row>
    <row r="1512" s="18" customFormat="1" ht="14.399999999999999" customHeight="1">
      <c r="A1512" s="10" t="s">
        <v>6183</v>
      </c>
      <c r="B1512" s="10" t="s">
        <v>6184</v>
      </c>
      <c r="C1512" s="13" t="n">
        <v>19950</v>
      </c>
      <c r="D1512" s="13" t="n">
        <v>31870</v>
      </c>
      <c r="E1512" s="6" t="n">
        <f>SUM(C1512,D1512)/2</f>
        <v>25910</v>
      </c>
      <c r="F1512" s="12" t="n">
        <v>6759</v>
      </c>
      <c r="G1512" s="12" t="n">
        <v>9221</v>
      </c>
      <c r="H1512" s="6" t="n">
        <f>SUM(F1512,G1512)/2</f>
        <v>7990</v>
      </c>
    </row>
    <row r="1513" s="18" customFormat="1" ht="14.399999999999999" customHeight="1">
      <c r="A1513" s="10" t="s">
        <v>6185</v>
      </c>
      <c r="B1513" s="10" t="s">
        <v>6186</v>
      </c>
      <c r="C1513" s="13" t="n">
        <v>120591</v>
      </c>
      <c r="D1513" s="13" t="n">
        <v>192633</v>
      </c>
      <c r="E1513" s="6" t="n">
        <f>SUM(C1513,D1513)/2</f>
        <v>156612</v>
      </c>
      <c r="F1513" s="12" t="n">
        <v>48661</v>
      </c>
      <c r="G1513" s="12" t="n">
        <v>71495</v>
      </c>
      <c r="H1513" s="6" t="n">
        <f>SUM(F1513,G1513)/2</f>
        <v>60078</v>
      </c>
    </row>
    <row r="1514" s="18" customFormat="1" ht="14.399999999999999" customHeight="1">
      <c r="A1514" s="10" t="s">
        <v>6187</v>
      </c>
      <c r="B1514" s="10" t="s">
        <v>6188</v>
      </c>
      <c r="C1514" s="13" t="n">
        <v>120457</v>
      </c>
      <c r="D1514" s="13" t="n">
        <v>192419</v>
      </c>
      <c r="E1514" s="6" t="n">
        <f>SUM(C1514,D1514)/2</f>
        <v>156438</v>
      </c>
      <c r="F1514" s="12" t="n">
        <v>13548</v>
      </c>
      <c r="G1514" s="12" t="n">
        <v>19412</v>
      </c>
      <c r="H1514" s="6" t="n">
        <f>SUM(F1514,G1514)/2</f>
        <v>16480</v>
      </c>
    </row>
    <row r="1515" s="18" customFormat="1" ht="14.399999999999999" customHeight="1">
      <c r="A1515" s="10" t="s">
        <v>6189</v>
      </c>
      <c r="B1515" s="10" t="s">
        <v>6190</v>
      </c>
      <c r="C1515" s="13" t="n">
        <v>307761</v>
      </c>
      <c r="D1515" s="13" t="n">
        <v>491619</v>
      </c>
      <c r="E1515" s="6" t="n">
        <f>SUM(C1515,D1515)/2</f>
        <v>399690</v>
      </c>
      <c r="F1515" s="12" t="n">
        <v>18190</v>
      </c>
      <c r="G1515" s="12" t="n">
        <v>29607</v>
      </c>
      <c r="H1515" s="6" t="n">
        <f>SUM(F1515,G1515)/2</f>
        <v>23898.5</v>
      </c>
    </row>
    <row r="1516" s="18" customFormat="1" ht="14.399999999999999" customHeight="1">
      <c r="A1516" s="10" t="s">
        <v>6191</v>
      </c>
      <c r="B1516" s="10" t="s">
        <v>6192</v>
      </c>
      <c r="C1516" s="13" t="n">
        <v>21913</v>
      </c>
      <c r="D1516" s="13" t="n">
        <v>35003</v>
      </c>
      <c r="E1516" s="6" t="n">
        <f>SUM(C1516,D1516)/2</f>
        <v>28458</v>
      </c>
      <c r="F1516" s="12" t="n">
        <v>6034</v>
      </c>
      <c r="G1516" s="12" t="n">
        <v>8497</v>
      </c>
      <c r="H1516" s="6" t="n">
        <f>SUM(F1516,G1516)/2</f>
        <v>7265.5</v>
      </c>
    </row>
    <row r="1517" s="18" customFormat="1" ht="14.399999999999999" customHeight="1">
      <c r="A1517" s="10" t="s">
        <v>6193</v>
      </c>
      <c r="B1517" s="10" t="s">
        <v>6194</v>
      </c>
      <c r="C1517" s="13" t="n">
        <v>14495</v>
      </c>
      <c r="D1517" s="13" t="n">
        <v>23155</v>
      </c>
      <c r="E1517" s="6" t="n">
        <f>SUM(C1517,D1517)/2</f>
        <v>18825</v>
      </c>
      <c r="F1517" s="12" t="n">
        <v>43766</v>
      </c>
      <c r="G1517" s="12" t="n">
        <v>50092</v>
      </c>
      <c r="H1517" s="6" t="n">
        <f>SUM(F1517,G1517)/2</f>
        <v>46929</v>
      </c>
    </row>
    <row r="1518" s="18" customFormat="1" ht="14.399999999999999" customHeight="1">
      <c r="A1518" s="10" t="s">
        <v>6195</v>
      </c>
      <c r="B1518" s="10" t="s">
        <v>6196</v>
      </c>
      <c r="C1518" s="13" t="n">
        <v>271551</v>
      </c>
      <c r="D1518" s="13" t="n">
        <v>433777</v>
      </c>
      <c r="E1518" s="6" t="n">
        <f>SUM(C1518,D1518)/2</f>
        <v>352664</v>
      </c>
      <c r="F1518" s="12" t="n">
        <v>309416</v>
      </c>
      <c r="G1518" s="12" t="n">
        <v>425490</v>
      </c>
      <c r="H1518" s="6" t="n">
        <f>SUM(F1518,G1518)/2</f>
        <v>367453</v>
      </c>
    </row>
    <row r="1519" s="18" customFormat="1" ht="14.399999999999999" customHeight="1">
      <c r="A1519" s="10" t="s">
        <v>6197</v>
      </c>
      <c r="B1519" s="10" t="s">
        <v>6198</v>
      </c>
      <c r="C1519" s="13" t="n">
        <v>10821</v>
      </c>
      <c r="D1519" s="13" t="n">
        <v>17287</v>
      </c>
      <c r="E1519" s="6" t="n">
        <f>SUM(C1519,D1519)/2</f>
        <v>14054</v>
      </c>
      <c r="F1519" s="12" t="n">
        <v>8838</v>
      </c>
      <c r="G1519" s="12" t="n">
        <v>12301</v>
      </c>
      <c r="H1519" s="6" t="n">
        <f>SUM(F1519,G1519)/2</f>
        <v>10569.5</v>
      </c>
    </row>
    <row r="1520" s="18" customFormat="1" ht="14.399999999999999" customHeight="1">
      <c r="A1520" s="10" t="s">
        <v>6199</v>
      </c>
      <c r="B1520" s="10" t="s">
        <v>6200</v>
      </c>
      <c r="C1520" s="13" t="n">
        <v>3924218</v>
      </c>
      <c r="D1520" s="13" t="n">
        <v>6268556</v>
      </c>
      <c r="E1520" s="6" t="n">
        <f>SUM(C1520,D1520)/2</f>
        <v>5096387</v>
      </c>
      <c r="F1520" s="12" t="n">
        <v>836848</v>
      </c>
      <c r="G1520" s="12" t="n">
        <v>1281072</v>
      </c>
      <c r="H1520" s="6" t="n">
        <f>SUM(F1520,G1520)/2</f>
        <v>1058960</v>
      </c>
    </row>
    <row r="1521" s="18" customFormat="1" ht="14.399999999999999" customHeight="1">
      <c r="A1521" s="10" t="s">
        <v>6201</v>
      </c>
      <c r="B1521" s="10" t="s">
        <v>6202</v>
      </c>
      <c r="C1521" s="13" t="n">
        <v>164978</v>
      </c>
      <c r="D1521" s="13" t="n">
        <v>263534</v>
      </c>
      <c r="E1521" s="6" t="n">
        <f>SUM(C1521,D1521)/2</f>
        <v>214256</v>
      </c>
      <c r="F1521" s="12" t="n">
        <v>38853</v>
      </c>
      <c r="G1521" s="12" t="n">
        <v>60901</v>
      </c>
      <c r="H1521" s="6" t="n">
        <f>SUM(F1521,G1521)/2</f>
        <v>49877</v>
      </c>
    </row>
    <row r="1522" s="18" customFormat="1" ht="14.399999999999999" customHeight="1">
      <c r="A1522" s="10" t="s">
        <v>6203</v>
      </c>
      <c r="B1522" s="10" t="s">
        <v>6204</v>
      </c>
      <c r="C1522" s="13" t="n">
        <v>1076682</v>
      </c>
      <c r="D1522" s="13" t="n">
        <v>1719892</v>
      </c>
      <c r="E1522" s="6" t="n">
        <f>SUM(C1522,D1522)/2</f>
        <v>1398287</v>
      </c>
      <c r="F1522" s="12" t="n">
        <v>162860</v>
      </c>
      <c r="G1522" s="12" t="n">
        <v>224366</v>
      </c>
      <c r="H1522" s="6" t="n">
        <f>SUM(F1522,G1522)/2</f>
        <v>193613</v>
      </c>
    </row>
    <row r="1523" s="18" customFormat="1" ht="14.399999999999999" customHeight="1">
      <c r="A1523" s="10" t="s">
        <v>6205</v>
      </c>
      <c r="B1523" s="10" t="s">
        <v>6206</v>
      </c>
      <c r="C1523" s="13" t="n">
        <v>322538</v>
      </c>
      <c r="D1523" s="13" t="n">
        <v>515224</v>
      </c>
      <c r="E1523" s="6" t="n">
        <f>SUM(C1523,D1523)/2</f>
        <v>418881</v>
      </c>
      <c r="F1523" s="12" t="n">
        <v>229715</v>
      </c>
      <c r="G1523" s="12" t="n">
        <v>318686</v>
      </c>
      <c r="H1523" s="6" t="n">
        <f>SUM(F1523,G1523)/2</f>
        <v>274200.5</v>
      </c>
    </row>
    <row r="1524" s="18" customFormat="1" ht="14.399999999999999" customHeight="1">
      <c r="A1524" s="10" t="s">
        <v>6207</v>
      </c>
      <c r="B1524" s="10" t="s">
        <v>6208</v>
      </c>
      <c r="C1524" s="13" t="n">
        <v>931649</v>
      </c>
      <c r="D1524" s="13" t="n">
        <v>1488221</v>
      </c>
      <c r="E1524" s="6" t="n">
        <f>SUM(C1524,D1524)/2</f>
        <v>1209935</v>
      </c>
      <c r="F1524" s="12" t="n">
        <v>36568</v>
      </c>
      <c r="G1524" s="12" t="n">
        <v>71119</v>
      </c>
      <c r="H1524" s="6" t="n">
        <f>SUM(F1524,G1524)/2</f>
        <v>53843.5</v>
      </c>
    </row>
    <row r="1525" s="18" customFormat="1" ht="14.399999999999999" customHeight="1">
      <c r="A1525" s="10" t="s">
        <v>6209</v>
      </c>
      <c r="B1525" s="10" t="s">
        <v>6210</v>
      </c>
      <c r="C1525" s="13" t="n">
        <v>65988</v>
      </c>
      <c r="D1525" s="13" t="n">
        <v>105412</v>
      </c>
      <c r="E1525" s="6" t="n">
        <f>SUM(C1525,D1525)/2</f>
        <v>85700</v>
      </c>
      <c r="F1525" s="12" t="n">
        <v>21587</v>
      </c>
      <c r="G1525" s="12" t="n">
        <v>29008</v>
      </c>
      <c r="H1525" s="6" t="n">
        <f>SUM(F1525,G1525)/2</f>
        <v>25297.5</v>
      </c>
    </row>
    <row r="1526" s="18" customFormat="1" ht="14.399999999999999" customHeight="1">
      <c r="A1526" s="10" t="s">
        <v>6211</v>
      </c>
      <c r="B1526" s="10" t="s">
        <v>6212</v>
      </c>
      <c r="C1526" s="13" t="n">
        <v>5761</v>
      </c>
      <c r="D1526" s="13" t="n">
        <v>9203</v>
      </c>
      <c r="E1526" s="6" t="n">
        <f>SUM(C1526,D1526)/2</f>
        <v>7482</v>
      </c>
      <c r="F1526" s="12" t="n">
        <v>27560</v>
      </c>
      <c r="G1526" s="12" t="n">
        <v>38563</v>
      </c>
      <c r="H1526" s="6" t="n">
        <f>SUM(F1526,G1526)/2</f>
        <v>33061.5</v>
      </c>
    </row>
    <row r="1527" s="18" customFormat="1" ht="14.399999999999999" customHeight="1">
      <c r="A1527" s="10" t="s">
        <v>6213</v>
      </c>
      <c r="B1527" s="10" t="s">
        <v>6214</v>
      </c>
      <c r="C1527" s="13" t="n">
        <v>2540737</v>
      </c>
      <c r="D1527" s="13" t="n">
        <v>4058577</v>
      </c>
      <c r="E1527" s="6" t="n">
        <f>SUM(C1527,D1527)/2</f>
        <v>3299657</v>
      </c>
      <c r="F1527" s="12" t="n">
        <v>102660</v>
      </c>
      <c r="G1527" s="12" t="n">
        <v>182785</v>
      </c>
      <c r="H1527" s="6" t="n">
        <f>SUM(F1527,G1527)/2</f>
        <v>142722.5</v>
      </c>
    </row>
    <row r="1528" s="18" customFormat="1" ht="14.399999999999999" customHeight="1">
      <c r="A1528" s="10" t="s">
        <v>6215</v>
      </c>
      <c r="B1528" s="10" t="s">
        <v>6216</v>
      </c>
      <c r="C1528" s="13" t="n">
        <v>3079</v>
      </c>
      <c r="D1528" s="13" t="n">
        <v>4919</v>
      </c>
      <c r="E1528" s="6" t="n">
        <f>SUM(C1528,D1528)/2</f>
        <v>3999</v>
      </c>
      <c r="F1528" s="12" t="n">
        <v>6038</v>
      </c>
      <c r="G1528" s="12" t="n">
        <v>7903</v>
      </c>
      <c r="H1528" s="6" t="n">
        <f>SUM(F1528,G1528)/2</f>
        <v>6970.5</v>
      </c>
    </row>
    <row r="1529" s="18" customFormat="1" ht="14.399999999999999" customHeight="1">
      <c r="A1529" s="10" t="s">
        <v>6217</v>
      </c>
      <c r="B1529" s="10" t="s">
        <v>6218</v>
      </c>
      <c r="C1529" s="13" t="n">
        <v>60454</v>
      </c>
      <c r="D1529" s="13" t="n">
        <v>96570</v>
      </c>
      <c r="E1529" s="6" t="n">
        <f>SUM(C1529,D1529)/2</f>
        <v>78512</v>
      </c>
      <c r="F1529" s="12" t="n">
        <v>10044</v>
      </c>
      <c r="G1529" s="12" t="n">
        <v>14642</v>
      </c>
      <c r="H1529" s="6" t="n">
        <f>SUM(F1529,G1529)/2</f>
        <v>12343</v>
      </c>
    </row>
    <row r="1530" s="18" customFormat="1" ht="14.399999999999999" customHeight="1">
      <c r="A1530" s="10" t="s">
        <v>6219</v>
      </c>
      <c r="B1530" s="10" t="s">
        <v>6220</v>
      </c>
      <c r="C1530" s="13" t="n">
        <v>63606</v>
      </c>
      <c r="D1530" s="13" t="n">
        <v>101602</v>
      </c>
      <c r="E1530" s="6" t="n">
        <f>SUM(C1530,D1530)/2</f>
        <v>82604</v>
      </c>
      <c r="F1530" s="12" t="n">
        <v>9578</v>
      </c>
      <c r="G1530" s="12" t="n">
        <v>15966</v>
      </c>
      <c r="H1530" s="6" t="n">
        <f>SUM(F1530,G1530)/2</f>
        <v>12772</v>
      </c>
    </row>
    <row r="1531" s="18" customFormat="1" ht="14.399999999999999" customHeight="1">
      <c r="A1531" s="10" t="s">
        <v>6221</v>
      </c>
      <c r="B1531" s="10" t="s">
        <v>6222</v>
      </c>
      <c r="C1531" s="13" t="n">
        <v>42294</v>
      </c>
      <c r="D1531" s="13" t="n">
        <v>67562</v>
      </c>
      <c r="E1531" s="6" t="n">
        <f>SUM(C1531,D1531)/2</f>
        <v>54928</v>
      </c>
      <c r="F1531" s="12" t="n">
        <v>11129</v>
      </c>
      <c r="G1531" s="12" t="n">
        <v>16150</v>
      </c>
      <c r="H1531" s="6" t="n">
        <f>SUM(F1531,G1531)/2</f>
        <v>13639.5</v>
      </c>
    </row>
    <row r="1532" s="18" customFormat="1" ht="14.399999999999999" customHeight="1">
      <c r="A1532" s="10" t="s">
        <v>6223</v>
      </c>
      <c r="B1532" s="10" t="s">
        <v>6224</v>
      </c>
      <c r="C1532" s="13" t="n">
        <v>39814</v>
      </c>
      <c r="D1532" s="13" t="n">
        <v>63598</v>
      </c>
      <c r="E1532" s="6" t="n">
        <f>SUM(C1532,D1532)/2</f>
        <v>51706</v>
      </c>
      <c r="F1532" s="12" t="n">
        <v>13644</v>
      </c>
      <c r="G1532" s="12" t="n">
        <v>17519</v>
      </c>
      <c r="H1532" s="6" t="n">
        <f>SUM(F1532,G1532)/2</f>
        <v>15581.5</v>
      </c>
    </row>
    <row r="1533" s="18" customFormat="1" ht="14.399999999999999" customHeight="1">
      <c r="A1533" s="10" t="s">
        <v>6225</v>
      </c>
      <c r="B1533" s="10" t="s">
        <v>6226</v>
      </c>
      <c r="C1533" s="13" t="n">
        <v>287990</v>
      </c>
      <c r="D1533" s="13" t="n">
        <v>460035</v>
      </c>
      <c r="E1533" s="6" t="n">
        <f>SUM(C1533,D1533)/2</f>
        <v>374012.5</v>
      </c>
      <c r="F1533" s="12" t="n">
        <v>12134</v>
      </c>
      <c r="G1533" s="12" t="n">
        <v>19373</v>
      </c>
      <c r="H1533" s="6" t="n">
        <f>SUM(F1533,G1533)/2</f>
        <v>15753.5</v>
      </c>
    </row>
    <row r="1534" s="18" customFormat="1" ht="14.399999999999999" customHeight="1">
      <c r="A1534" s="10" t="s">
        <v>6227</v>
      </c>
      <c r="B1534" s="10" t="s">
        <v>6228</v>
      </c>
      <c r="C1534" s="13" t="n">
        <v>1080479</v>
      </c>
      <c r="D1534" s="13" t="n">
        <v>1725961</v>
      </c>
      <c r="E1534" s="6" t="n">
        <f>SUM(C1534,D1534)/2</f>
        <v>1403220</v>
      </c>
      <c r="F1534" s="12" t="n">
        <v>228194</v>
      </c>
      <c r="G1534" s="12" t="n">
        <v>360122</v>
      </c>
      <c r="H1534" s="6" t="n">
        <f>SUM(F1534,G1534)/2</f>
        <v>294158</v>
      </c>
    </row>
    <row r="1535" s="18" customFormat="1" ht="14.399999999999999" customHeight="1">
      <c r="A1535" s="10" t="s">
        <v>6229</v>
      </c>
      <c r="B1535" s="10" t="s">
        <v>6230</v>
      </c>
      <c r="C1535" s="13" t="n">
        <v>33163</v>
      </c>
      <c r="D1535" s="13" t="n">
        <v>52975</v>
      </c>
      <c r="E1535" s="6" t="n">
        <f>SUM(C1535,D1535)/2</f>
        <v>43069</v>
      </c>
      <c r="F1535" s="12" t="n">
        <v>19559</v>
      </c>
      <c r="G1535" s="12" t="n">
        <v>26274</v>
      </c>
      <c r="H1535" s="6" t="n">
        <f>SUM(F1535,G1535)/2</f>
        <v>22916.5</v>
      </c>
    </row>
    <row r="1536" s="18" customFormat="1" ht="14.399999999999999" customHeight="1">
      <c r="A1536" s="10" t="s">
        <v>6231</v>
      </c>
      <c r="B1536" s="10" t="s">
        <v>6232</v>
      </c>
      <c r="C1536" s="13" t="n">
        <v>744624</v>
      </c>
      <c r="D1536" s="13" t="n">
        <v>1189466</v>
      </c>
      <c r="E1536" s="6" t="n">
        <f>SUM(C1536,D1536)/2</f>
        <v>967045</v>
      </c>
      <c r="F1536" s="12" t="n">
        <v>40115</v>
      </c>
      <c r="G1536" s="12" t="n">
        <v>67781</v>
      </c>
      <c r="H1536" s="6" t="n">
        <f>SUM(F1536,G1536)/2</f>
        <v>53948</v>
      </c>
    </row>
    <row r="1537" s="18" customFormat="1" ht="14.399999999999999" customHeight="1">
      <c r="A1537" s="10" t="s">
        <v>6233</v>
      </c>
      <c r="B1537" s="10" t="s">
        <v>6234</v>
      </c>
      <c r="C1537" s="13" t="n">
        <v>322762</v>
      </c>
      <c r="D1537" s="13" t="n">
        <v>515582</v>
      </c>
      <c r="E1537" s="6" t="n">
        <f>SUM(C1537,D1537)/2</f>
        <v>419172</v>
      </c>
      <c r="F1537" s="12" t="n">
        <v>201384</v>
      </c>
      <c r="G1537" s="12" t="n">
        <v>259072</v>
      </c>
      <c r="H1537" s="6" t="n">
        <f>SUM(F1537,G1537)/2</f>
        <v>230228</v>
      </c>
    </row>
    <row r="1538" s="18" customFormat="1" ht="14.399999999999999" customHeight="1">
      <c r="A1538" s="10" t="s">
        <v>6235</v>
      </c>
      <c r="B1538" s="10" t="s">
        <v>6236</v>
      </c>
      <c r="C1538" s="13" t="n">
        <v>2379723</v>
      </c>
      <c r="D1538" s="13" t="n">
        <v>3801377</v>
      </c>
      <c r="E1538" s="6" t="n">
        <f>SUM(C1538,D1538)/2</f>
        <v>3090550</v>
      </c>
      <c r="F1538" s="12" t="n">
        <v>447113</v>
      </c>
      <c r="G1538" s="12" t="n">
        <v>596536</v>
      </c>
      <c r="H1538" s="6" t="n">
        <f>SUM(F1538,G1538)/2</f>
        <v>521824.5</v>
      </c>
    </row>
    <row r="1539" s="18" customFormat="1" ht="14.399999999999999" customHeight="1">
      <c r="A1539" s="10" t="s">
        <v>6237</v>
      </c>
      <c r="B1539" s="10" t="s">
        <v>6238</v>
      </c>
      <c r="C1539" s="13" t="n">
        <v>412106</v>
      </c>
      <c r="D1539" s="13" t="n">
        <v>658302</v>
      </c>
      <c r="E1539" s="6" t="n">
        <f>SUM(C1539,D1539)/2</f>
        <v>535204</v>
      </c>
      <c r="F1539" s="12" t="n">
        <v>57870</v>
      </c>
      <c r="G1539" s="12" t="n">
        <v>90487</v>
      </c>
      <c r="H1539" s="6" t="n">
        <f>SUM(F1539,G1539)/2</f>
        <v>74178.5</v>
      </c>
    </row>
    <row r="1540" s="18" customFormat="1" ht="14.399999999999999" customHeight="1">
      <c r="A1540" s="10" t="s">
        <v>6239</v>
      </c>
      <c r="B1540" s="10" t="s">
        <v>6240</v>
      </c>
      <c r="C1540" s="13" t="n">
        <v>16552</v>
      </c>
      <c r="D1540" s="13" t="n">
        <v>26440</v>
      </c>
      <c r="E1540" s="6" t="n">
        <f>SUM(C1540,D1540)/2</f>
        <v>21496</v>
      </c>
      <c r="F1540" s="12" t="n">
        <v>7945</v>
      </c>
      <c r="G1540" s="12" t="n">
        <v>11602</v>
      </c>
      <c r="H1540" s="6" t="n">
        <f>SUM(F1540,G1540)/2</f>
        <v>9773.5</v>
      </c>
    </row>
    <row r="1541" s="18" customFormat="1" ht="14.399999999999999" customHeight="1">
      <c r="A1541" s="10" t="s">
        <v>6241</v>
      </c>
      <c r="B1541" s="10" t="s">
        <v>6242</v>
      </c>
      <c r="C1541" s="13" t="n">
        <v>137323</v>
      </c>
      <c r="D1541" s="13" t="n">
        <v>219361</v>
      </c>
      <c r="E1541" s="6" t="n">
        <f>SUM(C1541,D1541)/2</f>
        <v>178342</v>
      </c>
      <c r="F1541" s="12" t="n">
        <v>22270</v>
      </c>
      <c r="G1541" s="12" t="n">
        <v>29320</v>
      </c>
      <c r="H1541" s="6" t="n">
        <f>SUM(F1541,G1541)/2</f>
        <v>25795</v>
      </c>
    </row>
    <row r="1542" s="18" customFormat="1" ht="14.399999999999999" customHeight="1">
      <c r="A1542" s="10" t="s">
        <v>6243</v>
      </c>
      <c r="B1542" s="10" t="s">
        <v>6244</v>
      </c>
      <c r="C1542" s="13" t="n">
        <v>6656</v>
      </c>
      <c r="D1542" s="13" t="n">
        <v>10636</v>
      </c>
      <c r="E1542" s="6" t="n">
        <f>SUM(C1542,D1542)/2</f>
        <v>8646</v>
      </c>
      <c r="F1542" s="12" t="n">
        <v>5764</v>
      </c>
      <c r="G1542" s="12" t="n">
        <v>8092</v>
      </c>
      <c r="H1542" s="6" t="n">
        <f>SUM(F1542,G1542)/2</f>
        <v>6928</v>
      </c>
    </row>
    <row r="1543" s="18" customFormat="1" ht="14.399999999999999" customHeight="1">
      <c r="A1543" s="10" t="s">
        <v>6245</v>
      </c>
      <c r="B1543" s="10" t="s">
        <v>6246</v>
      </c>
      <c r="C1543" s="13" t="n">
        <v>217701</v>
      </c>
      <c r="D1543" s="13" t="n">
        <v>347755</v>
      </c>
      <c r="E1543" s="6" t="n">
        <f>SUM(C1543,D1543)/2</f>
        <v>282728</v>
      </c>
      <c r="F1543" s="12" t="n">
        <v>15304</v>
      </c>
      <c r="G1543" s="12" t="n">
        <v>27906</v>
      </c>
      <c r="H1543" s="6" t="n">
        <f>SUM(F1543,G1543)/2</f>
        <v>21605</v>
      </c>
    </row>
    <row r="1544" s="18" customFormat="1" ht="14.399999999999999" customHeight="1">
      <c r="A1544" s="10" t="s">
        <v>6247</v>
      </c>
      <c r="B1544" s="10" t="s">
        <v>6248</v>
      </c>
      <c r="C1544" s="13" t="n">
        <v>16794</v>
      </c>
      <c r="D1544" s="13" t="n">
        <v>26826</v>
      </c>
      <c r="E1544" s="6" t="n">
        <f>SUM(C1544,D1544)/2</f>
        <v>21810</v>
      </c>
      <c r="F1544" s="12" t="n">
        <v>12174</v>
      </c>
      <c r="G1544" s="12" t="n">
        <v>15872</v>
      </c>
      <c r="H1544" s="6" t="n">
        <f>SUM(F1544,G1544)/2</f>
        <v>14023</v>
      </c>
    </row>
    <row r="1545" s="18" customFormat="1" ht="14.399999999999999" customHeight="1">
      <c r="A1545" s="10" t="s">
        <v>6249</v>
      </c>
      <c r="B1545" s="10" t="s">
        <v>6250</v>
      </c>
      <c r="C1545" s="13" t="n">
        <v>50810</v>
      </c>
      <c r="D1545" s="13" t="n">
        <v>81164</v>
      </c>
      <c r="E1545" s="6" t="n">
        <f>SUM(C1545,D1545)/2</f>
        <v>65987</v>
      </c>
      <c r="F1545" s="12" t="n">
        <v>59351</v>
      </c>
      <c r="G1545" s="12" t="n">
        <v>77089</v>
      </c>
      <c r="H1545" s="6" t="n">
        <f>SUM(F1545,G1545)/2</f>
        <v>68220</v>
      </c>
    </row>
    <row r="1546" s="18" customFormat="1" ht="14.399999999999999" customHeight="1">
      <c r="A1546" s="10" t="s">
        <v>6251</v>
      </c>
      <c r="B1546" s="10" t="s">
        <v>6252</v>
      </c>
      <c r="C1546" s="13" t="n">
        <v>246632</v>
      </c>
      <c r="D1546" s="13" t="n">
        <v>393972</v>
      </c>
      <c r="E1546" s="6" t="n">
        <f>SUM(C1546,D1546)/2</f>
        <v>320302</v>
      </c>
      <c r="F1546" s="12" t="n">
        <v>43734</v>
      </c>
      <c r="G1546" s="12" t="n">
        <v>62904</v>
      </c>
      <c r="H1546" s="6" t="n">
        <f>SUM(F1546,G1546)/2</f>
        <v>53319</v>
      </c>
    </row>
    <row r="1547" s="18" customFormat="1" ht="14.399999999999999" customHeight="1">
      <c r="A1547" s="10" t="s">
        <v>6253</v>
      </c>
      <c r="B1547" s="10" t="s">
        <v>6254</v>
      </c>
      <c r="C1547" s="13" t="n">
        <v>76189</v>
      </c>
      <c r="D1547" s="13" t="n">
        <v>121709</v>
      </c>
      <c r="E1547" s="6" t="n">
        <f>SUM(C1547,D1547)/2</f>
        <v>98949</v>
      </c>
      <c r="F1547" s="12" t="n">
        <v>11616</v>
      </c>
      <c r="G1547" s="12" t="n">
        <v>17655</v>
      </c>
      <c r="H1547" s="6" t="n">
        <f>SUM(F1547,G1547)/2</f>
        <v>14635.5</v>
      </c>
    </row>
    <row r="1548" s="18" customFormat="1" ht="14.399999999999999" customHeight="1">
      <c r="A1548" s="10" t="s">
        <v>6255</v>
      </c>
      <c r="B1548" s="10" t="s">
        <v>6256</v>
      </c>
      <c r="C1548" s="13" t="n">
        <v>53628</v>
      </c>
      <c r="D1548" s="13" t="n">
        <v>85664</v>
      </c>
      <c r="E1548" s="6" t="n">
        <f>SUM(C1548,D1548)/2</f>
        <v>69646</v>
      </c>
      <c r="F1548" s="12" t="n">
        <v>6556</v>
      </c>
      <c r="G1548" s="12" t="n">
        <v>9246</v>
      </c>
      <c r="H1548" s="6" t="n">
        <f>SUM(F1548,G1548)/2</f>
        <v>7901</v>
      </c>
    </row>
    <row r="1549" s="18" customFormat="1" ht="14.399999999999999" customHeight="1">
      <c r="A1549" s="10" t="s">
        <v>6257</v>
      </c>
      <c r="B1549" s="10" t="s">
        <v>6258</v>
      </c>
      <c r="C1549" s="13" t="n">
        <v>34343</v>
      </c>
      <c r="D1549" s="13" t="n">
        <v>54861</v>
      </c>
      <c r="E1549" s="6" t="n">
        <f>SUM(C1549,D1549)/2</f>
        <v>44602</v>
      </c>
      <c r="F1549" s="12" t="n">
        <v>9522</v>
      </c>
      <c r="G1549" s="12" t="n">
        <v>13729</v>
      </c>
      <c r="H1549" s="6" t="n">
        <f>SUM(F1549,G1549)/2</f>
        <v>11625.5</v>
      </c>
    </row>
    <row r="1550" s="18" customFormat="1" ht="14.399999999999999" customHeight="1">
      <c r="A1550" s="10" t="s">
        <v>6259</v>
      </c>
      <c r="B1550" s="10" t="s">
        <v>6260</v>
      </c>
      <c r="C1550" s="13" t="n">
        <v>253938</v>
      </c>
      <c r="D1550" s="13" t="n">
        <v>405644</v>
      </c>
      <c r="E1550" s="6" t="n">
        <f>SUM(C1550,D1550)/2</f>
        <v>329791</v>
      </c>
      <c r="F1550" s="12" t="n">
        <v>24453</v>
      </c>
      <c r="G1550" s="12" t="n">
        <v>35441</v>
      </c>
      <c r="H1550" s="6" t="n">
        <f>SUM(F1550,G1550)/2</f>
        <v>29947</v>
      </c>
    </row>
    <row r="1551" s="18" customFormat="1" ht="14.399999999999999" customHeight="1">
      <c r="A1551" s="10" t="s">
        <v>6261</v>
      </c>
      <c r="B1551" s="10" t="s">
        <v>6262</v>
      </c>
      <c r="C1551" s="13" t="n">
        <v>651562</v>
      </c>
      <c r="D1551" s="13" t="n">
        <v>1040806</v>
      </c>
      <c r="E1551" s="6" t="n">
        <f>SUM(C1551,D1551)/2</f>
        <v>846184</v>
      </c>
      <c r="F1551" s="12" t="n">
        <v>42281</v>
      </c>
      <c r="G1551" s="12" t="n">
        <v>56192</v>
      </c>
      <c r="H1551" s="6" t="n">
        <f>SUM(F1551,G1551)/2</f>
        <v>49236.5</v>
      </c>
    </row>
    <row r="1552" s="18" customFormat="1" ht="14.399999999999999" customHeight="1">
      <c r="A1552" s="10" t="s">
        <v>6263</v>
      </c>
      <c r="B1552" s="10" t="s">
        <v>6264</v>
      </c>
      <c r="C1552" s="13" t="n">
        <v>233383</v>
      </c>
      <c r="D1552" s="13" t="n">
        <v>372808</v>
      </c>
      <c r="E1552" s="6" t="n">
        <f>SUM(C1552,D1552)/2</f>
        <v>303095.5</v>
      </c>
      <c r="F1552" s="12" t="n">
        <v>35673</v>
      </c>
      <c r="G1552" s="12" t="n">
        <v>52112</v>
      </c>
      <c r="H1552" s="6" t="n">
        <f>SUM(F1552,G1552)/2</f>
        <v>43892.5</v>
      </c>
    </row>
    <row r="1553" s="18" customFormat="1" ht="14.399999999999999" customHeight="1">
      <c r="A1553" s="10" t="s">
        <v>6265</v>
      </c>
      <c r="B1553" s="10" t="s">
        <v>6266</v>
      </c>
      <c r="C1553" s="13" t="n">
        <v>45464</v>
      </c>
      <c r="D1553" s="13" t="n">
        <v>72624</v>
      </c>
      <c r="E1553" s="6" t="n">
        <f>SUM(C1553,D1553)/2</f>
        <v>59044</v>
      </c>
      <c r="F1553" s="12" t="n">
        <v>10968</v>
      </c>
      <c r="G1553" s="12" t="n">
        <v>16654</v>
      </c>
      <c r="H1553" s="6" t="n">
        <f>SUM(F1553,G1553)/2</f>
        <v>13811</v>
      </c>
    </row>
    <row r="1554" s="18" customFormat="1" ht="14.399999999999999" customHeight="1">
      <c r="A1554" s="10" t="s">
        <v>6267</v>
      </c>
      <c r="B1554" s="10" t="s">
        <v>6268</v>
      </c>
      <c r="C1554" s="13" t="n">
        <v>606477</v>
      </c>
      <c r="D1554" s="13" t="n">
        <v>968785</v>
      </c>
      <c r="E1554" s="6" t="n">
        <f>SUM(C1554,D1554)/2</f>
        <v>787631</v>
      </c>
      <c r="F1554" s="12" t="n">
        <v>67212</v>
      </c>
      <c r="G1554" s="12" t="n">
        <v>103273</v>
      </c>
      <c r="H1554" s="6" t="n">
        <f>SUM(F1554,G1554)/2</f>
        <v>85242.5</v>
      </c>
    </row>
    <row r="1555" s="18" customFormat="1" ht="14.399999999999999" customHeight="1">
      <c r="A1555" s="10" t="s">
        <v>6269</v>
      </c>
      <c r="B1555" s="10" t="s">
        <v>6270</v>
      </c>
      <c r="C1555" s="13" t="n">
        <v>147973</v>
      </c>
      <c r="D1555" s="13" t="n">
        <v>236371</v>
      </c>
      <c r="E1555" s="6" t="n">
        <f>SUM(C1555,D1555)/2</f>
        <v>192172</v>
      </c>
      <c r="F1555" s="12" t="n">
        <v>89358</v>
      </c>
      <c r="G1555" s="12" t="n">
        <v>135484</v>
      </c>
      <c r="H1555" s="6" t="n">
        <f>SUM(F1555,G1555)/2</f>
        <v>112421</v>
      </c>
    </row>
    <row r="1556" s="18" customFormat="1" ht="14.399999999999999" customHeight="1">
      <c r="A1556" s="10" t="s">
        <v>6271</v>
      </c>
      <c r="B1556" s="10" t="s">
        <v>6272</v>
      </c>
      <c r="C1556" s="13" t="n">
        <v>426689</v>
      </c>
      <c r="D1556" s="13" t="n">
        <v>681593</v>
      </c>
      <c r="E1556" s="6" t="n">
        <f>SUM(C1556,D1556)/2</f>
        <v>554141</v>
      </c>
      <c r="F1556" s="12" t="n">
        <v>110477</v>
      </c>
      <c r="G1556" s="12" t="n">
        <v>149582</v>
      </c>
      <c r="H1556" s="6" t="n">
        <f>SUM(F1556,G1556)/2</f>
        <v>130029.5</v>
      </c>
    </row>
    <row r="1557" s="18" customFormat="1" ht="14.399999999999999" customHeight="1">
      <c r="A1557" s="10" t="s">
        <v>6273</v>
      </c>
      <c r="B1557" s="10" t="s">
        <v>6274</v>
      </c>
      <c r="C1557" s="13" t="n">
        <v>569325</v>
      </c>
      <c r="D1557" s="13" t="n">
        <v>909439</v>
      </c>
      <c r="E1557" s="6" t="n">
        <f>SUM(C1557,D1557)/2</f>
        <v>739382</v>
      </c>
      <c r="F1557" s="12" t="n">
        <v>69351</v>
      </c>
      <c r="G1557" s="12" t="n">
        <v>107180</v>
      </c>
      <c r="H1557" s="6" t="n">
        <f>SUM(F1557,G1557)/2</f>
        <v>88265.5</v>
      </c>
    </row>
    <row r="1558" s="18" customFormat="1" ht="14.399999999999999" customHeight="1">
      <c r="A1558" s="10" t="s">
        <v>6275</v>
      </c>
      <c r="B1558" s="10" t="s">
        <v>6276</v>
      </c>
      <c r="C1558" s="13" t="n">
        <v>15603</v>
      </c>
      <c r="D1558" s="13" t="n">
        <v>24923</v>
      </c>
      <c r="E1558" s="6" t="n">
        <f>SUM(C1558,D1558)/2</f>
        <v>20263</v>
      </c>
      <c r="F1558" s="12" t="n">
        <v>7434</v>
      </c>
      <c r="G1558" s="12" t="n">
        <v>10776</v>
      </c>
      <c r="H1558" s="6" t="n">
        <f>SUM(F1558,G1558)/2</f>
        <v>9105</v>
      </c>
    </row>
    <row r="1559" s="18" customFormat="1" ht="14.399999999999999" customHeight="1">
      <c r="A1559" s="10" t="s">
        <v>6277</v>
      </c>
      <c r="B1559" s="10" t="s">
        <v>6278</v>
      </c>
      <c r="C1559" s="13" t="n">
        <v>17491</v>
      </c>
      <c r="D1559" s="13" t="n">
        <v>27943</v>
      </c>
      <c r="E1559" s="6" t="n">
        <f>SUM(C1559,D1559)/2</f>
        <v>22717</v>
      </c>
      <c r="F1559" s="12" t="n">
        <v>4951</v>
      </c>
      <c r="G1559" s="12" t="n">
        <v>7475</v>
      </c>
      <c r="H1559" s="6" t="n">
        <f>SUM(F1559,G1559)/2</f>
        <v>6213</v>
      </c>
    </row>
    <row r="1560" s="18" customFormat="1" ht="14.399999999999999" customHeight="1">
      <c r="A1560" s="10" t="s">
        <v>6279</v>
      </c>
      <c r="B1560" s="10" t="s">
        <v>6280</v>
      </c>
      <c r="C1560" s="13" t="n">
        <v>88734</v>
      </c>
      <c r="D1560" s="13" t="n">
        <v>141742</v>
      </c>
      <c r="E1560" s="6" t="n">
        <f>SUM(C1560,D1560)/2</f>
        <v>115238</v>
      </c>
      <c r="F1560" s="12" t="n">
        <v>29093</v>
      </c>
      <c r="G1560" s="12" t="n">
        <v>40632</v>
      </c>
      <c r="H1560" s="6" t="n">
        <f>SUM(F1560,G1560)/2</f>
        <v>34862.5</v>
      </c>
    </row>
    <row r="1561" s="18" customFormat="1" ht="14.399999999999999" customHeight="1">
      <c r="A1561" s="10" t="s">
        <v>6281</v>
      </c>
      <c r="B1561" s="10" t="s">
        <v>6282</v>
      </c>
      <c r="C1561" s="13" t="n">
        <v>350261</v>
      </c>
      <c r="D1561" s="13" t="n">
        <v>559507</v>
      </c>
      <c r="E1561" s="6" t="n">
        <f>SUM(C1561,D1561)/2</f>
        <v>454884</v>
      </c>
      <c r="F1561" s="12" t="n">
        <v>19097</v>
      </c>
      <c r="G1561" s="12" t="n">
        <v>26326</v>
      </c>
      <c r="H1561" s="6" t="n">
        <f>SUM(F1561,G1561)/2</f>
        <v>22711.5</v>
      </c>
    </row>
    <row r="1562" s="18" customFormat="1" ht="14.399999999999999" customHeight="1">
      <c r="A1562" s="10" t="s">
        <v>6283</v>
      </c>
      <c r="B1562" s="10" t="s">
        <v>6284</v>
      </c>
      <c r="C1562" s="13" t="n">
        <v>3732</v>
      </c>
      <c r="D1562" s="13" t="n">
        <v>5960</v>
      </c>
      <c r="E1562" s="6" t="n">
        <f>SUM(C1562,D1562)/2</f>
        <v>4846</v>
      </c>
      <c r="F1562" s="12" t="n">
        <v>7127</v>
      </c>
      <c r="G1562" s="12" t="n">
        <v>11441</v>
      </c>
      <c r="H1562" s="6" t="n">
        <f>SUM(F1562,G1562)/2</f>
        <v>9284</v>
      </c>
    </row>
    <row r="1563" s="18" customFormat="1" ht="14.399999999999999" customHeight="1">
      <c r="A1563" s="10" t="s">
        <v>6285</v>
      </c>
      <c r="B1563" s="10" t="s">
        <v>6286</v>
      </c>
      <c r="C1563" s="13" t="n">
        <v>68800</v>
      </c>
      <c r="D1563" s="13" t="n">
        <v>109896</v>
      </c>
      <c r="E1563" s="6" t="n">
        <f>SUM(C1563,D1563)/2</f>
        <v>89348</v>
      </c>
      <c r="F1563" s="12" t="n">
        <v>17689</v>
      </c>
      <c r="G1563" s="12" t="n">
        <v>27164</v>
      </c>
      <c r="H1563" s="6" t="n">
        <f>SUM(F1563,G1563)/2</f>
        <v>22426.5</v>
      </c>
    </row>
    <row r="1564" s="18" customFormat="1" ht="14.399999999999999" customHeight="1">
      <c r="A1564" s="10" t="s">
        <v>6287</v>
      </c>
      <c r="B1564" s="10" t="s">
        <v>6288</v>
      </c>
      <c r="C1564" s="13" t="n">
        <v>171777</v>
      </c>
      <c r="D1564" s="13" t="n">
        <v>274399</v>
      </c>
      <c r="E1564" s="6" t="n">
        <f>SUM(C1564,D1564)/2</f>
        <v>223088</v>
      </c>
      <c r="F1564" s="12" t="n">
        <v>32982</v>
      </c>
      <c r="G1564" s="12" t="n">
        <v>50188</v>
      </c>
      <c r="H1564" s="6" t="n">
        <f>SUM(F1564,G1564)/2</f>
        <v>41585</v>
      </c>
    </row>
    <row r="1565" s="18" customFormat="1" ht="14.399999999999999" customHeight="1">
      <c r="A1565" s="10" t="s">
        <v>6289</v>
      </c>
      <c r="B1565" s="10" t="s">
        <v>6290</v>
      </c>
      <c r="C1565" s="13" t="n">
        <v>663408</v>
      </c>
      <c r="D1565" s="13" t="n">
        <v>1059728</v>
      </c>
      <c r="E1565" s="6" t="n">
        <f>SUM(C1565,D1565)/2</f>
        <v>861568</v>
      </c>
      <c r="F1565" s="12" t="n">
        <v>109641</v>
      </c>
      <c r="G1565" s="12" t="n">
        <v>189623</v>
      </c>
      <c r="H1565" s="6" t="n">
        <f>SUM(F1565,G1565)/2</f>
        <v>149632</v>
      </c>
    </row>
    <row r="1566" s="18" customFormat="1" ht="14.399999999999999" customHeight="1">
      <c r="A1566" s="10" t="s">
        <v>6291</v>
      </c>
      <c r="B1566" s="10" t="s">
        <v>6292</v>
      </c>
      <c r="C1566" s="13" t="n">
        <v>44451</v>
      </c>
      <c r="D1566" s="13" t="n">
        <v>71005</v>
      </c>
      <c r="E1566" s="6" t="n">
        <f>SUM(C1566,D1566)/2</f>
        <v>57728</v>
      </c>
      <c r="F1566" s="12" t="n">
        <v>44941</v>
      </c>
      <c r="G1566" s="12" t="n">
        <v>73411</v>
      </c>
      <c r="H1566" s="6" t="n">
        <f>SUM(F1566,G1566)/2</f>
        <v>59176</v>
      </c>
    </row>
    <row r="1567" s="18" customFormat="1" ht="14.399999999999999" customHeight="1">
      <c r="A1567" s="10" t="s">
        <v>6293</v>
      </c>
      <c r="B1567" s="10" t="s">
        <v>6294</v>
      </c>
      <c r="C1567" s="13" t="n">
        <v>176005</v>
      </c>
      <c r="D1567" s="13" t="n">
        <v>281153</v>
      </c>
      <c r="E1567" s="6" t="n">
        <f>SUM(C1567,D1567)/2</f>
        <v>228579</v>
      </c>
      <c r="F1567" s="12" t="n">
        <v>57146</v>
      </c>
      <c r="G1567" s="12" t="n">
        <v>74394</v>
      </c>
      <c r="H1567" s="6" t="n">
        <f>SUM(F1567,G1567)/2</f>
        <v>65770</v>
      </c>
    </row>
    <row r="1568" s="18" customFormat="1" ht="14.399999999999999" customHeight="1">
      <c r="A1568" s="10" t="s">
        <v>6295</v>
      </c>
      <c r="B1568" s="10" t="s">
        <v>6296</v>
      </c>
      <c r="C1568" s="13" t="n">
        <v>50741</v>
      </c>
      <c r="D1568" s="13" t="n">
        <v>81053</v>
      </c>
      <c r="E1568" s="6" t="n">
        <f>SUM(C1568,D1568)/2</f>
        <v>65897</v>
      </c>
      <c r="F1568" s="12" t="n">
        <v>16501</v>
      </c>
      <c r="G1568" s="12" t="n">
        <v>24270</v>
      </c>
      <c r="H1568" s="6" t="n">
        <f>SUM(F1568,G1568)/2</f>
        <v>20385.5</v>
      </c>
    </row>
    <row r="1569" s="18" customFormat="1" ht="14.399999999999999" customHeight="1">
      <c r="A1569" s="10" t="s">
        <v>6297</v>
      </c>
      <c r="B1569" s="10" t="s">
        <v>6298</v>
      </c>
      <c r="C1569" s="13" t="n">
        <v>141802</v>
      </c>
      <c r="D1569" s="13" t="n">
        <v>226517</v>
      </c>
      <c r="E1569" s="6" t="n">
        <f>SUM(C1569,D1569)/2</f>
        <v>184159.5</v>
      </c>
      <c r="F1569" s="12" t="n">
        <v>32354</v>
      </c>
      <c r="G1569" s="12" t="n">
        <v>41819</v>
      </c>
      <c r="H1569" s="6" t="n">
        <f>SUM(F1569,G1569)/2</f>
        <v>37086.5</v>
      </c>
    </row>
    <row r="1570" s="18" customFormat="1" ht="14.399999999999999" customHeight="1">
      <c r="A1570" s="10" t="s">
        <v>6299</v>
      </c>
      <c r="B1570" s="10" t="s">
        <v>6300</v>
      </c>
      <c r="C1570" s="13" t="n">
        <v>399196</v>
      </c>
      <c r="D1570" s="13" t="n">
        <v>637676</v>
      </c>
      <c r="E1570" s="6" t="n">
        <f>SUM(C1570,D1570)/2</f>
        <v>518436</v>
      </c>
      <c r="F1570" s="12" t="n">
        <v>91189</v>
      </c>
      <c r="G1570" s="12" t="n">
        <v>131076</v>
      </c>
      <c r="H1570" s="6" t="n">
        <f>SUM(F1570,G1570)/2</f>
        <v>111132.5</v>
      </c>
    </row>
    <row r="1571" s="18" customFormat="1" ht="14.399999999999999" customHeight="1">
      <c r="A1571" s="10" t="s">
        <v>6301</v>
      </c>
      <c r="B1571" s="10" t="s">
        <v>6302</v>
      </c>
      <c r="C1571" s="13" t="n">
        <v>73841</v>
      </c>
      <c r="D1571" s="13" t="n">
        <v>117953</v>
      </c>
      <c r="E1571" s="6" t="n">
        <f>SUM(C1571,D1571)/2</f>
        <v>95897</v>
      </c>
      <c r="F1571" s="12" t="n">
        <v>7663</v>
      </c>
      <c r="G1571" s="12" t="n">
        <v>13780</v>
      </c>
      <c r="H1571" s="6" t="n">
        <f>SUM(F1571,G1571)/2</f>
        <v>10721.5</v>
      </c>
    </row>
    <row r="1572" s="18" customFormat="1" ht="14.399999999999999" customHeight="1">
      <c r="A1572" s="10" t="s">
        <v>6303</v>
      </c>
      <c r="B1572" s="10" t="s">
        <v>6304</v>
      </c>
      <c r="C1572" s="13" t="n">
        <v>6324</v>
      </c>
      <c r="D1572" s="13" t="n">
        <v>10103</v>
      </c>
      <c r="E1572" s="6" t="n">
        <f>SUM(C1572,D1572)/2</f>
        <v>8213.5</v>
      </c>
      <c r="F1572" s="12" t="n">
        <v>20691</v>
      </c>
      <c r="G1572" s="12" t="n">
        <v>24094</v>
      </c>
      <c r="H1572" s="6" t="n">
        <f>SUM(F1572,G1572)/2</f>
        <v>22392.5</v>
      </c>
    </row>
    <row r="1573" s="18" customFormat="1" ht="14.399999999999999" customHeight="1">
      <c r="A1573" s="10" t="s">
        <v>6305</v>
      </c>
      <c r="B1573" s="10" t="s">
        <v>6306</v>
      </c>
      <c r="C1573" s="13" t="n">
        <v>348123</v>
      </c>
      <c r="D1573" s="13" t="n">
        <v>556095</v>
      </c>
      <c r="E1573" s="6" t="n">
        <f>SUM(C1573,D1573)/2</f>
        <v>452109</v>
      </c>
      <c r="F1573" s="12" t="n">
        <v>168248</v>
      </c>
      <c r="G1573" s="12" t="n">
        <v>255929</v>
      </c>
      <c r="H1573" s="6" t="n">
        <f>SUM(F1573,G1573)/2</f>
        <v>212088.5</v>
      </c>
    </row>
    <row r="1574" s="18" customFormat="1" ht="14.399999999999999" customHeight="1">
      <c r="A1574" s="10" t="s">
        <v>6307</v>
      </c>
      <c r="B1574" s="10" t="s">
        <v>6308</v>
      </c>
      <c r="C1574" s="13" t="n">
        <v>10793</v>
      </c>
      <c r="D1574" s="13" t="n">
        <v>17239</v>
      </c>
      <c r="E1574" s="6" t="n">
        <f>SUM(C1574,D1574)/2</f>
        <v>14016</v>
      </c>
      <c r="F1574" s="12" t="n">
        <v>8372</v>
      </c>
      <c r="G1574" s="12" t="n">
        <v>10001</v>
      </c>
      <c r="H1574" s="6" t="n">
        <f>SUM(F1574,G1574)/2</f>
        <v>9186.5</v>
      </c>
    </row>
    <row r="1575" s="18" customFormat="1" ht="14.399999999999999" customHeight="1">
      <c r="A1575" s="10" t="s">
        <v>6309</v>
      </c>
      <c r="B1575" s="10" t="s">
        <v>6310</v>
      </c>
      <c r="C1575" s="13" t="n">
        <v>11550</v>
      </c>
      <c r="D1575" s="13" t="n">
        <v>18450</v>
      </c>
      <c r="E1575" s="6" t="n">
        <f>SUM(C1575,D1575)/2</f>
        <v>15000</v>
      </c>
      <c r="F1575" s="12" t="n">
        <v>22195</v>
      </c>
      <c r="G1575" s="12" t="n">
        <v>31262</v>
      </c>
      <c r="H1575" s="6" t="n">
        <f>SUM(F1575,G1575)/2</f>
        <v>26728.5</v>
      </c>
    </row>
    <row r="1576" s="18" customFormat="1" ht="14.399999999999999" customHeight="1">
      <c r="A1576" s="10" t="s">
        <v>6311</v>
      </c>
      <c r="B1576" s="10" t="s">
        <v>6312</v>
      </c>
      <c r="C1576" s="13" t="n">
        <v>52025</v>
      </c>
      <c r="D1576" s="13" t="n">
        <v>83105</v>
      </c>
      <c r="E1576" s="6" t="n">
        <f>SUM(C1576,D1576)/2</f>
        <v>67565</v>
      </c>
      <c r="F1576" s="12" t="n">
        <v>14776</v>
      </c>
      <c r="G1576" s="12" t="n">
        <v>23571</v>
      </c>
      <c r="H1576" s="6" t="n">
        <f>SUM(F1576,G1576)/2</f>
        <v>19173.5</v>
      </c>
    </row>
    <row r="1577" s="18" customFormat="1" ht="14.399999999999999" customHeight="1">
      <c r="A1577" s="10" t="s">
        <v>6313</v>
      </c>
      <c r="B1577" s="10" t="s">
        <v>6314</v>
      </c>
      <c r="C1577" s="13" t="n">
        <v>41417</v>
      </c>
      <c r="D1577" s="13" t="n">
        <v>66157</v>
      </c>
      <c r="E1577" s="6" t="n">
        <f>SUM(C1577,D1577)/2</f>
        <v>53787</v>
      </c>
      <c r="F1577" s="12" t="n">
        <v>16947</v>
      </c>
      <c r="G1577" s="12" t="n">
        <v>26617</v>
      </c>
      <c r="H1577" s="6" t="n">
        <f>SUM(F1577,G1577)/2</f>
        <v>21782</v>
      </c>
    </row>
    <row r="1578" s="18" customFormat="1" ht="14.399999999999999" customHeight="1">
      <c r="A1578" s="10" t="s">
        <v>6315</v>
      </c>
      <c r="B1578" s="10" t="s">
        <v>6316</v>
      </c>
      <c r="C1578" s="13" t="n">
        <v>19501</v>
      </c>
      <c r="D1578" s="13" t="n">
        <v>31151</v>
      </c>
      <c r="E1578" s="6" t="n">
        <f>SUM(C1578,D1578)/2</f>
        <v>25326</v>
      </c>
      <c r="F1578" s="12" t="n">
        <v>9161</v>
      </c>
      <c r="G1578" s="12" t="n">
        <v>14471</v>
      </c>
      <c r="H1578" s="6" t="n">
        <f>SUM(F1578,G1578)/2</f>
        <v>11816</v>
      </c>
    </row>
    <row r="1579" s="18" customFormat="1" ht="14.399999999999999" customHeight="1">
      <c r="A1579" s="10" t="s">
        <v>6317</v>
      </c>
      <c r="B1579" s="10" t="s">
        <v>6318</v>
      </c>
      <c r="C1579" s="13" t="n">
        <v>208554</v>
      </c>
      <c r="D1579" s="13" t="n">
        <v>333144</v>
      </c>
      <c r="E1579" s="6" t="n">
        <f>SUM(C1579,D1579)/2</f>
        <v>270849</v>
      </c>
      <c r="F1579" s="12" t="n">
        <v>62919</v>
      </c>
      <c r="G1579" s="12" t="n">
        <v>91665</v>
      </c>
      <c r="H1579" s="6" t="n">
        <f>SUM(F1579,G1579)/2</f>
        <v>77292</v>
      </c>
    </row>
    <row r="1580" s="18" customFormat="1" ht="14.399999999999999" customHeight="1">
      <c r="A1580" s="10" t="s">
        <v>6319</v>
      </c>
      <c r="B1580" s="10" t="s">
        <v>6320</v>
      </c>
      <c r="C1580" s="13" t="n">
        <v>24196</v>
      </c>
      <c r="D1580" s="13" t="n">
        <v>38652</v>
      </c>
      <c r="E1580" s="6" t="n">
        <f>SUM(C1580,D1580)/2</f>
        <v>31424</v>
      </c>
      <c r="F1580" s="12" t="n">
        <v>16854</v>
      </c>
      <c r="G1580" s="12" t="n">
        <v>24254</v>
      </c>
      <c r="H1580" s="6" t="n">
        <f>SUM(F1580,G1580)/2</f>
        <v>20554</v>
      </c>
    </row>
    <row r="1581" s="18" customFormat="1" ht="14.399999999999999" customHeight="1">
      <c r="A1581" s="10" t="s">
        <v>6321</v>
      </c>
      <c r="B1581" s="10" t="s">
        <v>6322</v>
      </c>
      <c r="C1581" s="13" t="n">
        <v>1598914</v>
      </c>
      <c r="D1581" s="13" t="n">
        <v>2554108</v>
      </c>
      <c r="E1581" s="6" t="n">
        <f>SUM(C1581,D1581)/2</f>
        <v>2076511</v>
      </c>
      <c r="F1581" s="12" t="n">
        <v>203114</v>
      </c>
      <c r="G1581" s="12" t="n">
        <v>287522</v>
      </c>
      <c r="H1581" s="6" t="n">
        <f>SUM(F1581,G1581)/2</f>
        <v>245318</v>
      </c>
    </row>
    <row r="1582" s="18" customFormat="1" ht="14.399999999999999" customHeight="1">
      <c r="A1582" s="10" t="s">
        <v>6323</v>
      </c>
      <c r="B1582" s="10" t="s">
        <v>6324</v>
      </c>
      <c r="C1582" s="13" t="n">
        <v>91935</v>
      </c>
      <c r="D1582" s="13" t="n">
        <v>146857</v>
      </c>
      <c r="E1582" s="6" t="n">
        <f>SUM(C1582,D1582)/2</f>
        <v>119396</v>
      </c>
      <c r="F1582" s="12" t="n">
        <v>16365</v>
      </c>
      <c r="G1582" s="12" t="n">
        <v>25057</v>
      </c>
      <c r="H1582" s="6" t="n">
        <f>SUM(F1582,G1582)/2</f>
        <v>20711</v>
      </c>
    </row>
    <row r="1583" s="18" customFormat="1" ht="14.399999999999999" customHeight="1">
      <c r="A1583" s="10" t="s">
        <v>4235</v>
      </c>
      <c r="B1583" s="10" t="s">
        <v>4236</v>
      </c>
      <c r="C1583" s="13" t="n">
        <v>33963</v>
      </c>
      <c r="D1583" s="13" t="n">
        <v>54251</v>
      </c>
      <c r="E1583" s="6" t="n">
        <f>SUM(C1583,D1583)/2</f>
        <v>44107</v>
      </c>
      <c r="F1583" s="12" t="n">
        <v>5731</v>
      </c>
      <c r="G1583" s="12" t="n">
        <v>14644</v>
      </c>
      <c r="H1583" s="6" t="n">
        <f>SUM(F1583,G1583)/2</f>
        <v>10187.5</v>
      </c>
    </row>
    <row r="1584" s="18" customFormat="1" ht="14.399999999999999" customHeight="1">
      <c r="A1584" s="10" t="s">
        <v>6325</v>
      </c>
      <c r="B1584" s="10" t="s">
        <v>6326</v>
      </c>
      <c r="C1584" s="13" t="n">
        <v>837728</v>
      </c>
      <c r="D1584" s="13" t="n">
        <v>1338186</v>
      </c>
      <c r="E1584" s="6" t="n">
        <f>SUM(C1584,D1584)/2</f>
        <v>1087957</v>
      </c>
      <c r="F1584" s="12" t="n">
        <v>96600</v>
      </c>
      <c r="G1584" s="12" t="n">
        <v>141259</v>
      </c>
      <c r="H1584" s="6" t="n">
        <f>SUM(F1584,G1584)/2</f>
        <v>118929.5</v>
      </c>
    </row>
    <row r="1585" s="18" customFormat="1" ht="14.399999999999999" customHeight="1">
      <c r="A1585" s="10" t="s">
        <v>6327</v>
      </c>
      <c r="B1585" s="10" t="s">
        <v>6328</v>
      </c>
      <c r="C1585" s="13" t="n">
        <v>1341048</v>
      </c>
      <c r="D1585" s="13" t="n">
        <v>2142192</v>
      </c>
      <c r="E1585" s="6" t="n">
        <f>SUM(C1585,D1585)/2</f>
        <v>1741620</v>
      </c>
      <c r="F1585" s="12" t="n">
        <v>281242</v>
      </c>
      <c r="G1585" s="12" t="n">
        <v>376613</v>
      </c>
      <c r="H1585" s="6" t="n">
        <f>SUM(F1585,G1585)/2</f>
        <v>328927.5</v>
      </c>
    </row>
    <row r="1586" s="18" customFormat="1" ht="14.399999999999999" customHeight="1">
      <c r="A1586" s="10" t="s">
        <v>6329</v>
      </c>
      <c r="B1586" s="10" t="s">
        <v>6330</v>
      </c>
      <c r="C1586" s="13" t="n">
        <v>124387</v>
      </c>
      <c r="D1586" s="13" t="n">
        <v>198695</v>
      </c>
      <c r="E1586" s="6" t="n">
        <f>SUM(C1586,D1586)/2</f>
        <v>161541</v>
      </c>
      <c r="F1586" s="12" t="n">
        <v>19022</v>
      </c>
      <c r="G1586" s="12" t="n">
        <v>26438</v>
      </c>
      <c r="H1586" s="6" t="n">
        <f>SUM(F1586,G1586)/2</f>
        <v>22730</v>
      </c>
    </row>
    <row r="1587" s="18" customFormat="1" ht="14.399999999999999" customHeight="1">
      <c r="A1587" s="10" t="s">
        <v>6331</v>
      </c>
      <c r="B1587" s="10" t="s">
        <v>6332</v>
      </c>
      <c r="C1587" s="13" t="n">
        <v>79377</v>
      </c>
      <c r="D1587" s="13" t="n">
        <v>126797</v>
      </c>
      <c r="E1587" s="6" t="n">
        <f>SUM(C1587,D1587)/2</f>
        <v>103087</v>
      </c>
      <c r="F1587" s="12" t="n">
        <v>19525</v>
      </c>
      <c r="G1587" s="12" t="n">
        <v>30855</v>
      </c>
      <c r="H1587" s="6" t="n">
        <f>SUM(F1587,G1587)/2</f>
        <v>25190</v>
      </c>
    </row>
    <row r="1588" s="18" customFormat="1" ht="14.399999999999999" customHeight="1">
      <c r="A1588" s="10" t="s">
        <v>6333</v>
      </c>
      <c r="B1588" s="10" t="s">
        <v>6334</v>
      </c>
      <c r="C1588" s="13" t="n">
        <v>168538</v>
      </c>
      <c r="D1588" s="13" t="n">
        <v>269224</v>
      </c>
      <c r="E1588" s="6" t="n">
        <f>SUM(C1588,D1588)/2</f>
        <v>218881</v>
      </c>
      <c r="F1588" s="12" t="n">
        <v>5619</v>
      </c>
      <c r="G1588" s="12" t="n">
        <v>11761</v>
      </c>
      <c r="H1588" s="6" t="n">
        <f>SUM(F1588,G1588)/2</f>
        <v>8690</v>
      </c>
    </row>
    <row r="1589" s="18" customFormat="1" ht="14.399999999999999" customHeight="1">
      <c r="A1589" s="10" t="s">
        <v>6335</v>
      </c>
      <c r="B1589" s="10" t="s">
        <v>6336</v>
      </c>
      <c r="C1589" s="13" t="n">
        <v>127250</v>
      </c>
      <c r="D1589" s="13" t="n">
        <v>203268</v>
      </c>
      <c r="E1589" s="6" t="n">
        <f>SUM(C1589,D1589)/2</f>
        <v>165259</v>
      </c>
      <c r="F1589" s="12" t="n">
        <v>5983</v>
      </c>
      <c r="G1589" s="12" t="n">
        <v>8654</v>
      </c>
      <c r="H1589" s="6" t="n">
        <f>SUM(F1589,G1589)/2</f>
        <v>7318.5</v>
      </c>
    </row>
    <row r="1590" s="18" customFormat="1" ht="14.399999999999999" customHeight="1">
      <c r="A1590" s="10" t="s">
        <v>6337</v>
      </c>
      <c r="B1590" s="10" t="s">
        <v>6338</v>
      </c>
      <c r="C1590" s="13" t="n">
        <v>663413</v>
      </c>
      <c r="D1590" s="13" t="n">
        <v>1059737</v>
      </c>
      <c r="E1590" s="6" t="n">
        <f>SUM(C1590,D1590)/2</f>
        <v>861575</v>
      </c>
      <c r="F1590" s="12" t="n">
        <v>65792</v>
      </c>
      <c r="G1590" s="12" t="n">
        <v>106526</v>
      </c>
      <c r="H1590" s="6" t="n">
        <f>SUM(F1590,G1590)/2</f>
        <v>86159</v>
      </c>
    </row>
    <row r="1591" s="18" customFormat="1" ht="14.399999999999999" customHeight="1">
      <c r="A1591" s="10" t="s">
        <v>6339</v>
      </c>
      <c r="B1591" s="10" t="s">
        <v>6340</v>
      </c>
      <c r="C1591" s="13" t="n">
        <v>20487</v>
      </c>
      <c r="D1591" s="13" t="n">
        <v>32725</v>
      </c>
      <c r="E1591" s="6" t="n">
        <f>SUM(C1591,D1591)/2</f>
        <v>26606</v>
      </c>
      <c r="F1591" s="12" t="n">
        <v>7584</v>
      </c>
      <c r="G1591" s="12" t="n">
        <v>11231</v>
      </c>
      <c r="H1591" s="6" t="n">
        <f>SUM(F1591,G1591)/2</f>
        <v>9407.5</v>
      </c>
    </row>
    <row r="1592" s="18" customFormat="1" ht="14.399999999999999" customHeight="1">
      <c r="A1592" s="10" t="s">
        <v>6341</v>
      </c>
      <c r="B1592" s="10" t="s">
        <v>6342</v>
      </c>
      <c r="C1592" s="13" t="n">
        <v>7620</v>
      </c>
      <c r="D1592" s="13" t="n">
        <v>12172</v>
      </c>
      <c r="E1592" s="6" t="n">
        <f>SUM(C1592,D1592)/2</f>
        <v>9896</v>
      </c>
      <c r="F1592" s="12" t="n">
        <v>23678</v>
      </c>
      <c r="G1592" s="12" t="n">
        <v>32169</v>
      </c>
      <c r="H1592" s="6" t="n">
        <f>SUM(F1592,G1592)/2</f>
        <v>27923.5</v>
      </c>
    </row>
    <row r="1593" s="18" customFormat="1" ht="14.399999999999999" customHeight="1">
      <c r="A1593" s="10" t="s">
        <v>6343</v>
      </c>
      <c r="B1593" s="10" t="s">
        <v>6344</v>
      </c>
      <c r="C1593" s="13" t="n">
        <v>24541</v>
      </c>
      <c r="D1593" s="13" t="n">
        <v>39201</v>
      </c>
      <c r="E1593" s="6" t="n">
        <f>SUM(C1593,D1593)/2</f>
        <v>31871</v>
      </c>
      <c r="F1593" s="12" t="n">
        <v>7019</v>
      </c>
      <c r="G1593" s="12" t="n">
        <v>12776</v>
      </c>
      <c r="H1593" s="6" t="n">
        <f>SUM(F1593,G1593)/2</f>
        <v>9897.5</v>
      </c>
    </row>
    <row r="1594" s="18" customFormat="1" ht="14.399999999999999" customHeight="1">
      <c r="A1594" s="10" t="s">
        <v>6345</v>
      </c>
      <c r="B1594" s="10" t="s">
        <v>6346</v>
      </c>
      <c r="C1594" s="13" t="n">
        <v>39309</v>
      </c>
      <c r="D1594" s="13" t="n">
        <v>62791</v>
      </c>
      <c r="E1594" s="6" t="n">
        <f>SUM(C1594,D1594)/2</f>
        <v>51050</v>
      </c>
      <c r="F1594" s="12" t="n">
        <v>9697</v>
      </c>
      <c r="G1594" s="12" t="n">
        <v>14633</v>
      </c>
      <c r="H1594" s="6" t="n">
        <f>SUM(F1594,G1594)/2</f>
        <v>12165</v>
      </c>
    </row>
    <row r="1595" s="18" customFormat="1" ht="14.399999999999999" customHeight="1">
      <c r="A1595" s="10" t="s">
        <v>6347</v>
      </c>
      <c r="B1595" s="10" t="s">
        <v>6348</v>
      </c>
      <c r="C1595" s="13" t="n">
        <v>23265</v>
      </c>
      <c r="D1595" s="13" t="n">
        <v>37167</v>
      </c>
      <c r="E1595" s="6" t="n">
        <f>SUM(C1595,D1595)/2</f>
        <v>30216</v>
      </c>
      <c r="F1595" s="12" t="n">
        <v>7745</v>
      </c>
      <c r="G1595" s="12" t="n">
        <v>12297</v>
      </c>
      <c r="H1595" s="6" t="n">
        <f>SUM(F1595,G1595)/2</f>
        <v>10021</v>
      </c>
    </row>
    <row r="1596" s="18" customFormat="1" ht="14.399999999999999" customHeight="1">
      <c r="A1596" s="10" t="s">
        <v>6349</v>
      </c>
      <c r="B1596" s="10" t="s">
        <v>6350</v>
      </c>
      <c r="C1596" s="13" t="n">
        <v>521403</v>
      </c>
      <c r="D1596" s="13" t="n">
        <v>832891</v>
      </c>
      <c r="E1596" s="6" t="n">
        <f>SUM(C1596,D1596)/2</f>
        <v>677147</v>
      </c>
      <c r="F1596" s="12" t="n">
        <v>149500</v>
      </c>
      <c r="G1596" s="12" t="n">
        <v>247650</v>
      </c>
      <c r="H1596" s="6" t="n">
        <f>SUM(F1596,G1596)/2</f>
        <v>198575</v>
      </c>
    </row>
    <row r="1597" s="18" customFormat="1" ht="14.399999999999999" customHeight="1">
      <c r="A1597" s="10" t="s">
        <v>6351</v>
      </c>
      <c r="B1597" s="10" t="s">
        <v>6352</v>
      </c>
      <c r="C1597" s="13" t="n">
        <v>1052927</v>
      </c>
      <c r="D1597" s="13" t="n">
        <v>1681949</v>
      </c>
      <c r="E1597" s="6" t="n">
        <f>SUM(C1597,D1597)/2</f>
        <v>1367438</v>
      </c>
      <c r="F1597" s="12" t="n">
        <v>248235</v>
      </c>
      <c r="G1597" s="12" t="n">
        <v>462751</v>
      </c>
      <c r="H1597" s="6" t="n">
        <f>SUM(F1597,G1597)/2</f>
        <v>355493</v>
      </c>
    </row>
    <row r="1598" s="18" customFormat="1" ht="14.399999999999999" customHeight="1">
      <c r="A1598" s="10" t="s">
        <v>6353</v>
      </c>
      <c r="B1598" s="10" t="s">
        <v>6354</v>
      </c>
      <c r="C1598" s="13" t="n">
        <v>243199</v>
      </c>
      <c r="D1598" s="13" t="n">
        <v>388483</v>
      </c>
      <c r="E1598" s="6" t="n">
        <f>SUM(C1598,D1598)/2</f>
        <v>315841</v>
      </c>
      <c r="F1598" s="12" t="n">
        <v>28393</v>
      </c>
      <c r="G1598" s="12" t="n">
        <v>43673</v>
      </c>
      <c r="H1598" s="6" t="n">
        <f>SUM(F1598,G1598)/2</f>
        <v>36033</v>
      </c>
    </row>
    <row r="1599" s="18" customFormat="1" ht="14.399999999999999" customHeight="1">
      <c r="A1599" s="10" t="s">
        <v>6355</v>
      </c>
      <c r="B1599" s="10" t="s">
        <v>6356</v>
      </c>
      <c r="C1599" s="13" t="n">
        <v>14228</v>
      </c>
      <c r="D1599" s="13" t="n">
        <v>22724</v>
      </c>
      <c r="E1599" s="6" t="n">
        <f>SUM(C1599,D1599)/2</f>
        <v>18476</v>
      </c>
      <c r="F1599" s="12" t="n">
        <v>5683</v>
      </c>
      <c r="G1599" s="12" t="n">
        <v>9700</v>
      </c>
      <c r="H1599" s="6" t="n">
        <f>SUM(F1599,G1599)/2</f>
        <v>7691.5</v>
      </c>
    </row>
    <row r="1600" s="18" customFormat="1" ht="14.399999999999999" customHeight="1">
      <c r="A1600" s="10" t="s">
        <v>6357</v>
      </c>
      <c r="B1600" s="10" t="s">
        <v>6358</v>
      </c>
      <c r="C1600" s="13" t="n">
        <v>166582</v>
      </c>
      <c r="D1600" s="13" t="n">
        <v>266098</v>
      </c>
      <c r="E1600" s="6" t="n">
        <f>SUM(C1600,D1600)/2</f>
        <v>216340</v>
      </c>
      <c r="F1600" s="12" t="n">
        <v>10731</v>
      </c>
      <c r="G1600" s="12" t="n">
        <v>16045</v>
      </c>
      <c r="H1600" s="6" t="n">
        <f>SUM(F1600,G1600)/2</f>
        <v>13388</v>
      </c>
    </row>
    <row r="1601" s="18" customFormat="1" ht="14.399999999999999" customHeight="1">
      <c r="A1601" s="10" t="s">
        <v>6359</v>
      </c>
      <c r="B1601" s="10" t="s">
        <v>6360</v>
      </c>
      <c r="C1601" s="13" t="n">
        <v>30637</v>
      </c>
      <c r="D1601" s="13" t="n">
        <v>48939</v>
      </c>
      <c r="E1601" s="6" t="n">
        <f>SUM(C1601,D1601)/2</f>
        <v>39788</v>
      </c>
      <c r="F1601" s="12" t="n">
        <v>7669</v>
      </c>
      <c r="G1601" s="12" t="n">
        <v>11804</v>
      </c>
      <c r="H1601" s="6" t="n">
        <f>SUM(F1601,G1601)/2</f>
        <v>9736.5</v>
      </c>
    </row>
    <row r="1602" s="18" customFormat="1" ht="14.399999999999999" customHeight="1">
      <c r="A1602" s="10" t="s">
        <v>6361</v>
      </c>
      <c r="B1602" s="10" t="s">
        <v>6362</v>
      </c>
      <c r="C1602" s="13" t="n">
        <v>735417</v>
      </c>
      <c r="D1602" s="13" t="n">
        <v>1174757</v>
      </c>
      <c r="E1602" s="6" t="n">
        <f>SUM(C1602,D1602)/2</f>
        <v>955087</v>
      </c>
      <c r="F1602" s="12" t="n">
        <v>83792</v>
      </c>
      <c r="G1602" s="12" t="n">
        <v>114941</v>
      </c>
      <c r="H1602" s="6" t="n">
        <f>SUM(F1602,G1602)/2</f>
        <v>99366.5</v>
      </c>
    </row>
    <row r="1603" s="18" customFormat="1" ht="14.399999999999999" customHeight="1">
      <c r="A1603" s="10" t="s">
        <v>6363</v>
      </c>
      <c r="B1603" s="10" t="s">
        <v>6364</v>
      </c>
      <c r="C1603" s="13" t="n">
        <v>40266</v>
      </c>
      <c r="D1603" s="13" t="n">
        <v>64322</v>
      </c>
      <c r="E1603" s="6" t="n">
        <f>SUM(C1603,D1603)/2</f>
        <v>52294</v>
      </c>
      <c r="F1603" s="12" t="n">
        <v>7584</v>
      </c>
      <c r="G1603" s="12" t="n">
        <v>12490</v>
      </c>
      <c r="H1603" s="6" t="n">
        <f>SUM(F1603,G1603)/2</f>
        <v>10037</v>
      </c>
    </row>
    <row r="1604" s="18" customFormat="1" ht="14.399999999999999" customHeight="1">
      <c r="A1604" s="10" t="s">
        <v>6365</v>
      </c>
      <c r="B1604" s="10" t="s">
        <v>6366</v>
      </c>
      <c r="C1604" s="13" t="n">
        <v>2198392</v>
      </c>
      <c r="D1604" s="13" t="n">
        <v>3511714</v>
      </c>
      <c r="E1604" s="6" t="n">
        <f>SUM(C1604,D1604)/2</f>
        <v>2855053</v>
      </c>
      <c r="F1604" s="12" t="n">
        <v>327323</v>
      </c>
      <c r="G1604" s="12" t="n">
        <v>499557</v>
      </c>
      <c r="H1604" s="6" t="n">
        <f>SUM(F1604,G1604)/2</f>
        <v>413440</v>
      </c>
    </row>
    <row r="1605" s="18" customFormat="1" ht="14.399999999999999" customHeight="1">
      <c r="A1605" s="10" t="s">
        <v>6367</v>
      </c>
      <c r="B1605" s="10" t="s">
        <v>6368</v>
      </c>
      <c r="C1605" s="13" t="n">
        <v>2459197</v>
      </c>
      <c r="D1605" s="13" t="n">
        <v>3928331</v>
      </c>
      <c r="E1605" s="6" t="n">
        <f>SUM(C1605,D1605)/2</f>
        <v>3193764</v>
      </c>
      <c r="F1605" s="12" t="n">
        <v>165339</v>
      </c>
      <c r="G1605" s="12" t="n">
        <v>404360</v>
      </c>
      <c r="H1605" s="6" t="n">
        <f>SUM(F1605,G1605)/2</f>
        <v>284849.5</v>
      </c>
    </row>
    <row r="1606" s="18" customFormat="1" ht="14.399999999999999" customHeight="1">
      <c r="A1606" s="10" t="s">
        <v>6369</v>
      </c>
      <c r="B1606" s="10" t="s">
        <v>6370</v>
      </c>
      <c r="C1606" s="13" t="n">
        <v>18776</v>
      </c>
      <c r="D1606" s="13" t="n">
        <v>29992</v>
      </c>
      <c r="E1606" s="6" t="n">
        <f>SUM(C1606,D1606)/2</f>
        <v>24384</v>
      </c>
      <c r="F1606" s="12" t="n">
        <v>16972</v>
      </c>
      <c r="G1606" s="12" t="n">
        <v>23805</v>
      </c>
      <c r="H1606" s="6" t="n">
        <f>SUM(F1606,G1606)/2</f>
        <v>20388.5</v>
      </c>
    </row>
    <row r="1607" s="18" customFormat="1" ht="14.399999999999999" customHeight="1">
      <c r="A1607" s="10" t="s">
        <v>6371</v>
      </c>
      <c r="B1607" s="10" t="s">
        <v>6372</v>
      </c>
      <c r="C1607" s="13" t="n">
        <v>32159</v>
      </c>
      <c r="D1607" s="13" t="n">
        <v>51371</v>
      </c>
      <c r="E1607" s="6" t="n">
        <f>SUM(C1607,D1607)/2</f>
        <v>41765</v>
      </c>
      <c r="F1607" s="12" t="n">
        <v>5315</v>
      </c>
      <c r="G1607" s="12" t="n">
        <v>8044</v>
      </c>
      <c r="H1607" s="6" t="n">
        <f>SUM(F1607,G1607)/2</f>
        <v>6679.5</v>
      </c>
    </row>
    <row r="1608" s="18" customFormat="1" ht="14.399999999999999" customHeight="1">
      <c r="A1608" s="10" t="s">
        <v>6373</v>
      </c>
      <c r="B1608" s="10" t="s">
        <v>6374</v>
      </c>
      <c r="C1608" s="13" t="n">
        <v>20472</v>
      </c>
      <c r="D1608" s="13" t="n">
        <v>32706</v>
      </c>
      <c r="E1608" s="6" t="n">
        <f>SUM(C1608,D1608)/2</f>
        <v>26589</v>
      </c>
      <c r="F1608" s="12" t="n">
        <v>8124</v>
      </c>
      <c r="G1608" s="12" t="n">
        <v>11726</v>
      </c>
      <c r="H1608" s="6" t="n">
        <f>SUM(F1608,G1608)/2</f>
        <v>9925</v>
      </c>
    </row>
    <row r="1609" s="18" customFormat="1" ht="14.399999999999999" customHeight="1">
      <c r="A1609" s="10" t="s">
        <v>6375</v>
      </c>
      <c r="B1609" s="10" t="s">
        <v>6376</v>
      </c>
      <c r="C1609" s="13" t="n">
        <v>215926</v>
      </c>
      <c r="D1609" s="13" t="n">
        <v>344920</v>
      </c>
      <c r="E1609" s="6" t="n">
        <f>SUM(C1609,D1609)/2</f>
        <v>280423</v>
      </c>
      <c r="F1609" s="12" t="n">
        <v>28195</v>
      </c>
      <c r="G1609" s="12" t="n">
        <v>41377</v>
      </c>
      <c r="H1609" s="6" t="n">
        <f>SUM(F1609,G1609)/2</f>
        <v>34786</v>
      </c>
    </row>
    <row r="1610" s="18" customFormat="1" ht="14.399999999999999" customHeight="1">
      <c r="A1610" s="10" t="s">
        <v>6377</v>
      </c>
      <c r="B1610" s="10" t="s">
        <v>6378</v>
      </c>
      <c r="C1610" s="13" t="n">
        <v>98154</v>
      </c>
      <c r="D1610" s="13" t="n">
        <v>156792</v>
      </c>
      <c r="E1610" s="6" t="n">
        <f>SUM(C1610,D1610)/2</f>
        <v>127473</v>
      </c>
      <c r="F1610" s="12" t="n">
        <v>12642</v>
      </c>
      <c r="G1610" s="12" t="n">
        <v>20567</v>
      </c>
      <c r="H1610" s="6" t="n">
        <f>SUM(F1610,G1610)/2</f>
        <v>16604.5</v>
      </c>
    </row>
    <row r="1611" s="18" customFormat="1" ht="14.399999999999999" customHeight="1">
      <c r="A1611" s="10" t="s">
        <v>5518</v>
      </c>
      <c r="B1611" s="10" t="s">
        <v>5519</v>
      </c>
      <c r="C1611" s="10" t="n">
        <v>394</v>
      </c>
      <c r="D1611" s="10" t="n">
        <v>630</v>
      </c>
      <c r="E1611" s="6" t="n">
        <f>SUM(C1611,D1611)/2</f>
        <v>512</v>
      </c>
      <c r="F1611" s="18" t="n">
        <v>0</v>
      </c>
      <c r="G1611" s="18" t="n">
        <v>0</v>
      </c>
      <c r="H1611" s="6" t="n">
        <f>SUM(F1611,G1611)/2</f>
        <v>0</v>
      </c>
    </row>
    <row r="1612" s="18" customFormat="1" ht="14.399999999999999" customHeight="1">
      <c r="A1612" s="10" t="s">
        <v>5241</v>
      </c>
      <c r="B1612" s="10" t="s">
        <v>5242</v>
      </c>
      <c r="C1612" s="13" t="n">
        <v>4658</v>
      </c>
      <c r="D1612" s="13" t="n">
        <v>7440</v>
      </c>
      <c r="E1612" s="6" t="n">
        <f>SUM(C1612,D1612)/2</f>
        <v>6049</v>
      </c>
      <c r="F1612" s="18" t="n">
        <v>837</v>
      </c>
      <c r="G1612" s="12" t="n">
        <v>1665</v>
      </c>
      <c r="H1612" s="6" t="n">
        <f>SUM(F1612,G1612)/2</f>
        <v>1251</v>
      </c>
    </row>
    <row r="1613" s="18" customFormat="1" ht="14.399999999999999" customHeight="1">
      <c r="A1613" s="10" t="s">
        <v>3623</v>
      </c>
      <c r="B1613" s="10" t="s">
        <v>3624</v>
      </c>
      <c r="C1613" s="13" t="n">
        <v>43561</v>
      </c>
      <c r="D1613" s="13" t="n">
        <v>69587</v>
      </c>
      <c r="E1613" s="6" t="n">
        <f>SUM(C1613,D1613)/2</f>
        <v>56574</v>
      </c>
      <c r="F1613" s="12" t="n">
        <v>20391</v>
      </c>
      <c r="G1613" s="12" t="n">
        <v>28865</v>
      </c>
      <c r="H1613" s="6" t="n">
        <f>SUM(F1613,G1613)/2</f>
        <v>24628</v>
      </c>
    </row>
    <row r="1614" s="18" customFormat="1" ht="14.399999999999999" customHeight="1">
      <c r="A1614" s="10" t="s">
        <v>1083</v>
      </c>
      <c r="B1614" s="10" t="s">
        <v>1084</v>
      </c>
      <c r="C1614" s="13" t="n">
        <v>340795</v>
      </c>
      <c r="D1614" s="13" t="n">
        <v>544389</v>
      </c>
      <c r="E1614" s="6" t="n">
        <f>SUM(C1614,D1614)/2</f>
        <v>442592</v>
      </c>
      <c r="F1614" s="12" t="n">
        <v>86389</v>
      </c>
      <c r="G1614" s="12" t="n">
        <v>130731</v>
      </c>
      <c r="H1614" s="6" t="n">
        <f>SUM(F1614,G1614)/2</f>
        <v>108560</v>
      </c>
    </row>
    <row r="1615" s="18" customFormat="1" ht="14.399999999999999" customHeight="1">
      <c r="A1615" s="10" t="s">
        <v>1689</v>
      </c>
      <c r="B1615" s="10" t="s">
        <v>1690</v>
      </c>
      <c r="C1615" s="10" t="n">
        <v>27</v>
      </c>
      <c r="D1615" s="10" t="n">
        <v>43</v>
      </c>
      <c r="E1615" s="6" t="n">
        <f>SUM(C1615,D1615)/2</f>
        <v>35</v>
      </c>
      <c r="F1615" s="18" t="n">
        <v>26</v>
      </c>
      <c r="G1615" s="18" t="n">
        <v>30</v>
      </c>
      <c r="H1615" s="6" t="n">
        <f>SUM(F1615,G1615)/2</f>
        <v>28</v>
      </c>
    </row>
    <row r="1616" s="18" customFormat="1" ht="14.399999999999999" customHeight="1">
      <c r="A1616" s="10" t="s">
        <v>855</v>
      </c>
      <c r="B1616" s="10" t="s">
        <v>856</v>
      </c>
      <c r="C1616" s="13" t="n">
        <v>1108318</v>
      </c>
      <c r="D1616" s="13" t="n">
        <v>1770428</v>
      </c>
      <c r="E1616" s="6" t="n">
        <f>SUM(C1616,D1616)/2</f>
        <v>1439373</v>
      </c>
      <c r="F1616" s="12" t="n">
        <v>128277</v>
      </c>
      <c r="G1616" s="12" t="n">
        <v>187406</v>
      </c>
      <c r="H1616" s="6" t="n">
        <f>SUM(F1616,G1616)/2</f>
        <v>157841.5</v>
      </c>
    </row>
    <row r="1617" s="18" customFormat="1" ht="14.399999999999999" customHeight="1">
      <c r="A1617" s="10" t="s">
        <v>2280</v>
      </c>
      <c r="B1617" s="10" t="s">
        <v>2281</v>
      </c>
      <c r="C1617" s="13" t="n">
        <v>289779</v>
      </c>
      <c r="D1617" s="13" t="n">
        <v>462893</v>
      </c>
      <c r="E1617" s="6" t="n">
        <f>SUM(C1617,D1617)/2</f>
        <v>376336</v>
      </c>
      <c r="F1617" s="12" t="n">
        <v>63234</v>
      </c>
      <c r="G1617" s="12" t="n">
        <v>78757</v>
      </c>
      <c r="H1617" s="6" t="n">
        <f>SUM(F1617,G1617)/2</f>
        <v>70995.5</v>
      </c>
    </row>
    <row r="1618" s="18" customFormat="1" ht="14.399999999999999" customHeight="1">
      <c r="A1618" s="10" t="s">
        <v>1061</v>
      </c>
      <c r="B1618" s="10" t="s">
        <v>1062</v>
      </c>
      <c r="C1618" s="13" t="n">
        <v>298715</v>
      </c>
      <c r="D1618" s="13" t="n">
        <v>477163</v>
      </c>
      <c r="E1618" s="6" t="n">
        <f>SUM(C1618,D1618)/2</f>
        <v>387939</v>
      </c>
      <c r="F1618" s="12" t="n">
        <v>137628</v>
      </c>
      <c r="G1618" s="12" t="n">
        <v>155819</v>
      </c>
      <c r="H1618" s="6" t="n">
        <f>SUM(F1618,G1618)/2</f>
        <v>146723.5</v>
      </c>
    </row>
    <row r="1619" s="18" customFormat="1" ht="14.399999999999999" customHeight="1">
      <c r="A1619" s="10" t="s">
        <v>4587</v>
      </c>
      <c r="B1619" s="10" t="s">
        <v>4588</v>
      </c>
      <c r="C1619" s="13" t="n">
        <v>22317</v>
      </c>
      <c r="D1619" s="13" t="n">
        <v>35651</v>
      </c>
      <c r="E1619" s="6" t="n">
        <f>SUM(C1619,D1619)/2</f>
        <v>28984</v>
      </c>
      <c r="F1619" s="12" t="n">
        <v>7311</v>
      </c>
      <c r="G1619" s="12" t="n">
        <v>9153</v>
      </c>
      <c r="H1619" s="6" t="n">
        <f>SUM(F1619,G1619)/2</f>
        <v>8232</v>
      </c>
    </row>
    <row r="1620" s="18" customFormat="1" ht="14.399999999999999" customHeight="1">
      <c r="A1620" s="10" t="s">
        <v>3297</v>
      </c>
      <c r="B1620" s="10" t="s">
        <v>3298</v>
      </c>
      <c r="C1620" s="13" t="n">
        <v>64564</v>
      </c>
      <c r="D1620" s="13" t="n">
        <v>103136</v>
      </c>
      <c r="E1620" s="6" t="n">
        <f>SUM(C1620,D1620)/2</f>
        <v>83850</v>
      </c>
      <c r="F1620" s="12" t="n">
        <v>28979</v>
      </c>
      <c r="G1620" s="12" t="n">
        <v>42781</v>
      </c>
      <c r="H1620" s="6" t="n">
        <f>SUM(F1620,G1620)/2</f>
        <v>35880</v>
      </c>
    </row>
    <row r="1621" s="18" customFormat="1" ht="14.399999999999999" customHeight="1">
      <c r="A1621" s="10" t="s">
        <v>1069</v>
      </c>
      <c r="B1621" s="10" t="s">
        <v>1070</v>
      </c>
      <c r="C1621" s="13" t="n">
        <v>211305</v>
      </c>
      <c r="D1621" s="13" t="n">
        <v>337542</v>
      </c>
      <c r="E1621" s="6" t="n">
        <f>SUM(C1621,D1621)/2</f>
        <v>274423.5</v>
      </c>
      <c r="F1621" s="12" t="n">
        <v>127734</v>
      </c>
      <c r="G1621" s="12" t="n">
        <v>185551</v>
      </c>
      <c r="H1621" s="6" t="n">
        <f>SUM(F1621,G1621)/2</f>
        <v>156642.5</v>
      </c>
    </row>
    <row r="1622" s="18" customFormat="1" ht="14.399999999999999" customHeight="1">
      <c r="A1622" s="10" t="s">
        <v>4355</v>
      </c>
      <c r="B1622" s="10" t="s">
        <v>4356</v>
      </c>
      <c r="C1622" s="13" t="n">
        <v>20703</v>
      </c>
      <c r="D1622" s="13" t="n">
        <v>33073</v>
      </c>
      <c r="E1622" s="6" t="n">
        <f>SUM(C1622,D1622)/2</f>
        <v>26888</v>
      </c>
      <c r="F1622" s="12" t="n">
        <v>9807</v>
      </c>
      <c r="G1622" s="12" t="n">
        <v>13518</v>
      </c>
      <c r="H1622" s="6" t="n">
        <f>SUM(F1622,G1622)/2</f>
        <v>11662.5</v>
      </c>
    </row>
    <row r="1623" s="18" customFormat="1" ht="14.399999999999999" customHeight="1">
      <c r="A1623" s="10" t="s">
        <v>5075</v>
      </c>
      <c r="B1623" s="10" t="s">
        <v>5076</v>
      </c>
      <c r="C1623" s="13" t="n">
        <v>12618</v>
      </c>
      <c r="D1623" s="13" t="n">
        <v>20156</v>
      </c>
      <c r="E1623" s="6" t="n">
        <f>SUM(C1623,D1623)/2</f>
        <v>16387</v>
      </c>
      <c r="F1623" s="12" t="n">
        <v>4235</v>
      </c>
      <c r="G1623" s="12" t="n">
        <v>6289</v>
      </c>
      <c r="H1623" s="6" t="n">
        <f>SUM(F1623,G1623)/2</f>
        <v>5262</v>
      </c>
    </row>
    <row r="1624" s="18" customFormat="1" ht="14.399999999999999" customHeight="1">
      <c r="A1624" s="10" t="s">
        <v>3469</v>
      </c>
      <c r="B1624" s="10" t="s">
        <v>3470</v>
      </c>
      <c r="C1624" s="13" t="n">
        <v>88654</v>
      </c>
      <c r="D1624" s="13" t="n">
        <v>141617</v>
      </c>
      <c r="E1624" s="6" t="n">
        <f>SUM(C1624,D1624)/2</f>
        <v>115135.5</v>
      </c>
      <c r="F1624" s="12" t="n">
        <v>15038</v>
      </c>
      <c r="G1624" s="12" t="n">
        <v>23766</v>
      </c>
      <c r="H1624" s="6" t="n">
        <f>SUM(F1624,G1624)/2</f>
        <v>19402</v>
      </c>
    </row>
    <row r="1625" s="18" customFormat="1" ht="14.399999999999999" customHeight="1">
      <c r="A1625" s="10" t="s">
        <v>4449</v>
      </c>
      <c r="B1625" s="10" t="s">
        <v>4450</v>
      </c>
      <c r="C1625" s="13" t="n">
        <v>27165</v>
      </c>
      <c r="D1625" s="13" t="n">
        <v>43395</v>
      </c>
      <c r="E1625" s="6" t="n">
        <f>SUM(C1625,D1625)/2</f>
        <v>35280</v>
      </c>
      <c r="F1625" s="12" t="n">
        <v>6707</v>
      </c>
      <c r="G1625" s="12" t="n">
        <v>10740</v>
      </c>
      <c r="H1625" s="6" t="n">
        <f>SUM(F1625,G1625)/2</f>
        <v>8723.5</v>
      </c>
    </row>
    <row r="1626" s="18" customFormat="1" ht="14.399999999999999" customHeight="1">
      <c r="A1626" s="10" t="s">
        <v>843</v>
      </c>
      <c r="B1626" s="10" t="s">
        <v>844</v>
      </c>
      <c r="C1626" s="13" t="n">
        <v>819060</v>
      </c>
      <c r="D1626" s="13" t="n">
        <v>1308368</v>
      </c>
      <c r="E1626" s="6" t="n">
        <f>SUM(C1626,D1626)/2</f>
        <v>1063714</v>
      </c>
      <c r="F1626" s="12" t="n">
        <v>209695</v>
      </c>
      <c r="G1626" s="12" t="n">
        <v>328830</v>
      </c>
      <c r="H1626" s="6" t="n">
        <f>SUM(F1626,G1626)/2</f>
        <v>269262.5</v>
      </c>
    </row>
    <row r="1627" s="18" customFormat="1" ht="14.399999999999999" customHeight="1">
      <c r="A1627" s="10" t="s">
        <v>6379</v>
      </c>
      <c r="B1627" s="10" t="s">
        <v>6380</v>
      </c>
      <c r="C1627" s="10"/>
      <c r="D1627" s="10"/>
      <c r="E1627" s="6" t="n">
        <f>SUM(C1627,D1627)/2</f>
        <v>0</v>
      </c>
      <c r="F1627" s="12" t="n">
        <v>1353526</v>
      </c>
      <c r="G1627" s="12" t="n">
        <v>1640554</v>
      </c>
      <c r="H1627" s="6" t="n">
        <f>SUM(F1627,G1627)/2</f>
        <v>1497040</v>
      </c>
    </row>
    <row r="1628" s="18" customFormat="1" ht="14.399999999999999" customHeight="1">
      <c r="A1628" s="10" t="s">
        <v>6381</v>
      </c>
      <c r="B1628" s="10" t="s">
        <v>6382</v>
      </c>
      <c r="C1628" s="13" t="n">
        <v>299702</v>
      </c>
      <c r="D1628" s="13" t="n">
        <v>478746</v>
      </c>
      <c r="E1628" s="6" t="n">
        <f>SUM(C1628,D1628)/2</f>
        <v>389224</v>
      </c>
      <c r="F1628" s="12" t="n">
        <v>272043</v>
      </c>
      <c r="G1628" s="12" t="n">
        <v>357035</v>
      </c>
      <c r="H1628" s="6" t="n">
        <f>SUM(F1628,G1628)/2</f>
        <v>314539</v>
      </c>
    </row>
    <row r="1629" s="18" customFormat="1" ht="14.399999999999999" customHeight="1">
      <c r="A1629" s="10" t="s">
        <v>1865</v>
      </c>
      <c r="B1629" s="10" t="s">
        <v>1866</v>
      </c>
      <c r="C1629" s="10" t="n">
        <v>34</v>
      </c>
      <c r="D1629" s="10" t="n">
        <v>52</v>
      </c>
      <c r="E1629" s="6" t="n">
        <f>SUM(C1629,D1629)/2</f>
        <v>43</v>
      </c>
      <c r="F1629" s="18" t="n">
        <v>4</v>
      </c>
      <c r="G1629" s="18" t="n">
        <v>16</v>
      </c>
      <c r="H1629" s="6" t="n">
        <f>SUM(F1629,G1629)/2</f>
        <v>10</v>
      </c>
    </row>
    <row r="1630" s="18" customFormat="1" ht="14.399999999999999" customHeight="1">
      <c r="A1630" s="10" t="s">
        <v>2340</v>
      </c>
      <c r="B1630" s="10" t="s">
        <v>2341</v>
      </c>
      <c r="C1630" s="10" t="n">
        <v>11</v>
      </c>
      <c r="D1630" s="10" t="n">
        <v>19</v>
      </c>
      <c r="E1630" s="6" t="n">
        <f>SUM(C1630,D1630)/2</f>
        <v>15</v>
      </c>
      <c r="F1630" s="18" t="n">
        <v>2</v>
      </c>
      <c r="G1630" s="18" t="n">
        <v>2</v>
      </c>
      <c r="H1630" s="6" t="n">
        <f>SUM(F1630,G1630)/2</f>
        <v>2</v>
      </c>
    </row>
    <row r="1631" s="18" customFormat="1" ht="14.399999999999999" customHeight="1">
      <c r="A1631" s="10" t="s">
        <v>2356</v>
      </c>
      <c r="B1631" s="10" t="s">
        <v>2357</v>
      </c>
      <c r="C1631" s="10" t="n">
        <v>0</v>
      </c>
      <c r="D1631" s="10" t="n">
        <v>0</v>
      </c>
      <c r="E1631" s="6" t="n">
        <f>SUM(C1631,D1631)/2</f>
        <v>0</v>
      </c>
      <c r="F1631" s="18" t="n">
        <v>4</v>
      </c>
      <c r="G1631" s="18" t="n">
        <v>6</v>
      </c>
      <c r="H1631" s="6" t="n">
        <f>SUM(F1631,G1631)/2</f>
        <v>5</v>
      </c>
    </row>
    <row r="1632" s="18" customFormat="1" ht="14.399999999999999" customHeight="1">
      <c r="A1632" s="10" t="s">
        <v>2136</v>
      </c>
      <c r="B1632" s="10" t="s">
        <v>2137</v>
      </c>
      <c r="C1632" s="13" t="n">
        <v>135674</v>
      </c>
      <c r="D1632" s="13" t="n">
        <v>216726</v>
      </c>
      <c r="E1632" s="6" t="n">
        <f>SUM(C1632,D1632)/2</f>
        <v>176200</v>
      </c>
      <c r="F1632" s="12" t="n">
        <v>45412</v>
      </c>
      <c r="G1632" s="12" t="n">
        <v>69587</v>
      </c>
      <c r="H1632" s="6" t="n">
        <f>SUM(F1632,G1632)/2</f>
        <v>57499.5</v>
      </c>
    </row>
    <row r="1633" s="18" customFormat="1" ht="14.399999999999999" customHeight="1">
      <c r="A1633" s="10" t="s">
        <v>2584</v>
      </c>
      <c r="B1633" s="10" t="s">
        <v>2585</v>
      </c>
      <c r="C1633" s="10" t="n">
        <v>0</v>
      </c>
      <c r="D1633" s="10" t="n">
        <v>0</v>
      </c>
      <c r="E1633" s="6" t="n">
        <f>SUM(C1633,D1633)/2</f>
        <v>0</v>
      </c>
      <c r="F1633" s="18" t="n">
        <v>2</v>
      </c>
      <c r="G1633" s="18" t="n">
        <v>2</v>
      </c>
      <c r="H1633" s="6" t="n">
        <f>SUM(F1633,G1633)/2</f>
        <v>2</v>
      </c>
    </row>
    <row r="1634" s="18" customFormat="1" ht="14.399999999999999" customHeight="1">
      <c r="A1634" s="10" t="s">
        <v>478</v>
      </c>
      <c r="B1634" s="10" t="s">
        <v>479</v>
      </c>
      <c r="C1634" s="13" t="n">
        <v>1007</v>
      </c>
      <c r="D1634" s="13" t="n">
        <v>1611</v>
      </c>
      <c r="E1634" s="6" t="n">
        <f>SUM(C1634,D1634)/2</f>
        <v>1309</v>
      </c>
      <c r="F1634" s="18" t="n">
        <v>148</v>
      </c>
      <c r="G1634" s="18" t="n">
        <v>213</v>
      </c>
      <c r="H1634" s="6" t="n">
        <f>SUM(F1634,G1634)/2</f>
        <v>180.5</v>
      </c>
    </row>
    <row r="1635" s="18" customFormat="1" ht="14.399999999999999" customHeight="1">
      <c r="A1635" s="10" t="s">
        <v>4885</v>
      </c>
      <c r="B1635" s="10" t="s">
        <v>4886</v>
      </c>
      <c r="C1635" s="13" t="n">
        <v>18206</v>
      </c>
      <c r="D1635" s="13" t="n">
        <v>29080</v>
      </c>
      <c r="E1635" s="6" t="n">
        <f>SUM(C1635,D1635)/2</f>
        <v>23643</v>
      </c>
      <c r="F1635" s="12" t="n">
        <v>4934</v>
      </c>
      <c r="G1635" s="12" t="n">
        <v>6989</v>
      </c>
      <c r="H1635" s="6" t="n">
        <f>SUM(F1635,G1635)/2</f>
        <v>5961.5</v>
      </c>
    </row>
    <row r="1636" s="18" customFormat="1" ht="14.399999999999999" customHeight="1">
      <c r="A1636" s="10" t="s">
        <v>3103</v>
      </c>
      <c r="B1636" s="10" t="s">
        <v>3104</v>
      </c>
      <c r="C1636" s="13" t="n">
        <v>366149</v>
      </c>
      <c r="D1636" s="13" t="n">
        <v>584889</v>
      </c>
      <c r="E1636" s="6" t="n">
        <f>SUM(C1636,D1636)/2</f>
        <v>475519</v>
      </c>
      <c r="F1636" s="12" t="n">
        <v>5651</v>
      </c>
      <c r="G1636" s="12" t="n">
        <v>9484</v>
      </c>
      <c r="H1636" s="6" t="n">
        <f>SUM(F1636,G1636)/2</f>
        <v>7567.5</v>
      </c>
    </row>
    <row r="1637" s="18" customFormat="1" ht="14.399999999999999" customHeight="1">
      <c r="A1637" s="10" t="s">
        <v>3119</v>
      </c>
      <c r="B1637" s="10" t="s">
        <v>3120</v>
      </c>
      <c r="C1637" s="13" t="n">
        <v>90285</v>
      </c>
      <c r="D1637" s="13" t="n">
        <v>144222</v>
      </c>
      <c r="E1637" s="6" t="n">
        <f>SUM(C1637,D1637)/2</f>
        <v>117253.5</v>
      </c>
      <c r="F1637" s="12" t="n">
        <v>55283</v>
      </c>
      <c r="G1637" s="12" t="n">
        <v>66724</v>
      </c>
      <c r="H1637" s="6" t="n">
        <f>SUM(F1637,G1637)/2</f>
        <v>61003.5</v>
      </c>
    </row>
    <row r="1638" s="18" customFormat="1" ht="14.399999999999999" customHeight="1">
      <c r="A1638" s="10" t="s">
        <v>2224</v>
      </c>
      <c r="B1638" s="10" t="s">
        <v>2225</v>
      </c>
      <c r="C1638" s="10" t="n">
        <v>187</v>
      </c>
      <c r="D1638" s="10" t="n">
        <v>299</v>
      </c>
      <c r="E1638" s="6" t="n">
        <f>SUM(C1638,D1638)/2</f>
        <v>243</v>
      </c>
      <c r="F1638" s="18" t="n">
        <v>21</v>
      </c>
      <c r="G1638" s="18" t="n">
        <v>30</v>
      </c>
      <c r="H1638" s="6" t="n">
        <f>SUM(F1638,G1638)/2</f>
        <v>25.5</v>
      </c>
    </row>
    <row r="1639" s="18" customFormat="1" ht="14.399999999999999" customHeight="1">
      <c r="A1639" s="10" t="s">
        <v>3435</v>
      </c>
      <c r="B1639" s="10" t="s">
        <v>3436</v>
      </c>
      <c r="C1639" s="13" t="n">
        <v>27970</v>
      </c>
      <c r="D1639" s="13" t="n">
        <v>44680</v>
      </c>
      <c r="E1639" s="6" t="n">
        <f>SUM(C1639,D1639)/2</f>
        <v>36325</v>
      </c>
      <c r="F1639" s="12" t="n">
        <v>34817</v>
      </c>
      <c r="G1639" s="12" t="n">
        <v>39837</v>
      </c>
      <c r="H1639" s="6" t="n">
        <f>SUM(F1639,G1639)/2</f>
        <v>37327</v>
      </c>
    </row>
    <row r="1640" s="18" customFormat="1" ht="14.399999999999999" customHeight="1">
      <c r="A1640" s="10" t="s">
        <v>1875</v>
      </c>
      <c r="B1640" s="10" t="s">
        <v>1876</v>
      </c>
      <c r="C1640" s="10" t="n">
        <v>26</v>
      </c>
      <c r="D1640" s="10" t="n">
        <v>44</v>
      </c>
      <c r="E1640" s="6" t="n">
        <f>SUM(C1640,D1640)/2</f>
        <v>35</v>
      </c>
      <c r="F1640" s="18" t="n">
        <v>10</v>
      </c>
      <c r="G1640" s="18" t="n">
        <v>12</v>
      </c>
      <c r="H1640" s="6" t="n">
        <f>SUM(F1640,G1640)/2</f>
        <v>11</v>
      </c>
    </row>
    <row r="1641" s="18" customFormat="1" ht="14.399999999999999" customHeight="1">
      <c r="A1641" s="10" t="s">
        <v>6383</v>
      </c>
      <c r="B1641" s="10" t="s">
        <v>6384</v>
      </c>
      <c r="C1641" s="10" t="n">
        <v>0</v>
      </c>
      <c r="D1641" s="10" t="n">
        <v>0</v>
      </c>
      <c r="E1641" s="6" t="n">
        <f>SUM(C1641,D1641)/2</f>
        <v>0</v>
      </c>
      <c r="F1641" s="18" t="n">
        <v>0</v>
      </c>
      <c r="G1641" s="18" t="n">
        <v>0</v>
      </c>
      <c r="H1641" s="6" t="n">
        <f>SUM(F1641,G1641)/2</f>
        <v>0</v>
      </c>
    </row>
    <row r="1642" s="18" customFormat="1" ht="14.399999999999999" customHeight="1">
      <c r="A1642" s="10" t="s">
        <v>2122</v>
      </c>
      <c r="B1642" s="10" t="s">
        <v>2123</v>
      </c>
      <c r="C1642" s="10" t="n">
        <v>15</v>
      </c>
      <c r="D1642" s="10" t="n">
        <v>23</v>
      </c>
      <c r="E1642" s="6" t="n">
        <f>SUM(C1642,D1642)/2</f>
        <v>19</v>
      </c>
      <c r="F1642" s="18" t="n">
        <v>4</v>
      </c>
      <c r="G1642" s="18" t="n">
        <v>5</v>
      </c>
      <c r="H1642" s="6" t="n">
        <f>SUM(F1642,G1642)/2</f>
        <v>4.5</v>
      </c>
    </row>
    <row r="1643" s="18" customFormat="1" ht="14.399999999999999" customHeight="1">
      <c r="A1643" s="10" t="s">
        <v>2927</v>
      </c>
      <c r="B1643" s="10" t="s">
        <v>2928</v>
      </c>
      <c r="C1643" s="10" t="n">
        <v>0</v>
      </c>
      <c r="D1643" s="10" t="n">
        <v>0</v>
      </c>
      <c r="E1643" s="6" t="n">
        <f>SUM(C1643,D1643)/2</f>
        <v>0</v>
      </c>
      <c r="F1643" s="18" t="n">
        <v>0</v>
      </c>
      <c r="G1643" s="18" t="n">
        <v>0</v>
      </c>
      <c r="H1643" s="6" t="n">
        <f>SUM(F1643,G1643)/2</f>
        <v>0</v>
      </c>
    </row>
    <row r="1644" s="18" customFormat="1" ht="14.399999999999999" customHeight="1">
      <c r="A1644" s="10" t="s">
        <v>1176</v>
      </c>
      <c r="B1644" s="10" t="s">
        <v>1177</v>
      </c>
      <c r="C1644" s="13" t="n">
        <v>64386</v>
      </c>
      <c r="D1644" s="13" t="n">
        <v>102848</v>
      </c>
      <c r="E1644" s="6" t="n">
        <f>SUM(C1644,D1644)/2</f>
        <v>83617</v>
      </c>
      <c r="F1644" s="12" t="n">
        <v>70325</v>
      </c>
      <c r="G1644" s="12" t="n">
        <v>117637</v>
      </c>
      <c r="H1644" s="6" t="n">
        <f>SUM(F1644,G1644)/2</f>
        <v>93981</v>
      </c>
    </row>
    <row r="1645" s="18" customFormat="1" ht="14.399999999999999" customHeight="1">
      <c r="A1645" s="10" t="s">
        <v>3587</v>
      </c>
      <c r="B1645" s="10" t="s">
        <v>3588</v>
      </c>
      <c r="C1645" s="13" t="n">
        <v>68827</v>
      </c>
      <c r="D1645" s="13" t="n">
        <v>109946</v>
      </c>
      <c r="E1645" s="6" t="n">
        <f>SUM(C1645,D1645)/2</f>
        <v>89386.5</v>
      </c>
      <c r="F1645" s="12" t="n">
        <v>15790</v>
      </c>
      <c r="G1645" s="12" t="n">
        <v>22692</v>
      </c>
      <c r="H1645" s="6" t="n">
        <f>SUM(F1645,G1645)/2</f>
        <v>19241</v>
      </c>
    </row>
    <row r="1646" s="18" customFormat="1" ht="14.399999999999999" customHeight="1">
      <c r="A1646" s="10" t="s">
        <v>5440</v>
      </c>
      <c r="B1646" s="10" t="s">
        <v>5441</v>
      </c>
      <c r="C1646" s="13" t="n">
        <v>175107</v>
      </c>
      <c r="D1646" s="13" t="n">
        <v>279713</v>
      </c>
      <c r="E1646" s="6" t="n">
        <f>SUM(C1646,D1646)/2</f>
        <v>227410</v>
      </c>
      <c r="F1646" s="12" t="n">
        <v>46282</v>
      </c>
      <c r="G1646" s="12" t="n">
        <v>67551</v>
      </c>
      <c r="H1646" s="6" t="n">
        <f>SUM(F1646,G1646)/2</f>
        <v>56916.5</v>
      </c>
    </row>
    <row r="1647" s="18" customFormat="1" ht="14.399999999999999" customHeight="1">
      <c r="A1647" s="10" t="s">
        <v>2108</v>
      </c>
      <c r="B1647" s="10" t="s">
        <v>2109</v>
      </c>
      <c r="C1647" s="10" t="n">
        <v>1</v>
      </c>
      <c r="D1647" s="10" t="n">
        <v>1</v>
      </c>
      <c r="E1647" s="6" t="n">
        <f>SUM(C1647,D1647)/2</f>
        <v>1</v>
      </c>
      <c r="F1647" s="18" t="n">
        <v>7</v>
      </c>
      <c r="G1647" s="18" t="n">
        <v>11</v>
      </c>
      <c r="H1647" s="6" t="n">
        <f>SUM(F1647,G1647)/2</f>
        <v>9</v>
      </c>
    </row>
    <row r="1648" s="18" customFormat="1" ht="14.399999999999999" customHeight="1">
      <c r="A1648" s="10" t="s">
        <v>2803</v>
      </c>
      <c r="B1648" s="10" t="s">
        <v>2804</v>
      </c>
      <c r="C1648" s="10" t="n">
        <v>1</v>
      </c>
      <c r="D1648" s="10" t="n">
        <v>1</v>
      </c>
      <c r="E1648" s="6" t="n">
        <f>SUM(C1648,D1648)/2</f>
        <v>1</v>
      </c>
      <c r="F1648" s="18" t="n">
        <v>0</v>
      </c>
      <c r="G1648" s="18" t="n">
        <v>0</v>
      </c>
      <c r="H1648" s="6" t="n">
        <f>SUM(F1648,G1648)/2</f>
        <v>0</v>
      </c>
    </row>
    <row r="1649" s="18" customFormat="1" ht="14.399999999999999" customHeight="1">
      <c r="A1649" s="10" t="s">
        <v>3879</v>
      </c>
      <c r="B1649" s="10" t="s">
        <v>3880</v>
      </c>
      <c r="C1649" s="13" t="n">
        <v>55250</v>
      </c>
      <c r="D1649" s="13" t="n">
        <v>88256</v>
      </c>
      <c r="E1649" s="6" t="n">
        <f>SUM(C1649,D1649)/2</f>
        <v>71753</v>
      </c>
      <c r="F1649" s="12" t="n">
        <v>9938</v>
      </c>
      <c r="G1649" s="12" t="n">
        <v>14800</v>
      </c>
      <c r="H1649" s="6" t="n">
        <f>SUM(F1649,G1649)/2</f>
        <v>12369</v>
      </c>
    </row>
    <row r="1650" s="18" customFormat="1" ht="14.399999999999999" customHeight="1">
      <c r="A1650" s="10" t="s">
        <v>6385</v>
      </c>
      <c r="B1650" s="10" t="s">
        <v>6386</v>
      </c>
      <c r="C1650" s="13" t="n">
        <v>11133</v>
      </c>
      <c r="D1650" s="13" t="n">
        <v>17783</v>
      </c>
      <c r="E1650" s="6" t="n">
        <f>SUM(C1650,D1650)/2</f>
        <v>14458</v>
      </c>
      <c r="F1650" s="12" t="n">
        <v>6460</v>
      </c>
      <c r="G1650" s="12" t="n">
        <v>8820</v>
      </c>
      <c r="H1650" s="6" t="n">
        <f>SUM(F1650,G1650)/2</f>
        <v>7640</v>
      </c>
    </row>
    <row r="1651" s="18" customFormat="1" ht="14.399999999999999" customHeight="1">
      <c r="A1651" s="10" t="s">
        <v>6387</v>
      </c>
      <c r="B1651" s="10" t="s">
        <v>6388</v>
      </c>
      <c r="C1651" s="13" t="n">
        <v>6087</v>
      </c>
      <c r="D1651" s="13" t="n">
        <v>9721</v>
      </c>
      <c r="E1651" s="6" t="n">
        <f>SUM(C1651,D1651)/2</f>
        <v>7904</v>
      </c>
      <c r="F1651" s="12" t="n">
        <v>4969</v>
      </c>
      <c r="G1651" s="12" t="n">
        <v>7321</v>
      </c>
      <c r="H1651" s="6" t="n">
        <f>SUM(F1651,G1651)/2</f>
        <v>6145</v>
      </c>
    </row>
    <row r="1652" s="18" customFormat="1" ht="14.399999999999999" customHeight="1">
      <c r="A1652" s="10" t="s">
        <v>772</v>
      </c>
      <c r="B1652" s="10" t="s">
        <v>773</v>
      </c>
      <c r="C1652" s="13" t="n">
        <v>236814</v>
      </c>
      <c r="D1652" s="13" t="n">
        <v>378288</v>
      </c>
      <c r="E1652" s="6" t="n">
        <f>SUM(C1652,D1652)/2</f>
        <v>307551</v>
      </c>
      <c r="F1652" s="12" t="n">
        <v>422833</v>
      </c>
      <c r="G1652" s="12" t="n">
        <v>844650</v>
      </c>
      <c r="H1652" s="6" t="n">
        <f>SUM(F1652,G1652)/2</f>
        <v>633741.5</v>
      </c>
    </row>
    <row r="1653" s="18" customFormat="1" ht="14.399999999999999" customHeight="1">
      <c r="A1653" s="10" t="s">
        <v>3051</v>
      </c>
      <c r="B1653" s="10" t="s">
        <v>3052</v>
      </c>
      <c r="C1653" s="13" t="n">
        <v>204099</v>
      </c>
      <c r="D1653" s="13" t="n">
        <v>326027</v>
      </c>
      <c r="E1653" s="6" t="n">
        <f>SUM(C1653,D1653)/2</f>
        <v>265063</v>
      </c>
      <c r="F1653" s="12" t="n">
        <v>11632</v>
      </c>
      <c r="G1653" s="12" t="n">
        <v>17820</v>
      </c>
      <c r="H1653" s="6" t="n">
        <f>SUM(F1653,G1653)/2</f>
        <v>14726</v>
      </c>
    </row>
    <row r="1654" s="18" customFormat="1" ht="14.399999999999999" customHeight="1">
      <c r="A1654" s="10" t="s">
        <v>2692</v>
      </c>
      <c r="B1654" s="10" t="s">
        <v>2693</v>
      </c>
      <c r="C1654" s="10" t="n">
        <v>0</v>
      </c>
      <c r="D1654" s="10" t="n">
        <v>0</v>
      </c>
      <c r="E1654" s="6" t="n">
        <f>SUM(C1654,D1654)/2</f>
        <v>0</v>
      </c>
      <c r="F1654" s="18" t="n">
        <v>1</v>
      </c>
      <c r="G1654" s="18" t="n">
        <v>1</v>
      </c>
      <c r="H1654" s="6" t="n">
        <f>SUM(F1654,G1654)/2</f>
        <v>1</v>
      </c>
    </row>
    <row r="1655" s="18" customFormat="1" ht="14.399999999999999" customHeight="1">
      <c r="A1655" s="10" t="s">
        <v>3423</v>
      </c>
      <c r="B1655" s="10" t="s">
        <v>3424</v>
      </c>
      <c r="C1655" s="13" t="n">
        <v>58849</v>
      </c>
      <c r="D1655" s="13" t="n">
        <v>94003</v>
      </c>
      <c r="E1655" s="6" t="n">
        <f>SUM(C1655,D1655)/2</f>
        <v>76426</v>
      </c>
      <c r="F1655" s="12" t="n">
        <v>26605</v>
      </c>
      <c r="G1655" s="12" t="n">
        <v>32641</v>
      </c>
      <c r="H1655" s="6" t="n">
        <f>SUM(F1655,G1655)/2</f>
        <v>29623</v>
      </c>
    </row>
    <row r="1656" s="18" customFormat="1" ht="14.399999999999999" customHeight="1">
      <c r="A1656" s="10" t="s">
        <v>3231</v>
      </c>
      <c r="B1656" s="10" t="s">
        <v>3232</v>
      </c>
      <c r="C1656" s="13" t="n">
        <v>99216</v>
      </c>
      <c r="D1656" s="13" t="n">
        <v>158488</v>
      </c>
      <c r="E1656" s="6" t="n">
        <f>SUM(C1656,D1656)/2</f>
        <v>128852</v>
      </c>
      <c r="F1656" s="12" t="n">
        <v>24676</v>
      </c>
      <c r="G1656" s="12" t="n">
        <v>36417</v>
      </c>
      <c r="H1656" s="6" t="n">
        <f>SUM(F1656,G1656)/2</f>
        <v>30546.5</v>
      </c>
    </row>
    <row r="1657" s="18" customFormat="1" ht="14.399999999999999" customHeight="1">
      <c r="A1657" s="10" t="s">
        <v>6389</v>
      </c>
      <c r="B1657" s="10" t="s">
        <v>6390</v>
      </c>
      <c r="C1657" s="13" t="n">
        <v>39237</v>
      </c>
      <c r="D1657" s="13" t="n">
        <v>62679</v>
      </c>
      <c r="E1657" s="6" t="n">
        <f>SUM(C1657,D1657)/2</f>
        <v>50958</v>
      </c>
      <c r="F1657" s="12" t="n">
        <v>7536</v>
      </c>
      <c r="G1657" s="12" t="n">
        <v>9551</v>
      </c>
      <c r="H1657" s="6" t="n">
        <f>SUM(F1657,G1657)/2</f>
        <v>8543.5</v>
      </c>
    </row>
    <row r="1658" s="18" customFormat="1" ht="14.399999999999999" customHeight="1">
      <c r="A1658" s="10" t="s">
        <v>6391</v>
      </c>
      <c r="B1658" s="10" t="s">
        <v>6392</v>
      </c>
      <c r="C1658" s="13" t="n">
        <v>7495</v>
      </c>
      <c r="D1658" s="13" t="n">
        <v>11971</v>
      </c>
      <c r="E1658" s="6" t="n">
        <f>SUM(C1658,D1658)/2</f>
        <v>9733</v>
      </c>
      <c r="F1658" s="12" t="n">
        <v>4314</v>
      </c>
      <c r="G1658" s="12" t="n">
        <v>6719</v>
      </c>
      <c r="H1658" s="6" t="n">
        <f>SUM(F1658,G1658)/2</f>
        <v>5516.5</v>
      </c>
    </row>
    <row r="1659" s="18" customFormat="1" ht="14.399999999999999" customHeight="1">
      <c r="A1659" s="10" t="s">
        <v>4489</v>
      </c>
      <c r="B1659" s="10" t="s">
        <v>4490</v>
      </c>
      <c r="C1659" s="13" t="n">
        <v>31812</v>
      </c>
      <c r="D1659" s="13" t="n">
        <v>50820</v>
      </c>
      <c r="E1659" s="6" t="n">
        <f>SUM(C1659,D1659)/2</f>
        <v>41316</v>
      </c>
      <c r="F1659" s="12" t="n">
        <v>5452</v>
      </c>
      <c r="G1659" s="12" t="n">
        <v>8043</v>
      </c>
      <c r="H1659" s="6" t="n">
        <f>SUM(F1659,G1659)/2</f>
        <v>6747.5</v>
      </c>
    </row>
    <row r="1660" s="18" customFormat="1" ht="14.399999999999999" customHeight="1">
      <c r="A1660" s="10" t="s">
        <v>1739</v>
      </c>
      <c r="B1660" s="10" t="s">
        <v>1740</v>
      </c>
      <c r="C1660" s="10" t="n">
        <v>70</v>
      </c>
      <c r="D1660" s="10" t="n">
        <v>110</v>
      </c>
      <c r="E1660" s="6" t="n">
        <f>SUM(C1660,D1660)/2</f>
        <v>90</v>
      </c>
      <c r="F1660" s="18" t="n">
        <v>8</v>
      </c>
      <c r="G1660" s="18" t="n">
        <v>9</v>
      </c>
      <c r="H1660" s="6" t="n">
        <f>SUM(F1660,G1660)/2</f>
        <v>8.5</v>
      </c>
    </row>
    <row r="1661" s="18" customFormat="1" ht="14.399999999999999" customHeight="1">
      <c r="A1661" s="10" t="s">
        <v>3535</v>
      </c>
      <c r="B1661" s="10" t="s">
        <v>3536</v>
      </c>
      <c r="C1661" s="13" t="n">
        <v>74558</v>
      </c>
      <c r="D1661" s="13" t="n">
        <v>119102</v>
      </c>
      <c r="E1661" s="6" t="n">
        <f>SUM(C1661,D1661)/2</f>
        <v>96830</v>
      </c>
      <c r="F1661" s="12" t="n">
        <v>16933</v>
      </c>
      <c r="G1661" s="12" t="n">
        <v>24241</v>
      </c>
      <c r="H1661" s="6" t="n">
        <f>SUM(F1661,G1661)/2</f>
        <v>20587</v>
      </c>
    </row>
    <row r="1662" s="18" customFormat="1" ht="14.399999999999999" customHeight="1">
      <c r="A1662" s="10" t="s">
        <v>2586</v>
      </c>
      <c r="B1662" s="10" t="s">
        <v>2587</v>
      </c>
      <c r="C1662" s="10" t="n">
        <v>0</v>
      </c>
      <c r="D1662" s="10" t="n">
        <v>0</v>
      </c>
      <c r="E1662" s="6" t="n">
        <f>SUM(C1662,D1662)/2</f>
        <v>0</v>
      </c>
      <c r="F1662" s="18" t="n">
        <v>2</v>
      </c>
      <c r="G1662" s="18" t="n">
        <v>2</v>
      </c>
      <c r="H1662" s="6" t="n">
        <f>SUM(F1662,G1662)/2</f>
        <v>2</v>
      </c>
    </row>
    <row r="1663" s="18" customFormat="1" ht="14.399999999999999" customHeight="1">
      <c r="A1663" s="10" t="s">
        <v>1555</v>
      </c>
      <c r="B1663" s="10" t="s">
        <v>1556</v>
      </c>
      <c r="C1663" s="10" t="n">
        <v>182</v>
      </c>
      <c r="D1663" s="10" t="n">
        <v>292</v>
      </c>
      <c r="E1663" s="6" t="n">
        <f>SUM(C1663,D1663)/2</f>
        <v>237</v>
      </c>
      <c r="F1663" s="18" t="n">
        <v>2</v>
      </c>
      <c r="G1663" s="18" t="n">
        <v>2</v>
      </c>
      <c r="H1663" s="6" t="n">
        <f>SUM(F1663,G1663)/2</f>
        <v>2</v>
      </c>
    </row>
    <row r="1664" s="18" customFormat="1" ht="14.399999999999999" customHeight="1">
      <c r="A1664" s="10" t="s">
        <v>1667</v>
      </c>
      <c r="B1664" s="10" t="s">
        <v>1668</v>
      </c>
      <c r="C1664" s="10" t="n">
        <v>38</v>
      </c>
      <c r="D1664" s="10" t="n">
        <v>62</v>
      </c>
      <c r="E1664" s="6" t="n">
        <f>SUM(C1664,D1664)/2</f>
        <v>50</v>
      </c>
      <c r="F1664" s="18" t="n">
        <v>23</v>
      </c>
      <c r="G1664" s="18" t="n">
        <v>37</v>
      </c>
      <c r="H1664" s="6" t="n">
        <f>SUM(F1664,G1664)/2</f>
        <v>30</v>
      </c>
    </row>
    <row r="1665" s="18" customFormat="1" ht="14.399999999999999" customHeight="1">
      <c r="A1665" s="10" t="s">
        <v>618</v>
      </c>
      <c r="B1665" s="10" t="s">
        <v>619</v>
      </c>
      <c r="C1665" s="10" t="n">
        <v>449</v>
      </c>
      <c r="D1665" s="10" t="n">
        <v>717</v>
      </c>
      <c r="E1665" s="6" t="n">
        <f>SUM(C1665,D1665)/2</f>
        <v>583</v>
      </c>
      <c r="F1665" s="18" t="n">
        <v>270</v>
      </c>
      <c r="G1665" s="18" t="n">
        <v>432</v>
      </c>
      <c r="H1665" s="6" t="n">
        <f>SUM(F1665,G1665)/2</f>
        <v>351</v>
      </c>
    </row>
    <row r="1666" s="18" customFormat="1" ht="14.399999999999999" customHeight="1">
      <c r="A1666" s="10" t="s">
        <v>5109</v>
      </c>
      <c r="B1666" s="10" t="s">
        <v>5110</v>
      </c>
      <c r="C1666" s="13" t="n">
        <v>11861</v>
      </c>
      <c r="D1666" s="13" t="n">
        <v>18947</v>
      </c>
      <c r="E1666" s="6" t="n">
        <f>SUM(C1666,D1666)/2</f>
        <v>15404</v>
      </c>
      <c r="F1666" s="12" t="n">
        <v>3821</v>
      </c>
      <c r="G1666" s="12" t="n">
        <v>5511</v>
      </c>
      <c r="H1666" s="6" t="n">
        <f>SUM(F1666,G1666)/2</f>
        <v>4666</v>
      </c>
    </row>
    <row r="1667" s="18" customFormat="1" ht="14.399999999999999" customHeight="1">
      <c r="A1667" s="10" t="s">
        <v>754</v>
      </c>
      <c r="B1667" s="10" t="s">
        <v>755</v>
      </c>
      <c r="C1667" s="13" t="n">
        <v>1726695</v>
      </c>
      <c r="D1667" s="13" t="n">
        <v>2758225</v>
      </c>
      <c r="E1667" s="6" t="n">
        <f>SUM(C1667,D1667)/2</f>
        <v>2242460</v>
      </c>
      <c r="F1667" s="12" t="n">
        <v>293643</v>
      </c>
      <c r="G1667" s="12" t="n">
        <v>374540</v>
      </c>
      <c r="H1667" s="6" t="n">
        <f>SUM(F1667,G1667)/2</f>
        <v>334091.5</v>
      </c>
    </row>
    <row r="1668" s="18" customFormat="1" ht="14.399999999999999" customHeight="1">
      <c r="A1668" s="10" t="s">
        <v>4699</v>
      </c>
      <c r="B1668" s="10" t="s">
        <v>4700</v>
      </c>
      <c r="C1668" s="13" t="n">
        <v>8700</v>
      </c>
      <c r="D1668" s="13" t="n">
        <v>13896</v>
      </c>
      <c r="E1668" s="6" t="n">
        <f>SUM(C1668,D1668)/2</f>
        <v>11298</v>
      </c>
      <c r="F1668" s="12" t="n">
        <v>8346</v>
      </c>
      <c r="G1668" s="12" t="n">
        <v>12607</v>
      </c>
      <c r="H1668" s="6" t="n">
        <f>SUM(F1668,G1668)/2</f>
        <v>10476.5</v>
      </c>
    </row>
    <row r="1669" s="18" customFormat="1" ht="14.399999999999999" customHeight="1">
      <c r="A1669" s="10" t="s">
        <v>812</v>
      </c>
      <c r="B1669" s="10" t="s">
        <v>813</v>
      </c>
      <c r="C1669" s="13" t="n">
        <v>738075</v>
      </c>
      <c r="D1669" s="13" t="n">
        <v>1179001</v>
      </c>
      <c r="E1669" s="6" t="n">
        <f>SUM(C1669,D1669)/2</f>
        <v>958538</v>
      </c>
      <c r="F1669" s="12" t="n">
        <v>297854</v>
      </c>
      <c r="G1669" s="12" t="n">
        <v>461977</v>
      </c>
      <c r="H1669" s="6" t="n">
        <f>SUM(F1669,G1669)/2</f>
        <v>379915.5</v>
      </c>
    </row>
    <row r="1670" s="18" customFormat="1" ht="14.399999999999999" customHeight="1">
      <c r="A1670" s="10" t="s">
        <v>5416</v>
      </c>
      <c r="B1670" s="10" t="s">
        <v>5417</v>
      </c>
      <c r="C1670" s="13" t="n">
        <v>372750</v>
      </c>
      <c r="D1670" s="13" t="n">
        <v>595432</v>
      </c>
      <c r="E1670" s="6" t="n">
        <f>SUM(C1670,D1670)/2</f>
        <v>484091</v>
      </c>
      <c r="F1670" s="12" t="n">
        <v>17404</v>
      </c>
      <c r="G1670" s="12" t="n">
        <v>25622</v>
      </c>
      <c r="H1670" s="6" t="n">
        <f>SUM(F1670,G1670)/2</f>
        <v>21513</v>
      </c>
    </row>
    <row r="1671" s="18" customFormat="1" ht="14.399999999999999" customHeight="1">
      <c r="A1671" s="10" t="s">
        <v>4097</v>
      </c>
      <c r="B1671" s="10" t="s">
        <v>4098</v>
      </c>
      <c r="C1671" s="13" t="n">
        <v>8334</v>
      </c>
      <c r="D1671" s="13" t="n">
        <v>13312</v>
      </c>
      <c r="E1671" s="6" t="n">
        <f>SUM(C1671,D1671)/2</f>
        <v>10823</v>
      </c>
      <c r="F1671" s="12" t="n">
        <v>18446</v>
      </c>
      <c r="G1671" s="12" t="n">
        <v>21732</v>
      </c>
      <c r="H1671" s="6" t="n">
        <f>SUM(F1671,G1671)/2</f>
        <v>20089</v>
      </c>
    </row>
    <row r="1672" s="18" customFormat="1" ht="14.399999999999999" customHeight="1">
      <c r="A1672" s="10" t="s">
        <v>987</v>
      </c>
      <c r="B1672" s="10" t="s">
        <v>988</v>
      </c>
      <c r="C1672" s="13" t="n">
        <v>440960</v>
      </c>
      <c r="D1672" s="13" t="n">
        <v>704392</v>
      </c>
      <c r="E1672" s="6" t="n">
        <f>SUM(C1672,D1672)/2</f>
        <v>572676</v>
      </c>
      <c r="F1672" s="12" t="n">
        <v>122987</v>
      </c>
      <c r="G1672" s="12" t="n">
        <v>166033</v>
      </c>
      <c r="H1672" s="6" t="n">
        <f>SUM(F1672,G1672)/2</f>
        <v>144510</v>
      </c>
    </row>
    <row r="1673" s="18" customFormat="1" ht="14.399999999999999" customHeight="1">
      <c r="A1673" s="10" t="s">
        <v>2300</v>
      </c>
      <c r="B1673" s="10" t="s">
        <v>2301</v>
      </c>
      <c r="C1673" s="10" t="n">
        <v>10</v>
      </c>
      <c r="D1673" s="10" t="n">
        <v>12</v>
      </c>
      <c r="E1673" s="6" t="n">
        <f>SUM(C1673,D1673)/2</f>
        <v>11</v>
      </c>
      <c r="F1673" s="18" t="n">
        <v>3</v>
      </c>
      <c r="G1673" s="18" t="n">
        <v>4</v>
      </c>
      <c r="H1673" s="6" t="n">
        <f>SUM(F1673,G1673)/2</f>
        <v>3.5</v>
      </c>
    </row>
    <row r="1674" s="18" customFormat="1" ht="14.399999999999999" customHeight="1">
      <c r="A1674" s="10" t="s">
        <v>1877</v>
      </c>
      <c r="B1674" s="10" t="s">
        <v>1878</v>
      </c>
      <c r="C1674" s="10" t="n">
        <v>27</v>
      </c>
      <c r="D1674" s="10" t="n">
        <v>43</v>
      </c>
      <c r="E1674" s="6" t="n">
        <f>SUM(C1674,D1674)/2</f>
        <v>35</v>
      </c>
      <c r="F1674" s="18" t="n">
        <v>9</v>
      </c>
      <c r="G1674" s="18" t="n">
        <v>13</v>
      </c>
      <c r="H1674" s="6" t="n">
        <f>SUM(F1674,G1674)/2</f>
        <v>11</v>
      </c>
    </row>
    <row r="1675" s="18" customFormat="1" ht="14.399999999999999" customHeight="1">
      <c r="A1675" s="10" t="s">
        <v>6393</v>
      </c>
      <c r="B1675" s="10" t="s">
        <v>6394</v>
      </c>
      <c r="C1675" s="10" t="n">
        <v>29</v>
      </c>
      <c r="D1675" s="10" t="n">
        <v>45</v>
      </c>
      <c r="E1675" s="6" t="n">
        <f>SUM(C1675,D1675)/2</f>
        <v>37</v>
      </c>
      <c r="F1675" s="18" t="n">
        <v>87</v>
      </c>
      <c r="G1675" s="18" t="n">
        <v>156</v>
      </c>
      <c r="H1675" s="6" t="n">
        <f>SUM(F1675,G1675)/2</f>
        <v>121.5</v>
      </c>
    </row>
    <row r="1676" s="18" customFormat="1" ht="14.399999999999999" customHeight="1">
      <c r="A1676" s="10" t="s">
        <v>2087</v>
      </c>
      <c r="B1676" s="10" t="s">
        <v>2088</v>
      </c>
      <c r="C1676" s="10" t="n">
        <v>18</v>
      </c>
      <c r="D1676" s="10" t="n">
        <v>30</v>
      </c>
      <c r="E1676" s="6" t="n">
        <f>SUM(C1676,D1676)/2</f>
        <v>24</v>
      </c>
      <c r="F1676" s="18" t="n">
        <v>4</v>
      </c>
      <c r="G1676" s="18" t="n">
        <v>5</v>
      </c>
      <c r="H1676" s="6" t="n">
        <f>SUM(F1676,G1676)/2</f>
        <v>4.5</v>
      </c>
    </row>
    <row r="1677" s="18" customFormat="1" ht="14.399999999999999" customHeight="1">
      <c r="A1677" s="10" t="s">
        <v>4825</v>
      </c>
      <c r="B1677" s="10" t="s">
        <v>4826</v>
      </c>
      <c r="C1677" s="13" t="n">
        <v>14872</v>
      </c>
      <c r="D1677" s="13" t="n">
        <v>23756</v>
      </c>
      <c r="E1677" s="6" t="n">
        <f>SUM(C1677,D1677)/2</f>
        <v>19314</v>
      </c>
      <c r="F1677" s="12" t="n">
        <v>6524</v>
      </c>
      <c r="G1677" s="12" t="n">
        <v>8355</v>
      </c>
      <c r="H1677" s="6" t="n">
        <f>SUM(F1677,G1677)/2</f>
        <v>7439.5</v>
      </c>
    </row>
    <row r="1678" s="18" customFormat="1" ht="14.399999999999999" customHeight="1">
      <c r="A1678" s="10" t="s">
        <v>6395</v>
      </c>
      <c r="B1678" s="10" t="s">
        <v>6396</v>
      </c>
      <c r="C1678" s="13" t="n">
        <v>25302</v>
      </c>
      <c r="D1678" s="13" t="n">
        <v>40418</v>
      </c>
      <c r="E1678" s="6" t="n">
        <f>SUM(C1678,D1678)/2</f>
        <v>32860</v>
      </c>
      <c r="F1678" s="12" t="n">
        <v>10598</v>
      </c>
      <c r="G1678" s="12" t="n">
        <v>13907</v>
      </c>
      <c r="H1678" s="6" t="n">
        <f>SUM(F1678,G1678)/2</f>
        <v>12252.5</v>
      </c>
    </row>
    <row r="1679" s="18" customFormat="1" ht="14.399999999999999" customHeight="1">
      <c r="A1679" s="10" t="s">
        <v>4975</v>
      </c>
      <c r="B1679" s="10" t="s">
        <v>4976</v>
      </c>
      <c r="C1679" s="13" t="n">
        <v>12852</v>
      </c>
      <c r="D1679" s="13" t="n">
        <v>20532</v>
      </c>
      <c r="E1679" s="6" t="n">
        <f>SUM(C1679,D1679)/2</f>
        <v>16692</v>
      </c>
      <c r="F1679" s="12" t="n">
        <v>5830</v>
      </c>
      <c r="G1679" s="12" t="n">
        <v>6839</v>
      </c>
      <c r="H1679" s="6" t="n">
        <f>SUM(F1679,G1679)/2</f>
        <v>6334.5</v>
      </c>
    </row>
    <row r="1680" s="18" customFormat="1" ht="14.399999999999999" customHeight="1">
      <c r="A1680" s="10" t="s">
        <v>5282</v>
      </c>
      <c r="B1680" s="10" t="s">
        <v>5283</v>
      </c>
      <c r="C1680" s="13" t="n">
        <v>230346</v>
      </c>
      <c r="D1680" s="13" t="n">
        <v>367958</v>
      </c>
      <c r="E1680" s="6" t="n">
        <f>SUM(C1680,D1680)/2</f>
        <v>299152</v>
      </c>
      <c r="F1680" s="12" t="n">
        <v>143423</v>
      </c>
      <c r="G1680" s="12" t="n">
        <v>177978</v>
      </c>
      <c r="H1680" s="6" t="n">
        <f>SUM(F1680,G1680)/2</f>
        <v>160700.5</v>
      </c>
    </row>
    <row r="1681" s="18" customFormat="1" ht="14.399999999999999" customHeight="1">
      <c r="A1681" s="10" t="s">
        <v>4521</v>
      </c>
      <c r="B1681" s="10" t="s">
        <v>4522</v>
      </c>
      <c r="C1681" s="13" t="n">
        <v>21279</v>
      </c>
      <c r="D1681" s="13" t="n">
        <v>33993</v>
      </c>
      <c r="E1681" s="6" t="n">
        <f>SUM(C1681,D1681)/2</f>
        <v>27636</v>
      </c>
      <c r="F1681" s="12" t="n">
        <v>7341</v>
      </c>
      <c r="G1681" s="12" t="n">
        <v>11065</v>
      </c>
      <c r="H1681" s="6" t="n">
        <f>SUM(F1681,G1681)/2</f>
        <v>9203</v>
      </c>
    </row>
    <row r="1682" s="18" customFormat="1" ht="14.399999999999999" customHeight="1">
      <c r="A1682" s="10" t="s">
        <v>3971</v>
      </c>
      <c r="B1682" s="10" t="s">
        <v>3972</v>
      </c>
      <c r="C1682" s="13" t="n">
        <v>27255</v>
      </c>
      <c r="D1682" s="13" t="n">
        <v>43537</v>
      </c>
      <c r="E1682" s="6" t="n">
        <f>SUM(C1682,D1682)/2</f>
        <v>35396</v>
      </c>
      <c r="F1682" s="12" t="n">
        <v>16680</v>
      </c>
      <c r="G1682" s="12" t="n">
        <v>19269</v>
      </c>
      <c r="H1682" s="6" t="n">
        <f>SUM(F1682,G1682)/2</f>
        <v>17974.5</v>
      </c>
    </row>
    <row r="1683" s="18" customFormat="1" ht="14.399999999999999" customHeight="1">
      <c r="A1683" s="10" t="s">
        <v>2166</v>
      </c>
      <c r="B1683" s="10" t="s">
        <v>2167</v>
      </c>
      <c r="C1683" s="10" t="n">
        <v>0</v>
      </c>
      <c r="D1683" s="10" t="n">
        <v>0</v>
      </c>
      <c r="E1683" s="6" t="n">
        <f>SUM(C1683,D1683)/2</f>
        <v>0</v>
      </c>
      <c r="F1683" s="18" t="n">
        <v>7</v>
      </c>
      <c r="G1683" s="18" t="n">
        <v>9</v>
      </c>
      <c r="H1683" s="6" t="n">
        <f>SUM(F1683,G1683)/2</f>
        <v>8</v>
      </c>
    </row>
    <row r="1684" s="18" customFormat="1" ht="14.399999999999999" customHeight="1">
      <c r="A1684" s="10" t="s">
        <v>1651</v>
      </c>
      <c r="B1684" s="10" t="s">
        <v>1652</v>
      </c>
      <c r="C1684" s="10" t="n">
        <v>125</v>
      </c>
      <c r="D1684" s="10" t="n">
        <v>201</v>
      </c>
      <c r="E1684" s="6" t="n">
        <f>SUM(C1684,D1684)/2</f>
        <v>163</v>
      </c>
      <c r="F1684" s="18" t="n">
        <v>6</v>
      </c>
      <c r="G1684" s="18" t="n">
        <v>11</v>
      </c>
      <c r="H1684" s="6" t="n">
        <f>SUM(F1684,G1684)/2</f>
        <v>8.5</v>
      </c>
    </row>
    <row r="1685" s="18" customFormat="1" ht="14.399999999999999" customHeight="1">
      <c r="A1685" s="10" t="s">
        <v>3533</v>
      </c>
      <c r="B1685" s="10" t="s">
        <v>3534</v>
      </c>
      <c r="C1685" s="13" t="n">
        <v>77326</v>
      </c>
      <c r="D1685" s="13" t="n">
        <v>123522</v>
      </c>
      <c r="E1685" s="6" t="n">
        <f>SUM(C1685,D1685)/2</f>
        <v>100424</v>
      </c>
      <c r="F1685" s="12" t="n">
        <v>15598</v>
      </c>
      <c r="G1685" s="12" t="n">
        <v>24100</v>
      </c>
      <c r="H1685" s="6" t="n">
        <f>SUM(F1685,G1685)/2</f>
        <v>19849</v>
      </c>
    </row>
    <row r="1686" s="18" customFormat="1" ht="14.399999999999999" customHeight="1">
      <c r="A1686" s="10" t="s">
        <v>2306</v>
      </c>
      <c r="B1686" s="10" t="s">
        <v>2307</v>
      </c>
      <c r="C1686" s="10" t="n">
        <v>5</v>
      </c>
      <c r="D1686" s="10" t="n">
        <v>7</v>
      </c>
      <c r="E1686" s="6" t="n">
        <f>SUM(C1686,D1686)/2</f>
        <v>6</v>
      </c>
      <c r="F1686" s="18" t="n">
        <v>4</v>
      </c>
      <c r="G1686" s="18" t="n">
        <v>5</v>
      </c>
      <c r="H1686" s="6" t="n">
        <f>SUM(F1686,G1686)/2</f>
        <v>4.5</v>
      </c>
    </row>
    <row r="1687" s="18" customFormat="1" ht="14.399999999999999" customHeight="1">
      <c r="A1687" s="10" t="s">
        <v>1573</v>
      </c>
      <c r="B1687" s="10" t="s">
        <v>1574</v>
      </c>
      <c r="C1687" s="10" t="n">
        <v>12</v>
      </c>
      <c r="D1687" s="10" t="n">
        <v>18</v>
      </c>
      <c r="E1687" s="6" t="n">
        <f>SUM(C1687,D1687)/2</f>
        <v>15</v>
      </c>
      <c r="F1687" s="18" t="n">
        <v>32</v>
      </c>
      <c r="G1687" s="18" t="n">
        <v>57</v>
      </c>
      <c r="H1687" s="6" t="n">
        <f>SUM(F1687,G1687)/2</f>
        <v>44.5</v>
      </c>
    </row>
    <row r="1688" s="18" customFormat="1" ht="14.399999999999999" customHeight="1">
      <c r="A1688" s="10" t="s">
        <v>5408</v>
      </c>
      <c r="B1688" s="10" t="s">
        <v>5409</v>
      </c>
      <c r="C1688" s="13" t="n">
        <v>78603</v>
      </c>
      <c r="D1688" s="13" t="n">
        <v>125561</v>
      </c>
      <c r="E1688" s="6" t="n">
        <f>SUM(C1688,D1688)/2</f>
        <v>102082</v>
      </c>
      <c r="F1688" s="12" t="n">
        <v>85322</v>
      </c>
      <c r="G1688" s="12" t="n">
        <v>132140</v>
      </c>
      <c r="H1688" s="6" t="n">
        <f>SUM(F1688,G1688)/2</f>
        <v>108731</v>
      </c>
    </row>
    <row r="1689" s="18" customFormat="1" ht="14.399999999999999" customHeight="1">
      <c r="A1689" s="10" t="s">
        <v>3529</v>
      </c>
      <c r="B1689" s="10" t="s">
        <v>3530</v>
      </c>
      <c r="C1689" s="13" t="n">
        <v>17441</v>
      </c>
      <c r="D1689" s="13" t="n">
        <v>27859</v>
      </c>
      <c r="E1689" s="6" t="n">
        <f>SUM(C1689,D1689)/2</f>
        <v>22650</v>
      </c>
      <c r="F1689" s="12" t="n">
        <v>33169</v>
      </c>
      <c r="G1689" s="12" t="n">
        <v>39679</v>
      </c>
      <c r="H1689" s="6" t="n">
        <f>SUM(F1689,G1689)/2</f>
        <v>36424</v>
      </c>
    </row>
    <row r="1690" s="18" customFormat="1" ht="14.399999999999999" customHeight="1">
      <c r="A1690" s="10" t="s">
        <v>3159</v>
      </c>
      <c r="B1690" s="10" t="s">
        <v>3160</v>
      </c>
      <c r="C1690" s="13" t="n">
        <v>143808</v>
      </c>
      <c r="D1690" s="13" t="n">
        <v>229722</v>
      </c>
      <c r="E1690" s="6" t="n">
        <f>SUM(C1690,D1690)/2</f>
        <v>186765</v>
      </c>
      <c r="F1690" s="12" t="n">
        <v>22338</v>
      </c>
      <c r="G1690" s="12" t="n">
        <v>29844</v>
      </c>
      <c r="H1690" s="6" t="n">
        <f>SUM(F1690,G1690)/2</f>
        <v>26091</v>
      </c>
    </row>
    <row r="1691" s="18" customFormat="1" ht="14.399999999999999" customHeight="1">
      <c r="A1691" s="10" t="s">
        <v>806</v>
      </c>
      <c r="B1691" s="10" t="s">
        <v>807</v>
      </c>
      <c r="C1691" s="13" t="n">
        <v>1636839</v>
      </c>
      <c r="D1691" s="13" t="n">
        <v>2614691</v>
      </c>
      <c r="E1691" s="6" t="n">
        <f>SUM(C1691,D1691)/2</f>
        <v>2125765</v>
      </c>
      <c r="F1691" s="12" t="n">
        <v>97083</v>
      </c>
      <c r="G1691" s="12" t="n">
        <v>231574</v>
      </c>
      <c r="H1691" s="6" t="n">
        <f>SUM(F1691,G1691)/2</f>
        <v>164328.5</v>
      </c>
    </row>
    <row r="1692" s="18" customFormat="1" ht="14.399999999999999" customHeight="1">
      <c r="A1692" s="10" t="s">
        <v>3573</v>
      </c>
      <c r="B1692" s="10" t="s">
        <v>3574</v>
      </c>
      <c r="C1692" s="13" t="n">
        <v>24237</v>
      </c>
      <c r="D1692" s="13" t="n">
        <v>38716</v>
      </c>
      <c r="E1692" s="6" t="n">
        <f>SUM(C1692,D1692)/2</f>
        <v>31476.5</v>
      </c>
      <c r="F1692" s="12" t="n">
        <v>26250</v>
      </c>
      <c r="G1692" s="12" t="n">
        <v>38628</v>
      </c>
      <c r="H1692" s="6" t="n">
        <f>SUM(F1692,G1692)/2</f>
        <v>32439</v>
      </c>
    </row>
    <row r="1693" s="18" customFormat="1" ht="14.399999999999999" customHeight="1">
      <c r="A1693" s="10" t="s">
        <v>6397</v>
      </c>
      <c r="B1693" s="10" t="s">
        <v>6398</v>
      </c>
      <c r="C1693" s="13" t="n">
        <v>1608177</v>
      </c>
      <c r="D1693" s="13" t="n">
        <v>2568905</v>
      </c>
      <c r="E1693" s="6" t="n">
        <f>SUM(C1693,D1693)/2</f>
        <v>2088541</v>
      </c>
      <c r="F1693" s="12" t="n">
        <v>220444</v>
      </c>
      <c r="G1693" s="12" t="n">
        <v>299451</v>
      </c>
      <c r="H1693" s="6" t="n">
        <f>SUM(F1693,G1693)/2</f>
        <v>259947.5</v>
      </c>
    </row>
    <row r="1694" s="18" customFormat="1" ht="14.399999999999999" customHeight="1">
      <c r="A1694" s="10" t="s">
        <v>6399</v>
      </c>
      <c r="B1694" s="10" t="s">
        <v>6400</v>
      </c>
      <c r="C1694" s="13" t="n">
        <v>303483</v>
      </c>
      <c r="D1694" s="13" t="n">
        <v>484783</v>
      </c>
      <c r="E1694" s="6" t="n">
        <f>SUM(C1694,D1694)/2</f>
        <v>394133</v>
      </c>
      <c r="F1694" s="12" t="n">
        <v>100338</v>
      </c>
      <c r="G1694" s="12" t="n">
        <v>156625</v>
      </c>
      <c r="H1694" s="6" t="n">
        <f>SUM(F1694,G1694)/2</f>
        <v>128481.5</v>
      </c>
    </row>
    <row r="1695" s="18" customFormat="1" ht="14.399999999999999" customHeight="1">
      <c r="A1695" s="10" t="s">
        <v>4021</v>
      </c>
      <c r="B1695" s="10" t="s">
        <v>4022</v>
      </c>
      <c r="C1695" s="13" t="n">
        <v>28786</v>
      </c>
      <c r="D1695" s="13" t="n">
        <v>45978</v>
      </c>
      <c r="E1695" s="6" t="n">
        <f>SUM(C1695,D1695)/2</f>
        <v>37382</v>
      </c>
      <c r="F1695" s="12" t="n">
        <v>13733</v>
      </c>
      <c r="G1695" s="12" t="n">
        <v>19334</v>
      </c>
      <c r="H1695" s="6" t="n">
        <f>SUM(F1695,G1695)/2</f>
        <v>16533.5</v>
      </c>
    </row>
    <row r="1696" s="18" customFormat="1" ht="14.399999999999999" customHeight="1">
      <c r="A1696" s="10" t="s">
        <v>6401</v>
      </c>
      <c r="B1696" s="10" t="s">
        <v>6402</v>
      </c>
      <c r="C1696" s="10" t="n">
        <v>53</v>
      </c>
      <c r="D1696" s="10" t="n">
        <v>85</v>
      </c>
      <c r="E1696" s="6" t="n">
        <f>SUM(C1696,D1696)/2</f>
        <v>69</v>
      </c>
      <c r="F1696" s="18" t="n">
        <v>0</v>
      </c>
      <c r="G1696" s="18" t="n">
        <v>0</v>
      </c>
      <c r="H1696" s="6" t="n">
        <f>SUM(F1696,G1696)/2</f>
        <v>0</v>
      </c>
    </row>
    <row r="1697" s="18" customFormat="1" ht="14.399999999999999" customHeight="1">
      <c r="A1697" s="10" t="s">
        <v>6403</v>
      </c>
      <c r="B1697" s="10" t="s">
        <v>6404</v>
      </c>
      <c r="C1697" s="10" t="n">
        <v>331</v>
      </c>
      <c r="D1697" s="10" t="n">
        <v>527</v>
      </c>
      <c r="E1697" s="6" t="n">
        <f>SUM(C1697,D1697)/2</f>
        <v>429</v>
      </c>
      <c r="F1697" s="18" t="n">
        <v>93</v>
      </c>
      <c r="G1697" s="18" t="n">
        <v>134</v>
      </c>
      <c r="H1697" s="6" t="n">
        <f>SUM(F1697,G1697)/2</f>
        <v>113.5</v>
      </c>
    </row>
    <row r="1698" s="18" customFormat="1" ht="14.399999999999999" customHeight="1">
      <c r="A1698" s="10" t="s">
        <v>4095</v>
      </c>
      <c r="B1698" s="10" t="s">
        <v>4096</v>
      </c>
      <c r="C1698" s="13" t="n">
        <v>30347</v>
      </c>
      <c r="D1698" s="13" t="n">
        <v>48479</v>
      </c>
      <c r="E1698" s="6" t="n">
        <f>SUM(C1698,D1698)/2</f>
        <v>39413</v>
      </c>
      <c r="F1698" s="12" t="n">
        <v>11187</v>
      </c>
      <c r="G1698" s="12" t="n">
        <v>16860</v>
      </c>
      <c r="H1698" s="6" t="n">
        <f>SUM(F1698,G1698)/2</f>
        <v>14023.5</v>
      </c>
    </row>
    <row r="1699" s="18" customFormat="1" ht="14.399999999999999" customHeight="1">
      <c r="A1699" s="10" t="s">
        <v>2302</v>
      </c>
      <c r="B1699" s="10" t="s">
        <v>2303</v>
      </c>
      <c r="C1699" s="10" t="n">
        <v>14</v>
      </c>
      <c r="D1699" s="10" t="n">
        <v>22</v>
      </c>
      <c r="E1699" s="6" t="n">
        <f>SUM(C1699,D1699)/2</f>
        <v>18</v>
      </c>
      <c r="F1699" s="18" t="n">
        <v>2</v>
      </c>
      <c r="G1699" s="18" t="n">
        <v>2</v>
      </c>
      <c r="H1699" s="6" t="n">
        <f>SUM(F1699,G1699)/2</f>
        <v>2</v>
      </c>
    </row>
    <row r="1700" s="18" customFormat="1" ht="14.399999999999999" customHeight="1">
      <c r="A1700" s="10" t="s">
        <v>6405</v>
      </c>
      <c r="B1700" s="10" t="s">
        <v>6406</v>
      </c>
      <c r="C1700" s="13" t="n">
        <v>137496</v>
      </c>
      <c r="D1700" s="13" t="n">
        <v>219636</v>
      </c>
      <c r="E1700" s="6" t="n">
        <f>SUM(C1700,D1700)/2</f>
        <v>178566</v>
      </c>
      <c r="F1700" s="12" t="n">
        <v>49402</v>
      </c>
      <c r="G1700" s="12" t="n">
        <v>67936</v>
      </c>
      <c r="H1700" s="6" t="n">
        <f>SUM(F1700,G1700)/2</f>
        <v>58669</v>
      </c>
    </row>
    <row r="1701" s="18" customFormat="1" ht="14.399999999999999" customHeight="1">
      <c r="A1701" s="10" t="s">
        <v>981</v>
      </c>
      <c r="B1701" s="10" t="s">
        <v>982</v>
      </c>
      <c r="C1701" s="13" t="n">
        <v>299393</v>
      </c>
      <c r="D1701" s="13" t="n">
        <v>478249</v>
      </c>
      <c r="E1701" s="6" t="n">
        <f>SUM(C1701,D1701)/2</f>
        <v>388821</v>
      </c>
      <c r="F1701" s="12" t="n">
        <v>151583</v>
      </c>
      <c r="G1701" s="12" t="n">
        <v>229793</v>
      </c>
      <c r="H1701" s="6" t="n">
        <f>SUM(F1701,G1701)/2</f>
        <v>190688</v>
      </c>
    </row>
    <row r="1702" s="18" customFormat="1" ht="14.399999999999999" customHeight="1">
      <c r="A1702" s="10" t="s">
        <v>6407</v>
      </c>
      <c r="B1702" s="10" t="s">
        <v>6408</v>
      </c>
      <c r="C1702" s="13" t="n">
        <v>56215</v>
      </c>
      <c r="D1702" s="13" t="n">
        <v>89797</v>
      </c>
      <c r="E1702" s="6" t="n">
        <f>SUM(C1702,D1702)/2</f>
        <v>73006</v>
      </c>
      <c r="F1702" s="12" t="n">
        <v>14040</v>
      </c>
      <c r="G1702" s="12" t="n">
        <v>19757</v>
      </c>
      <c r="H1702" s="6" t="n">
        <f>SUM(F1702,G1702)/2</f>
        <v>16898.5</v>
      </c>
    </row>
    <row r="1703" s="18" customFormat="1" ht="14.399999999999999" customHeight="1">
      <c r="A1703" s="10" t="s">
        <v>1950</v>
      </c>
      <c r="B1703" s="10" t="s">
        <v>1951</v>
      </c>
      <c r="C1703" s="10" t="n">
        <v>51</v>
      </c>
      <c r="D1703" s="10" t="n">
        <v>83</v>
      </c>
      <c r="E1703" s="6" t="n">
        <f>SUM(C1703,D1703)/2</f>
        <v>67</v>
      </c>
      <c r="F1703" s="18" t="n">
        <v>0</v>
      </c>
      <c r="G1703" s="18" t="n">
        <v>0</v>
      </c>
      <c r="H1703" s="6" t="n">
        <f>SUM(F1703,G1703)/2</f>
        <v>0</v>
      </c>
    </row>
    <row r="1704" s="18" customFormat="1" ht="14.399999999999999" customHeight="1">
      <c r="A1704" s="10" t="s">
        <v>492</v>
      </c>
      <c r="B1704" s="10" t="s">
        <v>493</v>
      </c>
      <c r="C1704" s="10" t="n">
        <v>59</v>
      </c>
      <c r="D1704" s="10" t="n">
        <v>91</v>
      </c>
      <c r="E1704" s="6" t="n">
        <f>SUM(C1704,D1704)/2</f>
        <v>75</v>
      </c>
      <c r="F1704" s="18" t="n">
        <v>467</v>
      </c>
      <c r="G1704" s="18" t="n">
        <v>686</v>
      </c>
      <c r="H1704" s="6" t="n">
        <f>SUM(F1704,G1704)/2</f>
        <v>576.5</v>
      </c>
    </row>
    <row r="1705" s="18" customFormat="1" ht="14.399999999999999" customHeight="1">
      <c r="A1705" s="10" t="s">
        <v>5332</v>
      </c>
      <c r="B1705" s="10" t="s">
        <v>5333</v>
      </c>
      <c r="C1705" s="10" t="n">
        <v>726</v>
      </c>
      <c r="D1705" s="13" t="n">
        <v>1162</v>
      </c>
      <c r="E1705" s="6" t="n">
        <f>SUM(C1705,D1705)/2</f>
        <v>944</v>
      </c>
      <c r="F1705" s="18" t="n">
        <v>288</v>
      </c>
      <c r="G1705" s="18" t="n">
        <v>336</v>
      </c>
      <c r="H1705" s="6" t="n">
        <f>SUM(F1705,G1705)/2</f>
        <v>312</v>
      </c>
    </row>
    <row r="1706" s="18" customFormat="1" ht="14.399999999999999" customHeight="1">
      <c r="A1706" s="10" t="s">
        <v>6409</v>
      </c>
      <c r="B1706" s="10" t="s">
        <v>6410</v>
      </c>
      <c r="C1706" s="10" t="n">
        <v>130</v>
      </c>
      <c r="D1706" s="10" t="n">
        <v>206</v>
      </c>
      <c r="E1706" s="6" t="n">
        <f>SUM(C1706,D1706)/2</f>
        <v>168</v>
      </c>
      <c r="F1706" s="18" t="n">
        <v>84</v>
      </c>
      <c r="G1706" s="18" t="n">
        <v>95</v>
      </c>
      <c r="H1706" s="6" t="n">
        <f>SUM(F1706,G1706)/2</f>
        <v>89.5</v>
      </c>
    </row>
    <row r="1707" s="18" customFormat="1" ht="14.399999999999999" customHeight="1">
      <c r="A1707" s="10" t="s">
        <v>6411</v>
      </c>
      <c r="B1707" s="10" t="s">
        <v>6412</v>
      </c>
      <c r="C1707" s="10" t="n">
        <v>237</v>
      </c>
      <c r="D1707" s="10" t="n">
        <v>379</v>
      </c>
      <c r="E1707" s="6" t="n">
        <f>SUM(C1707,D1707)/2</f>
        <v>308</v>
      </c>
      <c r="F1707" s="18" t="n">
        <v>43</v>
      </c>
      <c r="G1707" s="18" t="n">
        <v>72</v>
      </c>
      <c r="H1707" s="6" t="n">
        <f>SUM(F1707,G1707)/2</f>
        <v>57.5</v>
      </c>
    </row>
    <row r="1708" s="18" customFormat="1" ht="14.399999999999999" customHeight="1">
      <c r="A1708" s="10" t="s">
        <v>6413</v>
      </c>
      <c r="B1708" s="10" t="s">
        <v>6414</v>
      </c>
      <c r="C1708" s="13" t="n">
        <v>3353</v>
      </c>
      <c r="D1708" s="13" t="n">
        <v>5359</v>
      </c>
      <c r="E1708" s="6" t="n">
        <f>SUM(C1708,D1708)/2</f>
        <v>4356</v>
      </c>
      <c r="F1708" s="18" t="n">
        <v>149</v>
      </c>
      <c r="G1708" s="18" t="n">
        <v>187</v>
      </c>
      <c r="H1708" s="6" t="n">
        <f>SUM(F1708,G1708)/2</f>
        <v>168</v>
      </c>
    </row>
    <row r="1709" s="18" customFormat="1" ht="14.399999999999999" customHeight="1">
      <c r="A1709" s="10" t="s">
        <v>5490</v>
      </c>
      <c r="B1709" s="10" t="s">
        <v>5491</v>
      </c>
      <c r="C1709" s="10" t="n">
        <v>141</v>
      </c>
      <c r="D1709" s="10" t="n">
        <v>223</v>
      </c>
      <c r="E1709" s="6" t="n">
        <f>SUM(C1709,D1709)/2</f>
        <v>182</v>
      </c>
      <c r="F1709" s="18" t="n">
        <v>91</v>
      </c>
      <c r="G1709" s="18" t="n">
        <v>155</v>
      </c>
      <c r="H1709" s="6" t="n">
        <f>SUM(F1709,G1709)/2</f>
        <v>123</v>
      </c>
    </row>
    <row r="1710" s="18" customFormat="1" ht="14.399999999999999" customHeight="1">
      <c r="A1710" s="10" t="s">
        <v>1429</v>
      </c>
      <c r="B1710" s="10" t="s">
        <v>1430</v>
      </c>
      <c r="C1710" s="10" t="n">
        <v>78</v>
      </c>
      <c r="D1710" s="10" t="n">
        <v>128</v>
      </c>
      <c r="E1710" s="6" t="n">
        <f>SUM(C1710,D1710)/2</f>
        <v>103</v>
      </c>
      <c r="F1710" s="18" t="n">
        <v>0</v>
      </c>
      <c r="G1710" s="18" t="n">
        <v>0</v>
      </c>
      <c r="H1710" s="6" t="n">
        <f>SUM(F1710,G1710)/2</f>
        <v>0</v>
      </c>
    </row>
    <row r="1711" s="18" customFormat="1" ht="14.399999999999999" customHeight="1">
      <c r="A1711" s="10" t="s">
        <v>4157</v>
      </c>
      <c r="B1711" s="10" t="s">
        <v>4158</v>
      </c>
      <c r="C1711" s="13" t="n">
        <v>46099</v>
      </c>
      <c r="D1711" s="13" t="n">
        <v>73639</v>
      </c>
      <c r="E1711" s="6" t="n">
        <f>SUM(C1711,D1711)/2</f>
        <v>59869</v>
      </c>
      <c r="F1711" s="12" t="n">
        <v>7091</v>
      </c>
      <c r="G1711" s="12" t="n">
        <v>9404</v>
      </c>
      <c r="H1711" s="6" t="n">
        <f>SUM(F1711,G1711)/2</f>
        <v>8247.5</v>
      </c>
    </row>
    <row r="1712" s="18" customFormat="1" ht="14.399999999999999" customHeight="1">
      <c r="A1712" s="10" t="s">
        <v>2650</v>
      </c>
      <c r="B1712" s="10" t="s">
        <v>2651</v>
      </c>
      <c r="C1712" s="10" t="n">
        <v>1</v>
      </c>
      <c r="D1712" s="10" t="n">
        <v>1</v>
      </c>
      <c r="E1712" s="6" t="n">
        <f>SUM(C1712,D1712)/2</f>
        <v>1</v>
      </c>
      <c r="F1712" s="18" t="n">
        <v>1</v>
      </c>
      <c r="G1712" s="18" t="n">
        <v>1</v>
      </c>
      <c r="H1712" s="6" t="n">
        <f>SUM(F1712,G1712)/2</f>
        <v>1</v>
      </c>
    </row>
    <row r="1713" s="18" customFormat="1" ht="14.399999999999999" customHeight="1">
      <c r="A1713" s="10" t="s">
        <v>6415</v>
      </c>
      <c r="B1713" s="10" t="s">
        <v>533</v>
      </c>
      <c r="C1713" s="10" t="n">
        <v>762</v>
      </c>
      <c r="D1713" s="13" t="n">
        <v>1216</v>
      </c>
      <c r="E1713" s="6" t="n">
        <f>SUM(C1713,D1713)/2</f>
        <v>989</v>
      </c>
      <c r="F1713" s="18" t="n">
        <v>11</v>
      </c>
      <c r="G1713" s="18" t="n">
        <v>15</v>
      </c>
      <c r="H1713" s="6" t="n">
        <f>SUM(F1713,G1713)/2</f>
        <v>13</v>
      </c>
    </row>
    <row r="1714" s="18" customFormat="1" ht="14.399999999999999" customHeight="1">
      <c r="A1714" s="10" t="s">
        <v>6416</v>
      </c>
      <c r="B1714" s="10" t="s">
        <v>6417</v>
      </c>
      <c r="C1714" s="10" t="n">
        <v>75</v>
      </c>
      <c r="D1714" s="10" t="n">
        <v>121</v>
      </c>
      <c r="E1714" s="6" t="n">
        <f>SUM(C1714,D1714)/2</f>
        <v>98</v>
      </c>
      <c r="F1714" s="18" t="n">
        <v>104</v>
      </c>
      <c r="G1714" s="18" t="n">
        <v>119</v>
      </c>
      <c r="H1714" s="6" t="n">
        <f>SUM(F1714,G1714)/2</f>
        <v>111.5</v>
      </c>
    </row>
    <row r="1715" s="18" customFormat="1" ht="14.399999999999999" customHeight="1">
      <c r="A1715" s="10" t="s">
        <v>6418</v>
      </c>
      <c r="B1715" s="10" t="s">
        <v>6419</v>
      </c>
      <c r="C1715" s="13" t="n">
        <v>39981</v>
      </c>
      <c r="D1715" s="13" t="n">
        <v>63865</v>
      </c>
      <c r="E1715" s="6" t="n">
        <f>SUM(C1715,D1715)/2</f>
        <v>51923</v>
      </c>
      <c r="F1715" s="12" t="n">
        <v>5069</v>
      </c>
      <c r="G1715" s="12" t="n">
        <v>7744</v>
      </c>
      <c r="H1715" s="6" t="n">
        <f>SUM(F1715,G1715)/2</f>
        <v>6406.5</v>
      </c>
    </row>
    <row r="1716" s="18" customFormat="1" ht="14.399999999999999" customHeight="1">
      <c r="A1716" s="10" t="s">
        <v>4071</v>
      </c>
      <c r="B1716" s="10" t="s">
        <v>4072</v>
      </c>
      <c r="C1716" s="13" t="n">
        <v>12668</v>
      </c>
      <c r="D1716" s="13" t="n">
        <v>20236</v>
      </c>
      <c r="E1716" s="6" t="n">
        <f>SUM(C1716,D1716)/2</f>
        <v>16452</v>
      </c>
      <c r="F1716" s="12" t="n">
        <v>15696</v>
      </c>
      <c r="G1716" s="12" t="n">
        <v>22973</v>
      </c>
      <c r="H1716" s="6" t="n">
        <f>SUM(F1716,G1716)/2</f>
        <v>19334.5</v>
      </c>
    </row>
    <row r="1717" s="18" customFormat="1" ht="14.399999999999999" customHeight="1">
      <c r="A1717" s="10" t="s">
        <v>6420</v>
      </c>
      <c r="B1717" s="10" t="s">
        <v>6421</v>
      </c>
      <c r="C1717" s="13" t="n">
        <v>1871</v>
      </c>
      <c r="D1717" s="13" t="n">
        <v>2987</v>
      </c>
      <c r="E1717" s="6" t="n">
        <f>SUM(C1717,D1717)/2</f>
        <v>2429</v>
      </c>
      <c r="F1717" s="18" t="n">
        <v>41</v>
      </c>
      <c r="G1717" s="18" t="n">
        <v>57</v>
      </c>
      <c r="H1717" s="6" t="n">
        <f>SUM(F1717,G1717)/2</f>
        <v>49</v>
      </c>
    </row>
    <row r="1718" s="18" customFormat="1" ht="14.399999999999999" customHeight="1">
      <c r="A1718" s="10" t="s">
        <v>3901</v>
      </c>
      <c r="B1718" s="10" t="s">
        <v>3902</v>
      </c>
      <c r="C1718" s="13" t="n">
        <v>77508</v>
      </c>
      <c r="D1718" s="13" t="n">
        <v>123812</v>
      </c>
      <c r="E1718" s="6" t="n">
        <f>SUM(C1718,D1718)/2</f>
        <v>100660</v>
      </c>
      <c r="F1718" s="12" t="n">
        <v>4448</v>
      </c>
      <c r="G1718" s="12" t="n">
        <v>6423</v>
      </c>
      <c r="H1718" s="6" t="n">
        <f>SUM(F1718,G1718)/2</f>
        <v>5435.5</v>
      </c>
    </row>
    <row r="1719" s="18" customFormat="1" ht="14.399999999999999" customHeight="1">
      <c r="A1719" s="10" t="s">
        <v>16</v>
      </c>
      <c r="B1719" s="10" t="s">
        <v>17</v>
      </c>
      <c r="C1719" s="13" t="n">
        <v>10016048</v>
      </c>
      <c r="D1719" s="13" t="n">
        <v>15999660</v>
      </c>
      <c r="E1719" s="6" t="n">
        <f>SUM(C1719,D1719)/2</f>
        <v>13007854</v>
      </c>
      <c r="F1719" s="13" t="n">
        <v>2848322</v>
      </c>
      <c r="G1719" s="12" t="n">
        <v>4011068</v>
      </c>
      <c r="H1719" s="6" t="n">
        <f>SUM(F1719,G1719)/2</f>
        <v>3429695</v>
      </c>
    </row>
    <row r="1720" s="18" customFormat="1" ht="14.399999999999999" customHeight="1">
      <c r="A1720" s="10" t="s">
        <v>5450</v>
      </c>
      <c r="B1720" s="10" t="s">
        <v>5451</v>
      </c>
      <c r="C1720" s="13" t="n">
        <v>29489</v>
      </c>
      <c r="D1720" s="13" t="n">
        <v>47103</v>
      </c>
      <c r="E1720" s="6" t="n">
        <f>SUM(C1720,D1720)/2</f>
        <v>38296</v>
      </c>
      <c r="F1720" s="12" t="n">
        <v>77664</v>
      </c>
      <c r="G1720" s="12" t="n">
        <v>109972</v>
      </c>
      <c r="H1720" s="6" t="n">
        <f>SUM(F1720,G1720)/2</f>
        <v>93818</v>
      </c>
    </row>
    <row r="1721" s="18" customFormat="1" ht="14.399999999999999" customHeight="1">
      <c r="A1721" s="10" t="s">
        <v>228</v>
      </c>
      <c r="B1721" s="10" t="s">
        <v>229</v>
      </c>
      <c r="C1721" s="13" t="n">
        <v>21990</v>
      </c>
      <c r="D1721" s="13" t="n">
        <v>35126</v>
      </c>
      <c r="E1721" s="6" t="n">
        <f>SUM(C1721,D1721)/2</f>
        <v>28558</v>
      </c>
      <c r="F1721" s="18" t="n">
        <v>7955</v>
      </c>
      <c r="G1721" s="18" t="n">
        <v>11692</v>
      </c>
      <c r="H1721" s="6" t="n">
        <f>SUM(F1721,G1721)/2</f>
        <v>9823.5</v>
      </c>
    </row>
    <row r="1722" s="18" customFormat="1" ht="14.399999999999999" customHeight="1">
      <c r="A1722" s="10" t="s">
        <v>3511</v>
      </c>
      <c r="B1722" s="10" t="s">
        <v>3512</v>
      </c>
      <c r="C1722" s="13" t="n">
        <v>13506</v>
      </c>
      <c r="D1722" s="13" t="n">
        <v>21576</v>
      </c>
      <c r="E1722" s="6" t="n">
        <f>SUM(C1722,D1722)/2</f>
        <v>17541</v>
      </c>
      <c r="F1722" s="12" t="n">
        <v>29099</v>
      </c>
      <c r="G1722" s="12" t="n">
        <v>47376</v>
      </c>
      <c r="H1722" s="6" t="n">
        <f>SUM(F1722,G1722)/2</f>
        <v>38237.5</v>
      </c>
    </row>
    <row r="1723" s="18" customFormat="1" ht="14.399999999999999" customHeight="1">
      <c r="A1723" s="10" t="s">
        <v>1224</v>
      </c>
      <c r="B1723" s="10" t="s">
        <v>1225</v>
      </c>
      <c r="C1723" s="13" t="n">
        <v>64130</v>
      </c>
      <c r="D1723" s="13" t="n">
        <v>102442</v>
      </c>
      <c r="E1723" s="6" t="n">
        <f>SUM(C1723,D1723)/2</f>
        <v>83286</v>
      </c>
      <c r="F1723" s="12" t="n">
        <v>66804</v>
      </c>
      <c r="G1723" s="12" t="n">
        <v>80933</v>
      </c>
      <c r="H1723" s="6" t="n">
        <f>SUM(F1723,G1723)/2</f>
        <v>73868.5</v>
      </c>
    </row>
    <row r="1724" s="18" customFormat="1" ht="14.399999999999999" customHeight="1">
      <c r="A1724" s="10" t="s">
        <v>6422</v>
      </c>
      <c r="B1724" s="10" t="s">
        <v>6423</v>
      </c>
      <c r="C1724" s="13" t="n">
        <v>29245</v>
      </c>
      <c r="D1724" s="13" t="n">
        <v>46719</v>
      </c>
      <c r="E1724" s="6" t="n">
        <f>SUM(C1724,D1724)/2</f>
        <v>37982</v>
      </c>
      <c r="F1724" s="12" t="n">
        <v>32114</v>
      </c>
      <c r="G1724" s="12" t="n">
        <v>47540</v>
      </c>
      <c r="H1724" s="6" t="n">
        <f>SUM(F1724,G1724)/2</f>
        <v>39827</v>
      </c>
    </row>
    <row r="1725" s="18" customFormat="1" ht="14.399999999999999" customHeight="1">
      <c r="A1725" s="10" t="s">
        <v>6424</v>
      </c>
      <c r="B1725" s="10" t="s">
        <v>6425</v>
      </c>
      <c r="C1725" s="13" t="n">
        <v>23534</v>
      </c>
      <c r="D1725" s="13" t="n">
        <v>37590</v>
      </c>
      <c r="E1725" s="6" t="n">
        <f>SUM(C1725,D1725)/2</f>
        <v>30562</v>
      </c>
      <c r="F1725" s="12" t="n">
        <v>23231</v>
      </c>
      <c r="G1725" s="12" t="n">
        <v>35191</v>
      </c>
      <c r="H1725" s="6" t="n">
        <f>SUM(F1725,G1725)/2</f>
        <v>29211</v>
      </c>
    </row>
    <row r="1726" s="18" customFormat="1" ht="14.399999999999999" customHeight="1">
      <c r="A1726" s="10" t="s">
        <v>1001</v>
      </c>
      <c r="B1726" s="10" t="s">
        <v>1002</v>
      </c>
      <c r="C1726" s="13" t="n">
        <v>43081</v>
      </c>
      <c r="D1726" s="13" t="n">
        <v>68815</v>
      </c>
      <c r="E1726" s="6" t="n">
        <f>SUM(C1726,D1726)/2</f>
        <v>55948</v>
      </c>
      <c r="F1726" s="12" t="n">
        <v>39908</v>
      </c>
      <c r="G1726" s="12" t="n">
        <v>58168</v>
      </c>
      <c r="H1726" s="6" t="n">
        <f>SUM(F1726,G1726)/2</f>
        <v>49038</v>
      </c>
    </row>
    <row r="1727" s="18" customFormat="1" ht="14.399999999999999" customHeight="1">
      <c r="A1727" s="10" t="s">
        <v>6426</v>
      </c>
      <c r="B1727" s="10" t="s">
        <v>6427</v>
      </c>
      <c r="C1727" s="10" t="n">
        <v>993</v>
      </c>
      <c r="D1727" s="13" t="n">
        <v>1585</v>
      </c>
      <c r="E1727" s="6" t="n">
        <f>SUM(C1727,D1727)/2</f>
        <v>1289</v>
      </c>
      <c r="F1727" s="18" t="n">
        <v>132</v>
      </c>
      <c r="G1727" s="18" t="n">
        <v>190</v>
      </c>
      <c r="H1727" s="6" t="n">
        <f>SUM(F1727,G1727)/2</f>
        <v>161</v>
      </c>
    </row>
    <row r="1728" s="18" customFormat="1" ht="14.399999999999999" customHeight="1">
      <c r="A1728" s="10" t="s">
        <v>2765</v>
      </c>
      <c r="B1728" s="10" t="s">
        <v>2766</v>
      </c>
      <c r="C1728" s="10" t="n">
        <v>2</v>
      </c>
      <c r="D1728" s="10" t="n">
        <v>2</v>
      </c>
      <c r="E1728" s="6" t="n">
        <f>SUM(C1728,D1728)/2</f>
        <v>2</v>
      </c>
      <c r="F1728" s="18" t="n">
        <v>0</v>
      </c>
      <c r="G1728" s="18" t="n">
        <v>0</v>
      </c>
      <c r="H1728" s="6" t="n">
        <f>SUM(F1728,G1728)/2</f>
        <v>0</v>
      </c>
    </row>
    <row r="1729" s="18" customFormat="1" ht="14.399999999999999" customHeight="1">
      <c r="A1729" s="10" t="s">
        <v>919</v>
      </c>
      <c r="B1729" s="10" t="s">
        <v>920</v>
      </c>
      <c r="C1729" s="13" t="n">
        <v>714952</v>
      </c>
      <c r="D1729" s="13" t="n">
        <v>1142066</v>
      </c>
      <c r="E1729" s="6" t="n">
        <f>SUM(C1729,D1729)/2</f>
        <v>928509</v>
      </c>
      <c r="F1729" s="12" t="n">
        <v>121848</v>
      </c>
      <c r="G1729" s="12" t="n">
        <v>158382</v>
      </c>
      <c r="H1729" s="6" t="n">
        <f>SUM(F1729,G1729)/2</f>
        <v>140115</v>
      </c>
    </row>
    <row r="1730" s="18" customFormat="1" ht="14.399999999999999" customHeight="1">
      <c r="A1730" s="10" t="s">
        <v>6428</v>
      </c>
      <c r="B1730" s="10" t="s">
        <v>6429</v>
      </c>
      <c r="C1730" s="10"/>
      <c r="D1730" s="10"/>
      <c r="E1730" s="6" t="n">
        <f>SUM(C1730,D1730)/2</f>
        <v>0</v>
      </c>
      <c r="F1730" s="12" t="n">
        <v>198621</v>
      </c>
      <c r="G1730" s="12" t="n">
        <v>261126</v>
      </c>
      <c r="H1730" s="6" t="n">
        <f>SUM(F1730,G1730)/2</f>
        <v>229873.5</v>
      </c>
    </row>
    <row r="1731" s="18" customFormat="1" ht="14.399999999999999" customHeight="1">
      <c r="A1731" s="10" t="s">
        <v>3163</v>
      </c>
      <c r="B1731" s="10" t="s">
        <v>3164</v>
      </c>
      <c r="C1731" s="13" t="n">
        <v>70464</v>
      </c>
      <c r="D1731" s="13" t="n">
        <v>112560</v>
      </c>
      <c r="E1731" s="6" t="n">
        <f>SUM(C1731,D1731)/2</f>
        <v>91512</v>
      </c>
      <c r="F1731" s="12" t="n">
        <v>36540</v>
      </c>
      <c r="G1731" s="12" t="n">
        <v>53887</v>
      </c>
      <c r="H1731" s="6" t="n">
        <f>SUM(F1731,G1731)/2</f>
        <v>45213.5</v>
      </c>
    </row>
    <row r="1732" s="18" customFormat="1" ht="14.399999999999999" customHeight="1">
      <c r="A1732" s="10" t="s">
        <v>6430</v>
      </c>
      <c r="B1732" s="10" t="s">
        <v>6431</v>
      </c>
      <c r="C1732" s="10" t="n">
        <v>66</v>
      </c>
      <c r="D1732" s="10" t="n">
        <v>106</v>
      </c>
      <c r="E1732" s="6" t="n">
        <f>SUM(C1732,D1732)/2</f>
        <v>86</v>
      </c>
      <c r="F1732" s="18" t="n">
        <v>0</v>
      </c>
      <c r="G1732" s="18" t="n">
        <v>0</v>
      </c>
      <c r="H1732" s="6" t="n">
        <f>SUM(F1732,G1732)/2</f>
        <v>0</v>
      </c>
    </row>
    <row r="1733" s="18" customFormat="1" ht="14.399999999999999" customHeight="1">
      <c r="A1733" s="10" t="s">
        <v>1861</v>
      </c>
      <c r="B1733" s="10" t="s">
        <v>1862</v>
      </c>
      <c r="C1733" s="10" t="n">
        <v>26</v>
      </c>
      <c r="D1733" s="10" t="n">
        <v>42</v>
      </c>
      <c r="E1733" s="6" t="n">
        <f>SUM(C1733,D1733)/2</f>
        <v>34</v>
      </c>
      <c r="F1733" s="18" t="n">
        <v>10</v>
      </c>
      <c r="G1733" s="18" t="n">
        <v>14</v>
      </c>
      <c r="H1733" s="6" t="n">
        <f>SUM(F1733,G1733)/2</f>
        <v>12</v>
      </c>
    </row>
    <row r="1734" s="18" customFormat="1" ht="14.399999999999999" customHeight="1">
      <c r="A1734" s="10" t="s">
        <v>4063</v>
      </c>
      <c r="B1734" s="10" t="s">
        <v>4064</v>
      </c>
      <c r="C1734" s="13" t="n">
        <v>31218</v>
      </c>
      <c r="D1734" s="13" t="n">
        <v>49868</v>
      </c>
      <c r="E1734" s="6" t="n">
        <f>SUM(C1734,D1734)/2</f>
        <v>40543</v>
      </c>
      <c r="F1734" s="12" t="n">
        <v>9567</v>
      </c>
      <c r="G1734" s="12" t="n">
        <v>19418</v>
      </c>
      <c r="H1734" s="6" t="n">
        <f>SUM(F1734,G1734)/2</f>
        <v>14492.5</v>
      </c>
    </row>
    <row r="1735" s="18" customFormat="1" ht="14.399999999999999" customHeight="1">
      <c r="A1735" s="10" t="s">
        <v>214</v>
      </c>
      <c r="B1735" s="10" t="s">
        <v>215</v>
      </c>
      <c r="C1735" s="13" t="n">
        <v>65763</v>
      </c>
      <c r="D1735" s="13" t="n">
        <v>105049</v>
      </c>
      <c r="E1735" s="6" t="n">
        <f>SUM(C1735,D1735)/2</f>
        <v>85406</v>
      </c>
      <c r="F1735" s="12" t="n">
        <v>21704</v>
      </c>
      <c r="G1735" s="12" t="n">
        <v>32787</v>
      </c>
      <c r="H1735" s="6" t="n">
        <f>SUM(F1735,G1735)/2</f>
        <v>27245.5</v>
      </c>
    </row>
    <row r="1736" s="18" customFormat="1" ht="14.399999999999999" customHeight="1">
      <c r="A1736" s="10" t="s">
        <v>1122</v>
      </c>
      <c r="B1736" s="10" t="s">
        <v>1123</v>
      </c>
      <c r="C1736" s="13" t="n">
        <v>88524</v>
      </c>
      <c r="D1736" s="13" t="n">
        <v>141408</v>
      </c>
      <c r="E1736" s="6" t="n">
        <f>SUM(C1736,D1736)/2</f>
        <v>114966</v>
      </c>
      <c r="F1736" s="12" t="n">
        <v>128044</v>
      </c>
      <c r="G1736" s="12" t="n">
        <v>192000</v>
      </c>
      <c r="H1736" s="6" t="n">
        <f>SUM(F1736,G1736)/2</f>
        <v>160022</v>
      </c>
    </row>
    <row r="1737" s="18" customFormat="1" ht="14.399999999999999" customHeight="1">
      <c r="A1737" s="10" t="s">
        <v>3281</v>
      </c>
      <c r="B1737" s="10" t="s">
        <v>3282</v>
      </c>
      <c r="C1737" s="13" t="n">
        <v>84491</v>
      </c>
      <c r="D1737" s="13" t="n">
        <v>134965</v>
      </c>
      <c r="E1737" s="6" t="n">
        <f>SUM(C1737,D1737)/2</f>
        <v>109728</v>
      </c>
      <c r="F1737" s="12" t="n">
        <v>25592</v>
      </c>
      <c r="G1737" s="12" t="n">
        <v>37151</v>
      </c>
      <c r="H1737" s="6" t="n">
        <f>SUM(F1737,G1737)/2</f>
        <v>31371.5</v>
      </c>
    </row>
    <row r="1738" s="18" customFormat="1" ht="14.399999999999999" customHeight="1">
      <c r="A1738" s="10" t="s">
        <v>1939</v>
      </c>
      <c r="B1738" s="10" t="s">
        <v>1940</v>
      </c>
      <c r="C1738" s="10" t="n">
        <v>0</v>
      </c>
      <c r="D1738" s="10" t="n">
        <v>0</v>
      </c>
      <c r="E1738" s="6" t="n">
        <f>SUM(C1738,D1738)/2</f>
        <v>0</v>
      </c>
      <c r="F1738" s="18" t="n">
        <v>12</v>
      </c>
      <c r="G1738" s="18" t="n">
        <v>17</v>
      </c>
      <c r="H1738" s="6" t="n">
        <f>SUM(F1738,G1738)/2</f>
        <v>14.5</v>
      </c>
    </row>
    <row r="1739" s="18" customFormat="1" ht="14.399999999999999" customHeight="1">
      <c r="A1739" s="10" t="s">
        <v>3079</v>
      </c>
      <c r="B1739" s="10" t="s">
        <v>3080</v>
      </c>
      <c r="C1739" s="13" t="n">
        <v>67457</v>
      </c>
      <c r="D1739" s="13" t="n">
        <v>107757</v>
      </c>
      <c r="E1739" s="6" t="n">
        <f>SUM(C1739,D1739)/2</f>
        <v>87607</v>
      </c>
      <c r="F1739" s="12" t="n">
        <v>40591</v>
      </c>
      <c r="G1739" s="12" t="n">
        <v>58416</v>
      </c>
      <c r="H1739" s="6" t="n">
        <f>SUM(F1739,G1739)/2</f>
        <v>49503.5</v>
      </c>
    </row>
    <row r="1740" s="18" customFormat="1" ht="14.399999999999999" customHeight="1">
      <c r="A1740" s="10" t="s">
        <v>5484</v>
      </c>
      <c r="B1740" s="10" t="s">
        <v>5485</v>
      </c>
      <c r="C1740" s="13" t="n">
        <v>145142</v>
      </c>
      <c r="D1740" s="13" t="n">
        <v>231848</v>
      </c>
      <c r="E1740" s="6" t="n">
        <f>SUM(C1740,D1740)/2</f>
        <v>188495</v>
      </c>
      <c r="F1740" s="12" t="n">
        <v>21157</v>
      </c>
      <c r="G1740" s="12" t="n">
        <v>57606</v>
      </c>
      <c r="H1740" s="6" t="n">
        <f>SUM(F1740,G1740)/2</f>
        <v>39381.5</v>
      </c>
    </row>
    <row r="1741" s="18" customFormat="1" ht="14.399999999999999" customHeight="1">
      <c r="A1741" s="10" t="s">
        <v>5486</v>
      </c>
      <c r="B1741" s="10" t="s">
        <v>5487</v>
      </c>
      <c r="C1741" s="13" t="n">
        <v>135053</v>
      </c>
      <c r="D1741" s="13" t="n">
        <v>215733</v>
      </c>
      <c r="E1741" s="6" t="n">
        <f>SUM(C1741,D1741)/2</f>
        <v>175393</v>
      </c>
      <c r="F1741" s="12" t="n">
        <v>35953</v>
      </c>
      <c r="G1741" s="12" t="n">
        <v>47885</v>
      </c>
      <c r="H1741" s="6" t="n">
        <f>SUM(F1741,G1741)/2</f>
        <v>41919</v>
      </c>
    </row>
    <row r="1742" s="18" customFormat="1" ht="14.399999999999999" customHeight="1">
      <c r="A1742" s="10" t="s">
        <v>6432</v>
      </c>
      <c r="B1742" s="10" t="s">
        <v>6433</v>
      </c>
      <c r="C1742" s="13" t="n">
        <v>33737</v>
      </c>
      <c r="D1742" s="13" t="n">
        <v>53889</v>
      </c>
      <c r="E1742" s="6" t="n">
        <f>SUM(C1742,D1742)/2</f>
        <v>43813</v>
      </c>
      <c r="F1742" s="12" t="n">
        <v>7606</v>
      </c>
      <c r="G1742" s="12" t="n">
        <v>11004</v>
      </c>
      <c r="H1742" s="6" t="n">
        <f>SUM(F1742,G1742)/2</f>
        <v>9305</v>
      </c>
    </row>
    <row r="1743" s="18" customFormat="1" ht="14.399999999999999" customHeight="1">
      <c r="A1743" s="10" t="s">
        <v>3723</v>
      </c>
      <c r="B1743" s="10" t="s">
        <v>3724</v>
      </c>
      <c r="C1743" s="13" t="n">
        <v>46930</v>
      </c>
      <c r="D1743" s="13" t="n">
        <v>74966</v>
      </c>
      <c r="E1743" s="6" t="n">
        <f>SUM(C1743,D1743)/2</f>
        <v>60948</v>
      </c>
      <c r="F1743" s="12" t="n">
        <v>17154</v>
      </c>
      <c r="G1743" s="12" t="n">
        <v>23154</v>
      </c>
      <c r="H1743" s="6" t="n">
        <f>SUM(F1743,G1743)/2</f>
        <v>20154</v>
      </c>
    </row>
    <row r="1744" s="18" customFormat="1" ht="14.399999999999999" customHeight="1">
      <c r="A1744" s="10" t="s">
        <v>6434</v>
      </c>
      <c r="B1744" s="10" t="s">
        <v>6435</v>
      </c>
      <c r="C1744" s="10" t="n">
        <v>78</v>
      </c>
      <c r="D1744" s="10" t="n">
        <v>124</v>
      </c>
      <c r="E1744" s="6" t="n">
        <f>SUM(C1744,D1744)/2</f>
        <v>101</v>
      </c>
      <c r="F1744" s="18" t="n">
        <v>49</v>
      </c>
      <c r="G1744" s="18" t="n">
        <v>72</v>
      </c>
      <c r="H1744" s="6" t="n">
        <f>SUM(F1744,G1744)/2</f>
        <v>60.5</v>
      </c>
    </row>
    <row r="1745" s="18" customFormat="1" ht="14.399999999999999" customHeight="1">
      <c r="A1745" s="10" t="s">
        <v>6436</v>
      </c>
      <c r="B1745" s="10" t="s">
        <v>6437</v>
      </c>
      <c r="C1745" s="13" t="n">
        <v>63057</v>
      </c>
      <c r="D1745" s="13" t="n">
        <v>100725</v>
      </c>
      <c r="E1745" s="6" t="n">
        <f>SUM(C1745,D1745)/2</f>
        <v>81891</v>
      </c>
      <c r="F1745" s="12" t="n">
        <v>11974</v>
      </c>
      <c r="G1745" s="12" t="n">
        <v>17925</v>
      </c>
      <c r="H1745" s="6" t="n">
        <f>SUM(F1745,G1745)/2</f>
        <v>14949.5</v>
      </c>
    </row>
    <row r="1746" s="18" customFormat="1" ht="14.399999999999999" customHeight="1">
      <c r="A1746" s="10" t="s">
        <v>6438</v>
      </c>
      <c r="B1746" s="10" t="s">
        <v>6439</v>
      </c>
      <c r="C1746" s="13" t="n">
        <v>23313</v>
      </c>
      <c r="D1746" s="13" t="n">
        <v>37239</v>
      </c>
      <c r="E1746" s="6" t="n">
        <f>SUM(C1746,D1746)/2</f>
        <v>30276</v>
      </c>
      <c r="F1746" s="12" t="n">
        <v>6749</v>
      </c>
      <c r="G1746" s="12" t="n">
        <v>9984</v>
      </c>
      <c r="H1746" s="6" t="n">
        <f>SUM(F1746,G1746)/2</f>
        <v>8366.5</v>
      </c>
    </row>
    <row r="1747" s="18" customFormat="1" ht="14.399999999999999" customHeight="1">
      <c r="A1747" s="10" t="s">
        <v>4775</v>
      </c>
      <c r="B1747" s="10" t="s">
        <v>4776</v>
      </c>
      <c r="C1747" s="13" t="n">
        <v>14949</v>
      </c>
      <c r="D1747" s="13" t="n">
        <v>23881</v>
      </c>
      <c r="E1747" s="6" t="n">
        <f>SUM(C1747,D1747)/2</f>
        <v>19415</v>
      </c>
      <c r="F1747" s="12" t="n">
        <v>6869</v>
      </c>
      <c r="G1747" s="12" t="n">
        <v>8968</v>
      </c>
      <c r="H1747" s="6" t="n">
        <f>SUM(F1747,G1747)/2</f>
        <v>7918.5</v>
      </c>
    </row>
    <row r="1748" s="18" customFormat="1" ht="14.399999999999999" customHeight="1">
      <c r="A1748" s="10" t="s">
        <v>4491</v>
      </c>
      <c r="B1748" s="10" t="s">
        <v>4492</v>
      </c>
      <c r="C1748" s="13" t="n">
        <v>7852</v>
      </c>
      <c r="D1748" s="13" t="n">
        <v>12544</v>
      </c>
      <c r="E1748" s="6" t="n">
        <f>SUM(C1748,D1748)/2</f>
        <v>10198</v>
      </c>
      <c r="F1748" s="12" t="n">
        <v>10891</v>
      </c>
      <c r="G1748" s="12" t="n">
        <v>15846</v>
      </c>
      <c r="H1748" s="6" t="n">
        <f>SUM(F1748,G1748)/2</f>
        <v>13368.5</v>
      </c>
    </row>
    <row r="1749" s="18" customFormat="1" ht="14.399999999999999" customHeight="1">
      <c r="A1749" s="10" t="s">
        <v>3527</v>
      </c>
      <c r="B1749" s="10" t="s">
        <v>3528</v>
      </c>
      <c r="C1749" s="13" t="n">
        <v>42219</v>
      </c>
      <c r="D1749" s="13" t="n">
        <v>67443</v>
      </c>
      <c r="E1749" s="6" t="n">
        <f>SUM(C1749,D1749)/2</f>
        <v>54831</v>
      </c>
      <c r="F1749" s="12" t="n">
        <v>13219</v>
      </c>
      <c r="G1749" s="12" t="n">
        <v>46059</v>
      </c>
      <c r="H1749" s="6" t="n">
        <f>SUM(F1749,G1749)/2</f>
        <v>29639</v>
      </c>
    </row>
    <row r="1750" s="18" customFormat="1" ht="14.399999999999999" customHeight="1">
      <c r="A1750" s="10" t="s">
        <v>3557</v>
      </c>
      <c r="B1750" s="10" t="s">
        <v>3558</v>
      </c>
      <c r="C1750" s="13" t="n">
        <v>109503</v>
      </c>
      <c r="D1750" s="13" t="n">
        <v>174923</v>
      </c>
      <c r="E1750" s="6" t="n">
        <f>SUM(C1750,D1750)/2</f>
        <v>142213</v>
      </c>
      <c r="F1750" s="12" t="n">
        <v>7768</v>
      </c>
      <c r="G1750" s="12" t="n">
        <v>12257</v>
      </c>
      <c r="H1750" s="6" t="n">
        <f>SUM(F1750,G1750)/2</f>
        <v>10012.5</v>
      </c>
    </row>
    <row r="1751" s="18" customFormat="1" ht="14.399999999999999" customHeight="1">
      <c r="A1751" s="10" t="s">
        <v>6440</v>
      </c>
      <c r="B1751" s="10" t="s">
        <v>6441</v>
      </c>
      <c r="C1751" s="13" t="n">
        <v>71449</v>
      </c>
      <c r="D1751" s="13" t="n">
        <v>114131</v>
      </c>
      <c r="E1751" s="6" t="n">
        <f>SUM(C1751,D1751)/2</f>
        <v>92790</v>
      </c>
      <c r="F1751" s="12" t="n">
        <v>46433</v>
      </c>
      <c r="G1751" s="12" t="n">
        <v>74956</v>
      </c>
      <c r="H1751" s="6" t="n">
        <f>SUM(F1751,G1751)/2</f>
        <v>60694.5</v>
      </c>
    </row>
    <row r="1752" s="18" customFormat="1" ht="14.399999999999999" customHeight="1">
      <c r="A1752" s="10" t="s">
        <v>2662</v>
      </c>
      <c r="B1752" s="10" t="s">
        <v>2663</v>
      </c>
      <c r="C1752" s="10" t="n">
        <v>4</v>
      </c>
      <c r="D1752" s="10" t="n">
        <v>6</v>
      </c>
      <c r="E1752" s="6" t="n">
        <f>SUM(C1752,D1752)/2</f>
        <v>5</v>
      </c>
      <c r="F1752" s="18" t="n">
        <v>0</v>
      </c>
      <c r="G1752" s="18" t="n">
        <v>0</v>
      </c>
      <c r="H1752" s="6" t="n">
        <f>SUM(F1752,G1752)/2</f>
        <v>0</v>
      </c>
    </row>
    <row r="1753" s="18" customFormat="1" ht="14.399999999999999" customHeight="1">
      <c r="A1753" s="10" t="s">
        <v>6442</v>
      </c>
      <c r="B1753" s="10" t="s">
        <v>6443</v>
      </c>
      <c r="C1753" s="13" t="n">
        <v>45138</v>
      </c>
      <c r="D1753" s="13" t="n">
        <v>72102</v>
      </c>
      <c r="E1753" s="6" t="n">
        <f>SUM(C1753,D1753)/2</f>
        <v>58620</v>
      </c>
      <c r="F1753" s="12" t="n">
        <v>224430</v>
      </c>
      <c r="G1753" s="12" t="n">
        <v>359241</v>
      </c>
      <c r="H1753" s="6" t="n">
        <f>SUM(F1753,G1753)/2</f>
        <v>291835.5</v>
      </c>
    </row>
    <row r="1754" s="18" customFormat="1" ht="14.399999999999999" customHeight="1">
      <c r="A1754" s="10" t="s">
        <v>6444</v>
      </c>
      <c r="B1754" s="10" t="s">
        <v>6445</v>
      </c>
      <c r="C1754" s="13" t="n">
        <v>56109</v>
      </c>
      <c r="D1754" s="13" t="n">
        <v>89629</v>
      </c>
      <c r="E1754" s="6" t="n">
        <f>SUM(C1754,D1754)/2</f>
        <v>72869</v>
      </c>
      <c r="F1754" s="12" t="n">
        <v>8976</v>
      </c>
      <c r="G1754" s="12" t="n">
        <v>12527</v>
      </c>
      <c r="H1754" s="6" t="n">
        <f>SUM(F1754,G1754)/2</f>
        <v>10751.5</v>
      </c>
    </row>
    <row r="1755" s="18" customFormat="1" ht="14.399999999999999" customHeight="1">
      <c r="A1755" s="10" t="s">
        <v>4419</v>
      </c>
      <c r="B1755" s="10" t="s">
        <v>4420</v>
      </c>
      <c r="C1755" s="13" t="n">
        <v>26839</v>
      </c>
      <c r="D1755" s="13" t="n">
        <v>42877</v>
      </c>
      <c r="E1755" s="6" t="n">
        <f>SUM(C1755,D1755)/2</f>
        <v>34858</v>
      </c>
      <c r="F1755" s="12" t="n">
        <v>7656</v>
      </c>
      <c r="G1755" s="12" t="n">
        <v>10475</v>
      </c>
      <c r="H1755" s="6" t="n">
        <f>SUM(F1755,G1755)/2</f>
        <v>9065.5</v>
      </c>
    </row>
    <row r="1756" s="18" customFormat="1" ht="14.399999999999999" customHeight="1">
      <c r="A1756" s="10" t="s">
        <v>6446</v>
      </c>
      <c r="B1756" s="10" t="s">
        <v>6447</v>
      </c>
      <c r="C1756" s="10" t="n">
        <v>89</v>
      </c>
      <c r="D1756" s="10" t="n">
        <v>143</v>
      </c>
      <c r="E1756" s="6" t="n">
        <f>SUM(C1756,D1756)/2</f>
        <v>116</v>
      </c>
      <c r="F1756" s="18" t="n">
        <v>94</v>
      </c>
      <c r="G1756" s="18" t="n">
        <v>105</v>
      </c>
      <c r="H1756" s="6" t="n">
        <f>SUM(F1756,G1756)/2</f>
        <v>99.5</v>
      </c>
    </row>
    <row r="1757" s="18" customFormat="1" ht="14.399999999999999" customHeight="1">
      <c r="A1757" s="10" t="s">
        <v>2214</v>
      </c>
      <c r="B1757" s="10" t="s">
        <v>2215</v>
      </c>
      <c r="C1757" s="10" t="n">
        <v>1</v>
      </c>
      <c r="D1757" s="10" t="n">
        <v>1</v>
      </c>
      <c r="E1757" s="6" t="n">
        <f>SUM(C1757,D1757)/2</f>
        <v>1</v>
      </c>
      <c r="F1757" s="18" t="n">
        <v>5</v>
      </c>
      <c r="G1757" s="18" t="n">
        <v>9</v>
      </c>
      <c r="H1757" s="6" t="n">
        <f>SUM(F1757,G1757)/2</f>
        <v>7</v>
      </c>
    </row>
    <row r="1758" s="18" customFormat="1" ht="14.399999999999999" customHeight="1">
      <c r="A1758" s="10" t="s">
        <v>2382</v>
      </c>
      <c r="B1758" s="10" t="s">
        <v>2383</v>
      </c>
      <c r="C1758" s="10" t="n">
        <v>7</v>
      </c>
      <c r="D1758" s="10" t="n">
        <v>9</v>
      </c>
      <c r="E1758" s="6" t="n">
        <f>SUM(C1758,D1758)/2</f>
        <v>8</v>
      </c>
      <c r="F1758" s="18" t="n">
        <v>3</v>
      </c>
      <c r="G1758" s="18" t="n">
        <v>3</v>
      </c>
      <c r="H1758" s="6" t="n">
        <f>SUM(F1758,G1758)/2</f>
        <v>3</v>
      </c>
    </row>
    <row r="1759" s="18" customFormat="1" ht="14.399999999999999" customHeight="1">
      <c r="A1759" s="10" t="s">
        <v>1833</v>
      </c>
      <c r="B1759" s="10" t="s">
        <v>1834</v>
      </c>
      <c r="C1759" s="10" t="n">
        <v>37</v>
      </c>
      <c r="D1759" s="10" t="n">
        <v>57</v>
      </c>
      <c r="E1759" s="6" t="n">
        <f>SUM(C1759,D1759)/2</f>
        <v>47</v>
      </c>
      <c r="F1759" s="18" t="n">
        <v>9</v>
      </c>
      <c r="G1759" s="18" t="n">
        <v>12</v>
      </c>
      <c r="H1759" s="6" t="n">
        <f>SUM(F1759,G1759)/2</f>
        <v>10.5</v>
      </c>
    </row>
    <row r="1760" s="18" customFormat="1" ht="14.399999999999999" customHeight="1">
      <c r="A1760" s="10" t="s">
        <v>6448</v>
      </c>
      <c r="B1760" s="10" t="s">
        <v>6449</v>
      </c>
      <c r="C1760" s="13" t="n">
        <v>49703</v>
      </c>
      <c r="D1760" s="13" t="n">
        <v>79395</v>
      </c>
      <c r="E1760" s="6" t="n">
        <f>SUM(C1760,D1760)/2</f>
        <v>64549</v>
      </c>
      <c r="F1760" s="12" t="n">
        <v>7703</v>
      </c>
      <c r="G1760" s="12" t="n">
        <v>11749</v>
      </c>
      <c r="H1760" s="6" t="n">
        <f>SUM(F1760,G1760)/2</f>
        <v>9726</v>
      </c>
    </row>
    <row r="1761" s="18" customFormat="1" ht="14.399999999999999" customHeight="1">
      <c r="A1761" s="10" t="s">
        <v>5288</v>
      </c>
      <c r="B1761" s="10" t="s">
        <v>5289</v>
      </c>
      <c r="C1761" s="10" t="n">
        <v>354</v>
      </c>
      <c r="D1761" s="10" t="n">
        <v>568</v>
      </c>
      <c r="E1761" s="6" t="n">
        <f>SUM(C1761,D1761)/2</f>
        <v>461</v>
      </c>
      <c r="F1761" s="18" t="n">
        <v>667</v>
      </c>
      <c r="G1761" s="18" t="n">
        <v>927</v>
      </c>
      <c r="H1761" s="6" t="n">
        <f>SUM(F1761,G1761)/2</f>
        <v>797</v>
      </c>
    </row>
    <row r="1762" s="18" customFormat="1" ht="14.399999999999999" customHeight="1">
      <c r="A1762" s="10" t="s">
        <v>3993</v>
      </c>
      <c r="B1762" s="10" t="s">
        <v>3994</v>
      </c>
      <c r="C1762" s="13" t="n">
        <v>49778</v>
      </c>
      <c r="D1762" s="13" t="n">
        <v>79516</v>
      </c>
      <c r="E1762" s="6" t="n">
        <f>SUM(C1762,D1762)/2</f>
        <v>64647</v>
      </c>
      <c r="F1762" s="12" t="n">
        <v>9343</v>
      </c>
      <c r="G1762" s="12" t="n">
        <v>13317</v>
      </c>
      <c r="H1762" s="6" t="n">
        <f>SUM(F1762,G1762)/2</f>
        <v>11330</v>
      </c>
    </row>
    <row r="1763" s="18" customFormat="1" ht="14.399999999999999" customHeight="1">
      <c r="A1763" s="10" t="s">
        <v>6450</v>
      </c>
      <c r="B1763" s="10" t="s">
        <v>6451</v>
      </c>
      <c r="C1763" s="10" t="n">
        <v>293</v>
      </c>
      <c r="D1763" s="10" t="n">
        <v>469</v>
      </c>
      <c r="E1763" s="6" t="n">
        <f>SUM(C1763,D1763)/2</f>
        <v>381</v>
      </c>
      <c r="F1763" s="18" t="n">
        <v>161</v>
      </c>
      <c r="G1763" s="18" t="n">
        <v>232</v>
      </c>
      <c r="H1763" s="6" t="n">
        <f>SUM(F1763,G1763)/2</f>
        <v>196.5</v>
      </c>
    </row>
    <row r="1764" s="18" customFormat="1" ht="14.399999999999999" customHeight="1">
      <c r="A1764" s="10" t="s">
        <v>2470</v>
      </c>
      <c r="B1764" s="10" t="s">
        <v>2471</v>
      </c>
      <c r="C1764" s="10" t="n">
        <v>5</v>
      </c>
      <c r="D1764" s="10" t="n">
        <v>9</v>
      </c>
      <c r="E1764" s="6" t="n">
        <f>SUM(C1764,D1764)/2</f>
        <v>7</v>
      </c>
      <c r="F1764" s="18" t="n">
        <v>2</v>
      </c>
      <c r="G1764" s="18" t="n">
        <v>2</v>
      </c>
      <c r="H1764" s="6" t="n">
        <f>SUM(F1764,G1764)/2</f>
        <v>2</v>
      </c>
    </row>
    <row r="1765" s="18" customFormat="1" ht="14.399999999999999" customHeight="1">
      <c r="A1765" s="10" t="s">
        <v>1073</v>
      </c>
      <c r="B1765" s="10" t="s">
        <v>1074</v>
      </c>
      <c r="C1765" s="13" t="n">
        <v>375221</v>
      </c>
      <c r="D1765" s="13" t="n">
        <v>599377</v>
      </c>
      <c r="E1765" s="6" t="n">
        <f>SUM(C1765,D1765)/2</f>
        <v>487299</v>
      </c>
      <c r="F1765" s="12" t="n">
        <v>82655</v>
      </c>
      <c r="G1765" s="12" t="n">
        <v>121992</v>
      </c>
      <c r="H1765" s="6" t="n">
        <f>SUM(F1765,G1765)/2</f>
        <v>102323.5</v>
      </c>
    </row>
    <row r="1766" s="18" customFormat="1" ht="14.399999999999999" customHeight="1">
      <c r="A1766" s="10" t="s">
        <v>2222</v>
      </c>
      <c r="B1766" s="10" t="s">
        <v>2223</v>
      </c>
      <c r="C1766" s="10" t="n">
        <v>66</v>
      </c>
      <c r="D1766" s="10" t="n">
        <v>104</v>
      </c>
      <c r="E1766" s="6" t="n">
        <f>SUM(C1766,D1766)/2</f>
        <v>85</v>
      </c>
      <c r="F1766" s="18" t="n">
        <v>51</v>
      </c>
      <c r="G1766" s="18" t="n">
        <v>75</v>
      </c>
      <c r="H1766" s="6" t="n">
        <f>SUM(F1766,G1766)/2</f>
        <v>63</v>
      </c>
    </row>
    <row r="1767" s="18" customFormat="1" ht="14.399999999999999" customHeight="1">
      <c r="A1767" s="10" t="s">
        <v>3771</v>
      </c>
      <c r="B1767" s="10" t="s">
        <v>3772</v>
      </c>
      <c r="C1767" s="13" t="n">
        <v>30331</v>
      </c>
      <c r="D1767" s="13" t="n">
        <v>48451</v>
      </c>
      <c r="E1767" s="6" t="n">
        <f>SUM(C1767,D1767)/2</f>
        <v>39391</v>
      </c>
      <c r="F1767" s="12" t="n">
        <v>19101</v>
      </c>
      <c r="G1767" s="12" t="n">
        <v>26569</v>
      </c>
      <c r="H1767" s="6" t="n">
        <f>SUM(F1767,G1767)/2</f>
        <v>22835</v>
      </c>
    </row>
    <row r="1768" s="18" customFormat="1" ht="14.399999999999999" customHeight="1">
      <c r="A1768" s="10" t="s">
        <v>6452</v>
      </c>
      <c r="B1768" s="10" t="s">
        <v>6453</v>
      </c>
      <c r="C1768" s="10" t="n">
        <v>259</v>
      </c>
      <c r="D1768" s="10" t="n">
        <v>415</v>
      </c>
      <c r="E1768" s="6" t="n">
        <f>SUM(C1768,D1768)/2</f>
        <v>337</v>
      </c>
      <c r="F1768" s="18" t="n">
        <v>24</v>
      </c>
      <c r="G1768" s="18" t="n">
        <v>40</v>
      </c>
      <c r="H1768" s="6" t="n">
        <f>SUM(F1768,G1768)/2</f>
        <v>32</v>
      </c>
    </row>
    <row r="1769" s="18" customFormat="1" ht="14.399999999999999" customHeight="1">
      <c r="A1769" s="10" t="s">
        <v>3735</v>
      </c>
      <c r="B1769" s="10" t="s">
        <v>3736</v>
      </c>
      <c r="C1769" s="13" t="n">
        <v>44306</v>
      </c>
      <c r="D1769" s="13" t="n">
        <v>70776</v>
      </c>
      <c r="E1769" s="6" t="n">
        <f>SUM(C1769,D1769)/2</f>
        <v>57541</v>
      </c>
      <c r="F1769" s="12" t="n">
        <v>15530</v>
      </c>
      <c r="G1769" s="12" t="n">
        <v>24972</v>
      </c>
      <c r="H1769" s="6" t="n">
        <f>SUM(F1769,G1769)/2</f>
        <v>20251</v>
      </c>
    </row>
    <row r="1770" s="18" customFormat="1" ht="14.399999999999999" customHeight="1">
      <c r="A1770" s="10" t="s">
        <v>3915</v>
      </c>
      <c r="B1770" s="10" t="s">
        <v>3916</v>
      </c>
      <c r="C1770" s="13" t="n">
        <v>48948</v>
      </c>
      <c r="D1770" s="13" t="n">
        <v>78192</v>
      </c>
      <c r="E1770" s="6" t="n">
        <f>SUM(C1770,D1770)/2</f>
        <v>63570</v>
      </c>
      <c r="F1770" s="12" t="n">
        <v>10787</v>
      </c>
      <c r="G1770" s="12" t="n">
        <v>15316</v>
      </c>
      <c r="H1770" s="6" t="n">
        <f>SUM(F1770,G1770)/2</f>
        <v>13051.5</v>
      </c>
    </row>
    <row r="1771" s="18" customFormat="1" ht="14.399999999999999" customHeight="1">
      <c r="A1771" s="10" t="s">
        <v>4703</v>
      </c>
      <c r="B1771" s="10" t="s">
        <v>4704</v>
      </c>
      <c r="C1771" s="13" t="n">
        <v>13355</v>
      </c>
      <c r="D1771" s="13" t="n">
        <v>21331</v>
      </c>
      <c r="E1771" s="6" t="n">
        <f>SUM(C1771,D1771)/2</f>
        <v>17343</v>
      </c>
      <c r="F1771" s="12" t="n">
        <v>7837</v>
      </c>
      <c r="G1771" s="12" t="n">
        <v>10432</v>
      </c>
      <c r="H1771" s="6" t="n">
        <f>SUM(F1771,G1771)/2</f>
        <v>9134.5</v>
      </c>
    </row>
    <row r="1772" s="18" customFormat="1" ht="14.399999999999999" customHeight="1">
      <c r="A1772" s="10" t="s">
        <v>4243</v>
      </c>
      <c r="B1772" s="10" t="s">
        <v>4244</v>
      </c>
      <c r="C1772" s="13" t="n">
        <v>43049</v>
      </c>
      <c r="D1772" s="13" t="n">
        <v>68765</v>
      </c>
      <c r="E1772" s="6" t="n">
        <f>SUM(C1772,D1772)/2</f>
        <v>55907</v>
      </c>
      <c r="F1772" s="12" t="n">
        <v>5804</v>
      </c>
      <c r="G1772" s="12" t="n">
        <v>9327</v>
      </c>
      <c r="H1772" s="6" t="n">
        <f>SUM(F1772,G1772)/2</f>
        <v>7565.5</v>
      </c>
    </row>
    <row r="1773" s="18" customFormat="1" ht="14.399999999999999" customHeight="1">
      <c r="A1773" s="10" t="s">
        <v>939</v>
      </c>
      <c r="B1773" s="10" t="s">
        <v>940</v>
      </c>
      <c r="C1773" s="13" t="n">
        <v>367841</v>
      </c>
      <c r="D1773" s="13" t="n">
        <v>587589</v>
      </c>
      <c r="E1773" s="6" t="n">
        <f>SUM(C1773,D1773)/2</f>
        <v>477715</v>
      </c>
      <c r="F1773" s="12" t="n">
        <v>174646</v>
      </c>
      <c r="G1773" s="12" t="n">
        <v>264204</v>
      </c>
      <c r="H1773" s="6" t="n">
        <f>SUM(F1773,G1773)/2</f>
        <v>219425</v>
      </c>
    </row>
    <row r="1774" s="18" customFormat="1" ht="14.399999999999999" customHeight="1">
      <c r="A1774" s="10" t="s">
        <v>1300</v>
      </c>
      <c r="B1774" s="10" t="s">
        <v>1301</v>
      </c>
      <c r="C1774" s="13" t="n">
        <v>50116</v>
      </c>
      <c r="D1774" s="13" t="n">
        <v>80054</v>
      </c>
      <c r="E1774" s="6" t="n">
        <f>SUM(C1774,D1774)/2</f>
        <v>65085</v>
      </c>
      <c r="F1774" s="12" t="n">
        <v>52141</v>
      </c>
      <c r="G1774" s="12" t="n">
        <v>68954</v>
      </c>
      <c r="H1774" s="6" t="n">
        <f>SUM(F1774,G1774)/2</f>
        <v>60547.5</v>
      </c>
    </row>
    <row r="1775" s="18" customFormat="1" ht="14.399999999999999" customHeight="1">
      <c r="A1775" s="10" t="s">
        <v>4041</v>
      </c>
      <c r="B1775" s="10" t="s">
        <v>4042</v>
      </c>
      <c r="C1775" s="13" t="n">
        <v>28757</v>
      </c>
      <c r="D1775" s="13" t="n">
        <v>45937</v>
      </c>
      <c r="E1775" s="6" t="n">
        <f>SUM(C1775,D1775)/2</f>
        <v>37347</v>
      </c>
      <c r="F1775" s="12" t="n">
        <v>13956</v>
      </c>
      <c r="G1775" s="12" t="n">
        <v>18327</v>
      </c>
      <c r="H1775" s="6" t="n">
        <f>SUM(F1775,G1775)/2</f>
        <v>16141.5</v>
      </c>
    </row>
    <row r="1776" s="18" customFormat="1" ht="14.399999999999999" customHeight="1">
      <c r="A1776" s="10" t="s">
        <v>4385</v>
      </c>
      <c r="B1776" s="10" t="s">
        <v>4386</v>
      </c>
      <c r="C1776" s="13" t="n">
        <v>14679</v>
      </c>
      <c r="D1776" s="13" t="n">
        <v>23447</v>
      </c>
      <c r="E1776" s="6" t="n">
        <f>SUM(C1776,D1776)/2</f>
        <v>19063</v>
      </c>
      <c r="F1776" s="12" t="n">
        <v>11065</v>
      </c>
      <c r="G1776" s="12" t="n">
        <v>14919</v>
      </c>
      <c r="H1776" s="6" t="n">
        <f>SUM(F1776,G1776)/2</f>
        <v>12992</v>
      </c>
    </row>
    <row r="1777" s="18" customFormat="1" ht="14.399999999999999" customHeight="1">
      <c r="A1777" s="10" t="s">
        <v>1226</v>
      </c>
      <c r="B1777" s="10" t="s">
        <v>1227</v>
      </c>
      <c r="C1777" s="13" t="n">
        <v>210666</v>
      </c>
      <c r="D1777" s="13" t="n">
        <v>336520</v>
      </c>
      <c r="E1777" s="6" t="n">
        <f>SUM(C1777,D1777)/2</f>
        <v>273593</v>
      </c>
      <c r="F1777" s="12" t="n">
        <v>26346</v>
      </c>
      <c r="G1777" s="12" t="n">
        <v>36880</v>
      </c>
      <c r="H1777" s="6" t="n">
        <f>SUM(F1777,G1777)/2</f>
        <v>31613</v>
      </c>
    </row>
    <row r="1778" s="18" customFormat="1" ht="14.399999999999999" customHeight="1">
      <c r="A1778" s="10" t="s">
        <v>5025</v>
      </c>
      <c r="B1778" s="10" t="s">
        <v>5026</v>
      </c>
      <c r="C1778" s="13" t="n">
        <v>10683</v>
      </c>
      <c r="D1778" s="13" t="n">
        <v>17065</v>
      </c>
      <c r="E1778" s="6" t="n">
        <f>SUM(C1778,D1778)/2</f>
        <v>13874</v>
      </c>
      <c r="F1778" s="12" t="n">
        <v>5636</v>
      </c>
      <c r="G1778" s="12" t="n">
        <v>7359</v>
      </c>
      <c r="H1778" s="6" t="n">
        <f>SUM(F1778,G1778)/2</f>
        <v>6497.5</v>
      </c>
    </row>
    <row r="1779" s="18" customFormat="1" ht="14.399999999999999" customHeight="1">
      <c r="A1779" s="10" t="s">
        <v>2282</v>
      </c>
      <c r="B1779" s="10" t="s">
        <v>2283</v>
      </c>
      <c r="C1779" s="13" t="n">
        <v>110158</v>
      </c>
      <c r="D1779" s="13" t="n">
        <v>175967</v>
      </c>
      <c r="E1779" s="6" t="n">
        <f>SUM(C1779,D1779)/2</f>
        <v>143062.5</v>
      </c>
      <c r="F1779" s="12" t="n">
        <v>92281</v>
      </c>
      <c r="G1779" s="12" t="n">
        <v>146644</v>
      </c>
      <c r="H1779" s="6" t="n">
        <f>SUM(F1779,G1779)/2</f>
        <v>119462.5</v>
      </c>
    </row>
    <row r="1780" s="18" customFormat="1" ht="14.399999999999999" customHeight="1">
      <c r="A1780" s="10" t="s">
        <v>3263</v>
      </c>
      <c r="B1780" s="10" t="s">
        <v>3264</v>
      </c>
      <c r="C1780" s="13" t="n">
        <v>51262</v>
      </c>
      <c r="D1780" s="13" t="n">
        <v>81884</v>
      </c>
      <c r="E1780" s="6" t="n">
        <f>SUM(C1780,D1780)/2</f>
        <v>66573</v>
      </c>
      <c r="F1780" s="12" t="n">
        <v>37886</v>
      </c>
      <c r="G1780" s="12" t="n">
        <v>46794</v>
      </c>
      <c r="H1780" s="6" t="n">
        <f>SUM(F1780,G1780)/2</f>
        <v>42340</v>
      </c>
    </row>
    <row r="1781" s="18" customFormat="1" ht="14.399999999999999" customHeight="1">
      <c r="A1781" s="10" t="s">
        <v>4509</v>
      </c>
      <c r="B1781" s="10" t="s">
        <v>4510</v>
      </c>
      <c r="C1781" s="13" t="n">
        <v>10034</v>
      </c>
      <c r="D1781" s="13" t="n">
        <v>16028</v>
      </c>
      <c r="E1781" s="6" t="n">
        <f>SUM(C1781,D1781)/2</f>
        <v>13031</v>
      </c>
      <c r="F1781" s="12" t="n">
        <v>9545</v>
      </c>
      <c r="G1781" s="12" t="n">
        <v>15378</v>
      </c>
      <c r="H1781" s="6" t="n">
        <f>SUM(F1781,G1781)/2</f>
        <v>12461.5</v>
      </c>
    </row>
    <row r="1782" s="18" customFormat="1" ht="14.399999999999999" customHeight="1">
      <c r="A1782" s="10" t="s">
        <v>3403</v>
      </c>
      <c r="B1782" s="10" t="s">
        <v>3404</v>
      </c>
      <c r="C1782" s="13" t="n">
        <v>40636</v>
      </c>
      <c r="D1782" s="13" t="n">
        <v>64916</v>
      </c>
      <c r="E1782" s="6" t="n">
        <f>SUM(C1782,D1782)/2</f>
        <v>52776</v>
      </c>
      <c r="F1782" s="12" t="n">
        <v>29217</v>
      </c>
      <c r="G1782" s="12" t="n">
        <v>41578</v>
      </c>
      <c r="H1782" s="6" t="n">
        <f>SUM(F1782,G1782)/2</f>
        <v>35397.5</v>
      </c>
    </row>
    <row r="1783" s="18" customFormat="1" ht="14.399999999999999" customHeight="1">
      <c r="A1783" s="10" t="s">
        <v>4819</v>
      </c>
      <c r="B1783" s="10" t="s">
        <v>4820</v>
      </c>
      <c r="C1783" s="13" t="n">
        <v>9857</v>
      </c>
      <c r="D1783" s="13" t="n">
        <v>15747</v>
      </c>
      <c r="E1783" s="6" t="n">
        <f>SUM(C1783,D1783)/2</f>
        <v>12802</v>
      </c>
      <c r="F1783" s="12" t="n">
        <v>7392</v>
      </c>
      <c r="G1783" s="12" t="n">
        <v>10316</v>
      </c>
      <c r="H1783" s="6" t="n">
        <f>SUM(F1783,G1783)/2</f>
        <v>8854</v>
      </c>
    </row>
    <row r="1784" s="18" customFormat="1" ht="14.399999999999999" customHeight="1">
      <c r="A1784" s="10" t="s">
        <v>4643</v>
      </c>
      <c r="B1784" s="10" t="s">
        <v>4644</v>
      </c>
      <c r="C1784" s="13" t="n">
        <v>6758</v>
      </c>
      <c r="D1784" s="13" t="n">
        <v>10796</v>
      </c>
      <c r="E1784" s="6" t="n">
        <f>SUM(C1784,D1784)/2</f>
        <v>8777</v>
      </c>
      <c r="F1784" s="12" t="n">
        <v>9226</v>
      </c>
      <c r="G1784" s="12" t="n">
        <v>14146</v>
      </c>
      <c r="H1784" s="6" t="n">
        <f>SUM(F1784,G1784)/2</f>
        <v>11686</v>
      </c>
    </row>
    <row r="1785" s="18" customFormat="1" ht="14.399999999999999" customHeight="1">
      <c r="A1785" s="10" t="s">
        <v>3301</v>
      </c>
      <c r="B1785" s="10" t="s">
        <v>3302</v>
      </c>
      <c r="C1785" s="13" t="n">
        <v>29753</v>
      </c>
      <c r="D1785" s="13" t="n">
        <v>47529</v>
      </c>
      <c r="E1785" s="6" t="n">
        <f>SUM(C1785,D1785)/2</f>
        <v>38641</v>
      </c>
      <c r="F1785" s="12" t="n">
        <v>34664</v>
      </c>
      <c r="G1785" s="12" t="n">
        <v>55263</v>
      </c>
      <c r="H1785" s="6" t="n">
        <f>SUM(F1785,G1785)/2</f>
        <v>44963.5</v>
      </c>
    </row>
    <row r="1786" s="18" customFormat="1" ht="14.399999999999999" customHeight="1">
      <c r="A1786" s="10" t="s">
        <v>4981</v>
      </c>
      <c r="B1786" s="10" t="s">
        <v>4982</v>
      </c>
      <c r="C1786" s="13" t="n">
        <v>12583</v>
      </c>
      <c r="D1786" s="13" t="n">
        <v>20097</v>
      </c>
      <c r="E1786" s="6" t="n">
        <f>SUM(C1786,D1786)/2</f>
        <v>16340</v>
      </c>
      <c r="F1786" s="12" t="n">
        <v>5084</v>
      </c>
      <c r="G1786" s="12" t="n">
        <v>7721</v>
      </c>
      <c r="H1786" s="6" t="n">
        <f>SUM(F1786,G1786)/2</f>
        <v>6402.5</v>
      </c>
    </row>
    <row r="1787" s="18" customFormat="1" ht="14.399999999999999" customHeight="1">
      <c r="A1787" s="10" t="s">
        <v>3467</v>
      </c>
      <c r="B1787" s="10" t="s">
        <v>3468</v>
      </c>
      <c r="C1787" s="13" t="n">
        <v>54232</v>
      </c>
      <c r="D1787" s="13" t="n">
        <v>86630</v>
      </c>
      <c r="E1787" s="6" t="n">
        <f>SUM(C1787,D1787)/2</f>
        <v>70431</v>
      </c>
      <c r="F1787" s="12" t="n">
        <v>21804</v>
      </c>
      <c r="G1787" s="12" t="n">
        <v>36130</v>
      </c>
      <c r="H1787" s="6" t="n">
        <f>SUM(F1787,G1787)/2</f>
        <v>28967</v>
      </c>
    </row>
    <row r="1788" s="18" customFormat="1" ht="14.399999999999999" customHeight="1">
      <c r="A1788" s="10" t="s">
        <v>1138</v>
      </c>
      <c r="B1788" s="10" t="s">
        <v>1139</v>
      </c>
      <c r="C1788" s="13" t="n">
        <v>401438</v>
      </c>
      <c r="D1788" s="13" t="n">
        <v>641260</v>
      </c>
      <c r="E1788" s="6" t="n">
        <f>SUM(C1788,D1788)/2</f>
        <v>521349</v>
      </c>
      <c r="F1788" s="12" t="n">
        <v>34887</v>
      </c>
      <c r="G1788" s="12" t="n">
        <v>88052</v>
      </c>
      <c r="H1788" s="6" t="n">
        <f>SUM(F1788,G1788)/2</f>
        <v>61469.5</v>
      </c>
    </row>
    <row r="1789" s="18" customFormat="1" ht="14.399999999999999" customHeight="1">
      <c r="A1789" s="10" t="s">
        <v>935</v>
      </c>
      <c r="B1789" s="10" t="s">
        <v>936</v>
      </c>
      <c r="C1789" s="13" t="n">
        <v>1054156</v>
      </c>
      <c r="D1789" s="13" t="n">
        <v>1683912</v>
      </c>
      <c r="E1789" s="6" t="n">
        <f>SUM(C1789,D1789)/2</f>
        <v>1369034</v>
      </c>
      <c r="F1789" s="12" t="n">
        <v>28403</v>
      </c>
      <c r="G1789" s="12" t="n">
        <v>43726</v>
      </c>
      <c r="H1789" s="6" t="n">
        <f>SUM(F1789,G1789)/2</f>
        <v>36064.5</v>
      </c>
    </row>
    <row r="1790" s="18" customFormat="1" ht="14.399999999999999" customHeight="1">
      <c r="A1790" s="10" t="s">
        <v>1077</v>
      </c>
      <c r="B1790" s="10" t="s">
        <v>1078</v>
      </c>
      <c r="C1790" s="13" t="n">
        <v>272670</v>
      </c>
      <c r="D1790" s="13" t="n">
        <v>435564</v>
      </c>
      <c r="E1790" s="6" t="n">
        <f>SUM(C1790,D1790)/2</f>
        <v>354117</v>
      </c>
      <c r="F1790" s="12" t="n">
        <v>92775</v>
      </c>
      <c r="G1790" s="12" t="n">
        <v>166526</v>
      </c>
      <c r="H1790" s="6" t="n">
        <f>SUM(F1790,G1790)/2</f>
        <v>129650.5</v>
      </c>
    </row>
    <row r="1791" s="18" customFormat="1" ht="14.399999999999999" customHeight="1">
      <c r="A1791" s="10" t="s">
        <v>977</v>
      </c>
      <c r="B1791" s="10" t="s">
        <v>978</v>
      </c>
      <c r="C1791" s="13" t="n">
        <v>325580</v>
      </c>
      <c r="D1791" s="13" t="n">
        <v>520084</v>
      </c>
      <c r="E1791" s="6" t="n">
        <f>SUM(C1791,D1791)/2</f>
        <v>422832</v>
      </c>
      <c r="F1791" s="12" t="n">
        <v>158483</v>
      </c>
      <c r="G1791" s="12" t="n">
        <v>218102</v>
      </c>
      <c r="H1791" s="6" t="n">
        <f>SUM(F1791,G1791)/2</f>
        <v>188292.5</v>
      </c>
    </row>
    <row r="1792" s="18" customFormat="1" ht="14.399999999999999" customHeight="1">
      <c r="A1792" s="10" t="s">
        <v>4539</v>
      </c>
      <c r="B1792" s="10" t="s">
        <v>4540</v>
      </c>
      <c r="C1792" s="13" t="n">
        <v>21954</v>
      </c>
      <c r="D1792" s="13" t="n">
        <v>35070</v>
      </c>
      <c r="E1792" s="6" t="n">
        <f>SUM(C1792,D1792)/2</f>
        <v>28512</v>
      </c>
      <c r="F1792" s="12" t="n">
        <v>6975</v>
      </c>
      <c r="G1792" s="12" t="n">
        <v>10481</v>
      </c>
      <c r="H1792" s="6" t="n">
        <f>SUM(F1792,G1792)/2</f>
        <v>8728</v>
      </c>
    </row>
    <row r="1793" s="18" customFormat="1" ht="14.399999999999999" customHeight="1">
      <c r="A1793" s="10" t="s">
        <v>6454</v>
      </c>
      <c r="B1793" s="10" t="s">
        <v>6455</v>
      </c>
      <c r="C1793" s="13" t="n">
        <v>3219</v>
      </c>
      <c r="D1793" s="13" t="n">
        <v>5141</v>
      </c>
      <c r="E1793" s="6" t="n">
        <f>SUM(C1793,D1793)/2</f>
        <v>4180</v>
      </c>
      <c r="F1793" s="12" t="n">
        <v>5319</v>
      </c>
      <c r="G1793" s="12" t="n">
        <v>7463</v>
      </c>
      <c r="H1793" s="6" t="n">
        <f>SUM(F1793,G1793)/2</f>
        <v>6391</v>
      </c>
    </row>
    <row r="1794" s="18" customFormat="1" ht="14.399999999999999" customHeight="1">
      <c r="A1794" s="10" t="s">
        <v>5219</v>
      </c>
      <c r="B1794" s="10" t="s">
        <v>5220</v>
      </c>
      <c r="C1794" s="10" t="n">
        <v>684</v>
      </c>
      <c r="D1794" s="13" t="n">
        <v>1094</v>
      </c>
      <c r="E1794" s="6" t="n">
        <f>SUM(C1794,D1794)/2</f>
        <v>889</v>
      </c>
      <c r="F1794" s="12" t="n">
        <v>3221</v>
      </c>
      <c r="G1794" s="12" t="n">
        <v>5200</v>
      </c>
      <c r="H1794" s="6" t="n">
        <f>SUM(F1794,G1794)/2</f>
        <v>4210.5</v>
      </c>
    </row>
    <row r="1795" s="18" customFormat="1" ht="14.399999999999999" customHeight="1">
      <c r="A1795" s="10" t="s">
        <v>3713</v>
      </c>
      <c r="B1795" s="10" t="s">
        <v>3714</v>
      </c>
      <c r="C1795" s="13" t="n">
        <v>68854</v>
      </c>
      <c r="D1795" s="13" t="n">
        <v>109988</v>
      </c>
      <c r="E1795" s="6" t="n">
        <f>SUM(C1795,D1795)/2</f>
        <v>89421</v>
      </c>
      <c r="F1795" s="12" t="n">
        <v>12065</v>
      </c>
      <c r="G1795" s="12" t="n">
        <v>16900</v>
      </c>
      <c r="H1795" s="6" t="n">
        <f>SUM(F1795,G1795)/2</f>
        <v>14482.5</v>
      </c>
    </row>
    <row r="1796" s="18" customFormat="1" ht="14.399999999999999" customHeight="1">
      <c r="A1796" s="10" t="s">
        <v>6456</v>
      </c>
      <c r="B1796" s="10" t="s">
        <v>6457</v>
      </c>
      <c r="C1796" s="13" t="n">
        <v>18213</v>
      </c>
      <c r="D1796" s="13" t="n">
        <v>29095</v>
      </c>
      <c r="E1796" s="6" t="n">
        <f>SUM(C1796,D1796)/2</f>
        <v>23654</v>
      </c>
      <c r="F1796" s="12" t="n">
        <v>5904</v>
      </c>
      <c r="G1796" s="12" t="n">
        <v>8471</v>
      </c>
      <c r="H1796" s="6" t="n">
        <f>SUM(F1796,G1796)/2</f>
        <v>7187.5</v>
      </c>
    </row>
    <row r="1797" s="18" customFormat="1" ht="14.399999999999999" customHeight="1">
      <c r="A1797" s="10" t="s">
        <v>4103</v>
      </c>
      <c r="B1797" s="10" t="s">
        <v>4104</v>
      </c>
      <c r="C1797" s="13" t="n">
        <v>44765</v>
      </c>
      <c r="D1797" s="13" t="n">
        <v>71509</v>
      </c>
      <c r="E1797" s="6" t="n">
        <f>SUM(C1797,D1797)/2</f>
        <v>58137</v>
      </c>
      <c r="F1797" s="12" t="n">
        <v>8163</v>
      </c>
      <c r="G1797" s="12" t="n">
        <v>11228</v>
      </c>
      <c r="H1797" s="6" t="n">
        <f>SUM(F1797,G1797)/2</f>
        <v>9695.5</v>
      </c>
    </row>
    <row r="1798" s="18" customFormat="1" ht="14.399999999999999" customHeight="1">
      <c r="A1798" s="10" t="s">
        <v>2446</v>
      </c>
      <c r="B1798" s="10" t="s">
        <v>2447</v>
      </c>
      <c r="C1798" s="10" t="n">
        <v>3</v>
      </c>
      <c r="D1798" s="10" t="n">
        <v>5</v>
      </c>
      <c r="E1798" s="6" t="n">
        <f>SUM(C1798,D1798)/2</f>
        <v>4</v>
      </c>
      <c r="F1798" s="18" t="n">
        <v>3</v>
      </c>
      <c r="G1798" s="18" t="n">
        <v>3</v>
      </c>
      <c r="H1798" s="6" t="n">
        <f>SUM(F1798,G1798)/2</f>
        <v>3</v>
      </c>
    </row>
    <row r="1799" s="18" customFormat="1" ht="14.399999999999999" customHeight="1">
      <c r="A1799" s="10" t="s">
        <v>969</v>
      </c>
      <c r="B1799" s="10" t="s">
        <v>970</v>
      </c>
      <c r="C1799" s="13" t="n">
        <v>145294</v>
      </c>
      <c r="D1799" s="13" t="n">
        <v>232093</v>
      </c>
      <c r="E1799" s="6" t="n">
        <f>SUM(C1799,D1799)/2</f>
        <v>188693.5</v>
      </c>
      <c r="F1799" s="12" t="n">
        <v>192080</v>
      </c>
      <c r="G1799" s="12" t="n">
        <v>296684</v>
      </c>
      <c r="H1799" s="6" t="n">
        <f>SUM(F1799,G1799)/2</f>
        <v>244382</v>
      </c>
    </row>
    <row r="1800" s="18" customFormat="1" ht="14.399999999999999" customHeight="1">
      <c r="A1800" s="10" t="s">
        <v>3251</v>
      </c>
      <c r="B1800" s="10" t="s">
        <v>3252</v>
      </c>
      <c r="C1800" s="13" t="n">
        <v>94681</v>
      </c>
      <c r="D1800" s="13" t="n">
        <v>151243</v>
      </c>
      <c r="E1800" s="6" t="n">
        <f>SUM(C1800,D1800)/2</f>
        <v>122962</v>
      </c>
      <c r="F1800" s="12" t="n">
        <v>24329</v>
      </c>
      <c r="G1800" s="12" t="n">
        <v>37414</v>
      </c>
      <c r="H1800" s="6" t="n">
        <f>SUM(F1800,G1800)/2</f>
        <v>30871.5</v>
      </c>
    </row>
    <row r="1801" s="18" customFormat="1" ht="14.399999999999999" customHeight="1">
      <c r="A1801" s="10" t="s">
        <v>6458</v>
      </c>
      <c r="B1801" s="10" t="s">
        <v>6459</v>
      </c>
      <c r="C1801" s="10" t="n">
        <v>31</v>
      </c>
      <c r="D1801" s="10" t="n">
        <v>49</v>
      </c>
      <c r="E1801" s="6" t="n">
        <f>SUM(C1801,D1801)/2</f>
        <v>40</v>
      </c>
      <c r="F1801" s="18" t="n">
        <v>8</v>
      </c>
      <c r="G1801" s="18" t="n">
        <v>10</v>
      </c>
      <c r="H1801" s="6" t="n">
        <f>SUM(F1801,G1801)/2</f>
        <v>9</v>
      </c>
    </row>
    <row r="1802" s="18" customFormat="1" ht="14.399999999999999" customHeight="1">
      <c r="A1802" s="10" t="s">
        <v>6460</v>
      </c>
      <c r="B1802" s="10" t="s">
        <v>6461</v>
      </c>
      <c r="C1802" s="13" t="n">
        <v>13593</v>
      </c>
      <c r="D1802" s="13" t="n">
        <v>21713</v>
      </c>
      <c r="E1802" s="6" t="n">
        <f>SUM(C1802,D1802)/2</f>
        <v>17653</v>
      </c>
      <c r="F1802" s="12" t="n">
        <v>4683</v>
      </c>
      <c r="G1802" s="12" t="n">
        <v>5967</v>
      </c>
      <c r="H1802" s="6" t="n">
        <f>SUM(F1802,G1802)/2</f>
        <v>5325</v>
      </c>
    </row>
    <row r="1803" s="18" customFormat="1" ht="14.399999999999999" customHeight="1">
      <c r="A1803" s="10" t="s">
        <v>6462</v>
      </c>
      <c r="B1803" s="10" t="s">
        <v>6463</v>
      </c>
      <c r="C1803" s="13" t="n">
        <v>31113</v>
      </c>
      <c r="D1803" s="13" t="n">
        <v>49697</v>
      </c>
      <c r="E1803" s="6" t="n">
        <f>SUM(C1803,D1803)/2</f>
        <v>40405</v>
      </c>
      <c r="F1803" s="12" t="n">
        <v>7663</v>
      </c>
      <c r="G1803" s="12" t="n">
        <v>11781</v>
      </c>
      <c r="H1803" s="6" t="n">
        <f>SUM(F1803,G1803)/2</f>
        <v>9722</v>
      </c>
    </row>
    <row r="1804" s="18" customFormat="1" ht="14.399999999999999" customHeight="1">
      <c r="A1804" s="10" t="s">
        <v>2694</v>
      </c>
      <c r="B1804" s="10" t="s">
        <v>2695</v>
      </c>
      <c r="C1804" s="10" t="n">
        <v>0</v>
      </c>
      <c r="D1804" s="10" t="n">
        <v>0</v>
      </c>
      <c r="E1804" s="6" t="n">
        <f>SUM(C1804,D1804)/2</f>
        <v>0</v>
      </c>
      <c r="F1804" s="18" t="n">
        <v>1</v>
      </c>
      <c r="G1804" s="18" t="n">
        <v>1</v>
      </c>
      <c r="H1804" s="6" t="n">
        <f>SUM(F1804,G1804)/2</f>
        <v>1</v>
      </c>
    </row>
    <row r="1805" s="18" customFormat="1" ht="14.399999999999999" customHeight="1">
      <c r="A1805" s="10" t="s">
        <v>3189</v>
      </c>
      <c r="B1805" s="10" t="s">
        <v>3190</v>
      </c>
      <c r="C1805" s="13" t="n">
        <v>137670</v>
      </c>
      <c r="D1805" s="13" t="n">
        <v>219912</v>
      </c>
      <c r="E1805" s="6" t="n">
        <f>SUM(C1805,D1805)/2</f>
        <v>178791</v>
      </c>
      <c r="F1805" s="12" t="n">
        <v>20244</v>
      </c>
      <c r="G1805" s="12" t="n">
        <v>26385</v>
      </c>
      <c r="H1805" s="6" t="n">
        <f>SUM(F1805,G1805)/2</f>
        <v>23314.5</v>
      </c>
    </row>
    <row r="1806" s="18" customFormat="1" ht="14.399999999999999" customHeight="1">
      <c r="A1806" s="10" t="s">
        <v>6464</v>
      </c>
      <c r="B1806" s="10" t="s">
        <v>6465</v>
      </c>
      <c r="C1806" s="13" t="n">
        <v>37104</v>
      </c>
      <c r="D1806" s="13" t="n">
        <v>59270</v>
      </c>
      <c r="E1806" s="6" t="n">
        <f>SUM(C1806,D1806)/2</f>
        <v>48187</v>
      </c>
      <c r="F1806" s="12" t="n">
        <v>10618</v>
      </c>
      <c r="G1806" s="12" t="n">
        <v>13784</v>
      </c>
      <c r="H1806" s="6" t="n">
        <f>SUM(F1806,G1806)/2</f>
        <v>12201</v>
      </c>
    </row>
    <row r="1807" s="18" customFormat="1" ht="14.399999999999999" customHeight="1">
      <c r="A1807" s="10" t="s">
        <v>782</v>
      </c>
      <c r="B1807" s="10" t="s">
        <v>783</v>
      </c>
      <c r="C1807" s="13" t="n">
        <v>1163250</v>
      </c>
      <c r="D1807" s="13" t="n">
        <v>1858178</v>
      </c>
      <c r="E1807" s="6" t="n">
        <f>SUM(C1807,D1807)/2</f>
        <v>1510714</v>
      </c>
      <c r="F1807" s="12" t="n">
        <v>234274</v>
      </c>
      <c r="G1807" s="12" t="n">
        <v>499852</v>
      </c>
      <c r="H1807" s="6" t="n">
        <f>SUM(F1807,G1807)/2</f>
        <v>367063</v>
      </c>
    </row>
    <row r="1808" s="18" customFormat="1" ht="14.399999999999999" customHeight="1">
      <c r="A1808" s="10" t="s">
        <v>6466</v>
      </c>
      <c r="B1808" s="10" t="s">
        <v>6467</v>
      </c>
      <c r="C1808" s="13" t="n">
        <v>93841</v>
      </c>
      <c r="D1808" s="13" t="n">
        <v>149903</v>
      </c>
      <c r="E1808" s="6" t="n">
        <f>SUM(C1808,D1808)/2</f>
        <v>121872</v>
      </c>
      <c r="F1808" s="12" t="n">
        <v>16256</v>
      </c>
      <c r="G1808" s="12" t="n">
        <v>22616</v>
      </c>
      <c r="H1808" s="6" t="n">
        <f>SUM(F1808,G1808)/2</f>
        <v>19436</v>
      </c>
    </row>
    <row r="1809" s="18" customFormat="1" ht="14.399999999999999" customHeight="1">
      <c r="A1809" s="10" t="s">
        <v>592</v>
      </c>
      <c r="B1809" s="10" t="s">
        <v>593</v>
      </c>
      <c r="C1809" s="10" t="n">
        <v>516</v>
      </c>
      <c r="D1809" s="10" t="n">
        <v>824</v>
      </c>
      <c r="E1809" s="6" t="n">
        <f>SUM(C1809,D1809)/2</f>
        <v>670</v>
      </c>
      <c r="F1809" s="18" t="n">
        <v>100</v>
      </c>
      <c r="G1809" s="18" t="n">
        <v>141</v>
      </c>
      <c r="H1809" s="6" t="n">
        <f>SUM(F1809,G1809)/2</f>
        <v>120.5</v>
      </c>
    </row>
    <row r="1810" s="18" customFormat="1" ht="14.399999999999999" customHeight="1">
      <c r="A1810" s="10" t="s">
        <v>168</v>
      </c>
      <c r="B1810" s="10" t="s">
        <v>169</v>
      </c>
      <c r="C1810" s="13" t="n">
        <v>14248</v>
      </c>
      <c r="D1810" s="13" t="n">
        <v>22760</v>
      </c>
      <c r="E1810" s="6" t="n">
        <f>SUM(C1810,D1810)/2</f>
        <v>18504</v>
      </c>
      <c r="F1810" s="18" t="n">
        <v>42</v>
      </c>
      <c r="G1810" s="18" t="n">
        <v>210</v>
      </c>
      <c r="H1810" s="6" t="n">
        <f>SUM(F1810,G1810)/2</f>
        <v>126</v>
      </c>
    </row>
    <row r="1811" s="18" customFormat="1" ht="14.399999999999999" customHeight="1">
      <c r="A1811" s="10" t="s">
        <v>2083</v>
      </c>
      <c r="B1811" s="10" t="s">
        <v>2084</v>
      </c>
      <c r="C1811" s="10" t="n">
        <v>0</v>
      </c>
      <c r="D1811" s="10" t="n">
        <v>0</v>
      </c>
      <c r="E1811" s="6" t="n">
        <f>SUM(C1811,D1811)/2</f>
        <v>0</v>
      </c>
      <c r="F1811" s="18" t="n">
        <v>8</v>
      </c>
      <c r="G1811" s="18" t="n">
        <v>12</v>
      </c>
      <c r="H1811" s="6" t="n">
        <f>SUM(F1811,G1811)/2</f>
        <v>10</v>
      </c>
    </row>
    <row r="1812" s="18" customFormat="1" ht="14.399999999999999" customHeight="1">
      <c r="A1812" s="10" t="s">
        <v>6468</v>
      </c>
      <c r="B1812" s="10" t="s">
        <v>6469</v>
      </c>
      <c r="C1812" s="13" t="n">
        <v>26555</v>
      </c>
      <c r="D1812" s="13" t="n">
        <v>42417</v>
      </c>
      <c r="E1812" s="6" t="n">
        <f>SUM(C1812,D1812)/2</f>
        <v>34486</v>
      </c>
      <c r="F1812" s="12" t="n">
        <v>13859</v>
      </c>
      <c r="G1812" s="12" t="n">
        <v>20829</v>
      </c>
      <c r="H1812" s="6" t="n">
        <f>SUM(F1812,G1812)/2</f>
        <v>17344</v>
      </c>
    </row>
    <row r="1813" s="18" customFormat="1" ht="14.399999999999999" customHeight="1">
      <c r="A1813" s="10" t="s">
        <v>2418</v>
      </c>
      <c r="B1813" s="10" t="s">
        <v>2419</v>
      </c>
      <c r="C1813" s="10" t="n">
        <v>16</v>
      </c>
      <c r="D1813" s="10" t="n">
        <v>24</v>
      </c>
      <c r="E1813" s="6" t="n">
        <f>SUM(C1813,D1813)/2</f>
        <v>20</v>
      </c>
      <c r="F1813" s="18" t="n">
        <v>0</v>
      </c>
      <c r="G1813" s="18" t="n">
        <v>0</v>
      </c>
      <c r="H1813" s="6" t="n">
        <f>SUM(F1813,G1813)/2</f>
        <v>0</v>
      </c>
    </row>
    <row r="1814" s="18" customFormat="1" ht="14.399999999999999" customHeight="1">
      <c r="A1814" s="10" t="s">
        <v>1210</v>
      </c>
      <c r="B1814" s="10" t="s">
        <v>1211</v>
      </c>
      <c r="C1814" s="13" t="n">
        <v>182779</v>
      </c>
      <c r="D1814" s="13" t="n">
        <v>291969</v>
      </c>
      <c r="E1814" s="6" t="n">
        <f>SUM(C1814,D1814)/2</f>
        <v>237374</v>
      </c>
      <c r="F1814" s="12" t="n">
        <v>36620</v>
      </c>
      <c r="G1814" s="12" t="n">
        <v>51678</v>
      </c>
      <c r="H1814" s="6" t="n">
        <f>SUM(F1814,G1814)/2</f>
        <v>44149</v>
      </c>
    </row>
    <row r="1815" s="18" customFormat="1" ht="14.399999999999999" customHeight="1">
      <c r="A1815" s="10" t="s">
        <v>6470</v>
      </c>
      <c r="B1815" s="10" t="s">
        <v>6471</v>
      </c>
      <c r="C1815" s="13" t="n">
        <v>24311</v>
      </c>
      <c r="D1815" s="13" t="n">
        <v>38835</v>
      </c>
      <c r="E1815" s="6" t="n">
        <f>SUM(C1815,D1815)/2</f>
        <v>31573</v>
      </c>
      <c r="F1815" s="12" t="n">
        <v>5921</v>
      </c>
      <c r="G1815" s="12" t="n">
        <v>7351</v>
      </c>
      <c r="H1815" s="6" t="n">
        <f>SUM(F1815,G1815)/2</f>
        <v>6636</v>
      </c>
    </row>
    <row r="1816" s="18" customFormat="1" ht="14.399999999999999" customHeight="1">
      <c r="A1816" s="10" t="s">
        <v>690</v>
      </c>
      <c r="B1816" s="10" t="s">
        <v>691</v>
      </c>
      <c r="C1816" s="10" t="n">
        <v>601</v>
      </c>
      <c r="D1816" s="10" t="n">
        <v>961</v>
      </c>
      <c r="E1816" s="6" t="n">
        <f>SUM(C1816,D1816)/2</f>
        <v>781</v>
      </c>
      <c r="F1816" s="18" t="n">
        <v>1034</v>
      </c>
      <c r="G1816" s="18" t="n">
        <v>1358</v>
      </c>
      <c r="H1816" s="6" t="n">
        <f>SUM(F1816,G1816)/2</f>
        <v>1196</v>
      </c>
    </row>
    <row r="1817" s="18" customFormat="1" ht="14.399999999999999" customHeight="1">
      <c r="A1817" s="10" t="s">
        <v>4353</v>
      </c>
      <c r="B1817" s="10" t="s">
        <v>4354</v>
      </c>
      <c r="C1817" s="13" t="n">
        <v>34875</v>
      </c>
      <c r="D1817" s="13" t="n">
        <v>55709</v>
      </c>
      <c r="E1817" s="6" t="n">
        <f>SUM(C1817,D1817)/2</f>
        <v>45292</v>
      </c>
      <c r="F1817" s="12" t="n">
        <v>6527</v>
      </c>
      <c r="G1817" s="12" t="n">
        <v>9103</v>
      </c>
      <c r="H1817" s="6" t="n">
        <f>SUM(F1817,G1817)/2</f>
        <v>7815</v>
      </c>
    </row>
    <row r="1818" s="18" customFormat="1" ht="14.399999999999999" customHeight="1">
      <c r="A1818" s="10" t="s">
        <v>6472</v>
      </c>
      <c r="B1818" s="10" t="s">
        <v>6473</v>
      </c>
      <c r="C1818" s="13" t="n">
        <v>24082</v>
      </c>
      <c r="D1818" s="13" t="n">
        <v>38468</v>
      </c>
      <c r="E1818" s="6" t="n">
        <f>SUM(C1818,D1818)/2</f>
        <v>31275</v>
      </c>
      <c r="F1818" s="12" t="n">
        <v>3394</v>
      </c>
      <c r="G1818" s="12" t="n">
        <v>4981</v>
      </c>
      <c r="H1818" s="6" t="n">
        <f>SUM(F1818,G1818)/2</f>
        <v>4187.5</v>
      </c>
    </row>
    <row r="1819" s="18" customFormat="1" ht="14.399999999999999" customHeight="1">
      <c r="A1819" s="10" t="s">
        <v>5081</v>
      </c>
      <c r="B1819" s="10" t="s">
        <v>5082</v>
      </c>
      <c r="C1819" s="13" t="n">
        <v>5370</v>
      </c>
      <c r="D1819" s="13" t="n">
        <v>8578</v>
      </c>
      <c r="E1819" s="6" t="n">
        <f>SUM(C1819,D1819)/2</f>
        <v>6974</v>
      </c>
      <c r="F1819" s="12" t="n">
        <v>5725</v>
      </c>
      <c r="G1819" s="12" t="n">
        <v>8628</v>
      </c>
      <c r="H1819" s="6" t="n">
        <f>SUM(F1819,G1819)/2</f>
        <v>7176.5</v>
      </c>
    </row>
    <row r="1820" s="18" customFormat="1" ht="14.399999999999999" customHeight="1">
      <c r="A1820" s="10" t="s">
        <v>6474</v>
      </c>
      <c r="B1820" s="10" t="s">
        <v>6475</v>
      </c>
      <c r="C1820" s="13" t="n">
        <v>15838</v>
      </c>
      <c r="D1820" s="13" t="n">
        <v>25302</v>
      </c>
      <c r="E1820" s="6" t="n">
        <f>SUM(C1820,D1820)/2</f>
        <v>20570</v>
      </c>
      <c r="F1820" s="12" t="n">
        <v>4045</v>
      </c>
      <c r="G1820" s="12" t="n">
        <v>5689</v>
      </c>
      <c r="H1820" s="6" t="n">
        <f>SUM(F1820,G1820)/2</f>
        <v>4867</v>
      </c>
    </row>
    <row r="1821" s="18" customFormat="1" ht="14.399999999999999" customHeight="1">
      <c r="A1821" s="10" t="s">
        <v>6476</v>
      </c>
      <c r="B1821" s="10" t="s">
        <v>6477</v>
      </c>
      <c r="C1821" s="13" t="n">
        <v>37980</v>
      </c>
      <c r="D1821" s="13" t="n">
        <v>60672</v>
      </c>
      <c r="E1821" s="6" t="n">
        <f>SUM(C1821,D1821)/2</f>
        <v>49326</v>
      </c>
      <c r="F1821" s="12" t="n">
        <v>5890</v>
      </c>
      <c r="G1821" s="12" t="n">
        <v>9396</v>
      </c>
      <c r="H1821" s="6" t="n">
        <f>SUM(F1821,G1821)/2</f>
        <v>7643</v>
      </c>
    </row>
    <row r="1822" s="18" customFormat="1" ht="14.399999999999999" customHeight="1">
      <c r="A1822" s="10" t="s">
        <v>6478</v>
      </c>
      <c r="B1822" s="10" t="s">
        <v>6479</v>
      </c>
      <c r="C1822" s="13" t="n">
        <v>29204</v>
      </c>
      <c r="D1822" s="13" t="n">
        <v>46650</v>
      </c>
      <c r="E1822" s="6" t="n">
        <f>SUM(C1822,D1822)/2</f>
        <v>37927</v>
      </c>
      <c r="F1822" s="12" t="n">
        <v>12204</v>
      </c>
      <c r="G1822" s="12" t="n">
        <v>15981</v>
      </c>
      <c r="H1822" s="6" t="n">
        <f>SUM(F1822,G1822)/2</f>
        <v>14092.5</v>
      </c>
    </row>
    <row r="1823" s="18" customFormat="1" ht="14.399999999999999" customHeight="1">
      <c r="A1823" s="10" t="s">
        <v>1551</v>
      </c>
      <c r="B1823" s="10" t="s">
        <v>1552</v>
      </c>
      <c r="C1823" s="10" t="n">
        <v>29</v>
      </c>
      <c r="D1823" s="10" t="n">
        <v>45</v>
      </c>
      <c r="E1823" s="6" t="n">
        <f>SUM(C1823,D1823)/2</f>
        <v>37</v>
      </c>
      <c r="F1823" s="18" t="n">
        <v>38</v>
      </c>
      <c r="G1823" s="18" t="n">
        <v>52</v>
      </c>
      <c r="H1823" s="6" t="n">
        <f>SUM(F1823,G1823)/2</f>
        <v>45</v>
      </c>
    </row>
    <row r="1824" s="18" customFormat="1" ht="14.399999999999999" customHeight="1">
      <c r="A1824" s="10" t="s">
        <v>1699</v>
      </c>
      <c r="B1824" s="10" t="s">
        <v>1700</v>
      </c>
      <c r="C1824" s="10" t="n">
        <v>124</v>
      </c>
      <c r="D1824" s="10" t="n">
        <v>198</v>
      </c>
      <c r="E1824" s="6" t="n">
        <f>SUM(C1824,D1824)/2</f>
        <v>161</v>
      </c>
      <c r="F1824" s="18" t="n">
        <v>0</v>
      </c>
      <c r="G1824" s="18" t="n">
        <v>0</v>
      </c>
      <c r="H1824" s="6" t="n">
        <f>SUM(F1824,G1824)/2</f>
        <v>0</v>
      </c>
    </row>
    <row r="1825" s="18" customFormat="1" ht="14.399999999999999" customHeight="1">
      <c r="A1825" s="10" t="s">
        <v>6480</v>
      </c>
      <c r="B1825" s="10" t="s">
        <v>6481</v>
      </c>
      <c r="C1825" s="10" t="n">
        <v>0</v>
      </c>
      <c r="D1825" s="10" t="n">
        <v>0</v>
      </c>
      <c r="E1825" s="6" t="n">
        <f>SUM(C1825,D1825)/2</f>
        <v>0</v>
      </c>
      <c r="F1825" s="18" t="n">
        <v>0</v>
      </c>
      <c r="G1825" s="18" t="n">
        <v>0</v>
      </c>
      <c r="H1825" s="6" t="n">
        <f>SUM(F1825,G1825)/2</f>
        <v>0</v>
      </c>
    </row>
    <row r="1826" s="18" customFormat="1" ht="14.399999999999999" customHeight="1">
      <c r="A1826" s="10" t="s">
        <v>4657</v>
      </c>
      <c r="B1826" s="10" t="s">
        <v>4658</v>
      </c>
      <c r="C1826" s="13" t="n">
        <v>10719</v>
      </c>
      <c r="D1826" s="13" t="n">
        <v>17123</v>
      </c>
      <c r="E1826" s="6" t="n">
        <f>SUM(C1826,D1826)/2</f>
        <v>13921</v>
      </c>
      <c r="F1826" s="12" t="n">
        <v>8498</v>
      </c>
      <c r="G1826" s="12" t="n">
        <v>12475</v>
      </c>
      <c r="H1826" s="6" t="n">
        <f>SUM(F1826,G1826)/2</f>
        <v>10486.5</v>
      </c>
    </row>
    <row r="1827" s="18" customFormat="1" ht="14.399999999999999" customHeight="1">
      <c r="A1827" s="10" t="s">
        <v>889</v>
      </c>
      <c r="B1827" s="10" t="s">
        <v>890</v>
      </c>
      <c r="C1827" s="13" t="n">
        <v>705657</v>
      </c>
      <c r="D1827" s="13" t="n">
        <v>1127219</v>
      </c>
      <c r="E1827" s="6" t="n">
        <f>SUM(C1827,D1827)/2</f>
        <v>916438</v>
      </c>
      <c r="F1827" s="12" t="n">
        <v>171608</v>
      </c>
      <c r="G1827" s="12" t="n">
        <v>231320</v>
      </c>
      <c r="H1827" s="6" t="n">
        <f>SUM(F1827,G1827)/2</f>
        <v>201464</v>
      </c>
    </row>
    <row r="1828" s="18" customFormat="1" ht="14.399999999999999" customHeight="1">
      <c r="A1828" s="10" t="s">
        <v>4469</v>
      </c>
      <c r="B1828" s="10" t="s">
        <v>4470</v>
      </c>
      <c r="C1828" s="13" t="n">
        <v>31411</v>
      </c>
      <c r="D1828" s="13" t="n">
        <v>50177</v>
      </c>
      <c r="E1828" s="6" t="n">
        <f>SUM(C1828,D1828)/2</f>
        <v>40794</v>
      </c>
      <c r="F1828" s="12" t="n">
        <v>5869</v>
      </c>
      <c r="G1828" s="12" t="n">
        <v>8386</v>
      </c>
      <c r="H1828" s="6" t="n">
        <f>SUM(F1828,G1828)/2</f>
        <v>7127.5</v>
      </c>
    </row>
    <row r="1829" s="18" customFormat="1" ht="14.399999999999999" customHeight="1">
      <c r="A1829" s="10" t="s">
        <v>983</v>
      </c>
      <c r="B1829" s="10" t="s">
        <v>984</v>
      </c>
      <c r="C1829" s="13" t="n">
        <v>336945</v>
      </c>
      <c r="D1829" s="13" t="n">
        <v>538235</v>
      </c>
      <c r="E1829" s="6" t="n">
        <f>SUM(C1829,D1829)/2</f>
        <v>437590</v>
      </c>
      <c r="F1829" s="12" t="n">
        <v>138186</v>
      </c>
      <c r="G1829" s="12" t="n">
        <v>217250</v>
      </c>
      <c r="H1829" s="6" t="n">
        <f>SUM(F1829,G1829)/2</f>
        <v>177718</v>
      </c>
    </row>
    <row r="1830" s="18" customFormat="1" ht="14.399999999999999" customHeight="1">
      <c r="A1830" s="10" t="s">
        <v>6482</v>
      </c>
      <c r="B1830" s="10" t="s">
        <v>6483</v>
      </c>
      <c r="C1830" s="10" t="n">
        <v>0</v>
      </c>
      <c r="D1830" s="10" t="n">
        <v>0</v>
      </c>
      <c r="E1830" s="6" t="n">
        <f>SUM(C1830,D1830)/2</f>
        <v>0</v>
      </c>
      <c r="F1830" s="18" t="n">
        <v>21</v>
      </c>
      <c r="G1830" s="18" t="n">
        <v>30</v>
      </c>
      <c r="H1830" s="6" t="n">
        <f>SUM(F1830,G1830)/2</f>
        <v>25.5</v>
      </c>
    </row>
    <row r="1831" s="18" customFormat="1" ht="14.399999999999999" customHeight="1">
      <c r="A1831" s="10" t="s">
        <v>1931</v>
      </c>
      <c r="B1831" s="10" t="s">
        <v>1932</v>
      </c>
      <c r="C1831" s="10" t="n">
        <v>12</v>
      </c>
      <c r="D1831" s="10" t="n">
        <v>18</v>
      </c>
      <c r="E1831" s="6" t="n">
        <f>SUM(C1831,D1831)/2</f>
        <v>15</v>
      </c>
      <c r="F1831" s="18" t="n">
        <v>9</v>
      </c>
      <c r="G1831" s="18" t="n">
        <v>14</v>
      </c>
      <c r="H1831" s="6" t="n">
        <f>SUM(F1831,G1831)/2</f>
        <v>11.5</v>
      </c>
    </row>
    <row r="1832" s="18" customFormat="1" ht="14.399999999999999" customHeight="1">
      <c r="A1832" s="10" t="s">
        <v>1113</v>
      </c>
      <c r="B1832" s="10" t="s">
        <v>1114</v>
      </c>
      <c r="C1832" s="13" t="n">
        <v>340660</v>
      </c>
      <c r="D1832" s="13" t="n">
        <v>544170</v>
      </c>
      <c r="E1832" s="6" t="n">
        <f>SUM(C1832,D1832)/2</f>
        <v>442415</v>
      </c>
      <c r="F1832" s="12" t="n">
        <v>75254</v>
      </c>
      <c r="G1832" s="12" t="n">
        <v>105392</v>
      </c>
      <c r="H1832" s="6" t="n">
        <f>SUM(F1832,G1832)/2</f>
        <v>90323</v>
      </c>
    </row>
    <row r="1833" s="18" customFormat="1" ht="14.399999999999999" customHeight="1">
      <c r="A1833" s="10" t="s">
        <v>2805</v>
      </c>
      <c r="B1833" s="10" t="s">
        <v>2806</v>
      </c>
      <c r="C1833" s="10" t="n">
        <v>1</v>
      </c>
      <c r="D1833" s="10" t="n">
        <v>1</v>
      </c>
      <c r="E1833" s="6" t="n">
        <f>SUM(C1833,D1833)/2</f>
        <v>1</v>
      </c>
      <c r="F1833" s="18" t="n">
        <v>0</v>
      </c>
      <c r="G1833" s="18" t="n">
        <v>0</v>
      </c>
      <c r="H1833" s="6" t="n">
        <f>SUM(F1833,G1833)/2</f>
        <v>0</v>
      </c>
    </row>
    <row r="1834" s="18" customFormat="1" ht="14.399999999999999" customHeight="1">
      <c r="A1834" s="10" t="s">
        <v>5017</v>
      </c>
      <c r="B1834" s="10" t="s">
        <v>5018</v>
      </c>
      <c r="C1834" s="13" t="n">
        <v>19713</v>
      </c>
      <c r="D1834" s="13" t="n">
        <v>31487</v>
      </c>
      <c r="E1834" s="6" t="n">
        <f>SUM(C1834,D1834)/2</f>
        <v>25600</v>
      </c>
      <c r="F1834" s="12" t="n">
        <v>3507</v>
      </c>
      <c r="G1834" s="12" t="n">
        <v>4616</v>
      </c>
      <c r="H1834" s="6" t="n">
        <f>SUM(F1834,G1834)/2</f>
        <v>4061.5</v>
      </c>
    </row>
    <row r="1835" s="18" customFormat="1" ht="14.399999999999999" customHeight="1">
      <c r="A1835" s="10" t="s">
        <v>2929</v>
      </c>
      <c r="B1835" s="10" t="s">
        <v>2930</v>
      </c>
      <c r="C1835" s="10" t="n">
        <v>0</v>
      </c>
      <c r="D1835" s="10" t="n">
        <v>0</v>
      </c>
      <c r="E1835" s="6" t="n">
        <f>SUM(C1835,D1835)/2</f>
        <v>0</v>
      </c>
      <c r="F1835" s="18" t="n">
        <v>0</v>
      </c>
      <c r="G1835" s="18" t="n">
        <v>0</v>
      </c>
      <c r="H1835" s="6" t="n">
        <f>SUM(F1835,G1835)/2</f>
        <v>0</v>
      </c>
    </row>
    <row r="1836" s="18" customFormat="1" ht="14.399999999999999" customHeight="1">
      <c r="A1836" s="10" t="s">
        <v>1165</v>
      </c>
      <c r="B1836" s="10" t="s">
        <v>1166</v>
      </c>
      <c r="C1836" s="10" t="n">
        <v>863</v>
      </c>
      <c r="D1836" s="13" t="n">
        <v>1381</v>
      </c>
      <c r="E1836" s="6" t="n">
        <f>SUM(C1836,D1836)/2</f>
        <v>1122</v>
      </c>
      <c r="F1836" s="18" t="n">
        <v>31</v>
      </c>
      <c r="G1836" s="18" t="n">
        <v>70</v>
      </c>
      <c r="H1836" s="6" t="n">
        <f>SUM(F1836,G1836)/2</f>
        <v>50.5</v>
      </c>
    </row>
    <row r="1837" s="18" customFormat="1" ht="14.399999999999999" customHeight="1">
      <c r="A1837" s="10" t="s">
        <v>6484</v>
      </c>
      <c r="B1837" s="10" t="s">
        <v>6485</v>
      </c>
      <c r="C1837" s="10" t="n">
        <v>7</v>
      </c>
      <c r="D1837" s="10" t="n">
        <v>11</v>
      </c>
      <c r="E1837" s="6" t="n">
        <f>SUM(C1837,D1837)/2</f>
        <v>9</v>
      </c>
      <c r="F1837" s="18" t="n">
        <v>1</v>
      </c>
      <c r="G1837" s="18" t="n">
        <v>1</v>
      </c>
      <c r="H1837" s="6" t="n">
        <f>SUM(F1837,G1837)/2</f>
        <v>1</v>
      </c>
    </row>
    <row r="1838" s="18" customFormat="1" ht="14.399999999999999" customHeight="1">
      <c r="A1838" s="10" t="s">
        <v>6486</v>
      </c>
      <c r="B1838" s="10" t="s">
        <v>6487</v>
      </c>
      <c r="C1838" s="10" t="n">
        <v>267</v>
      </c>
      <c r="D1838" s="10" t="n">
        <v>429</v>
      </c>
      <c r="E1838" s="6" t="n">
        <f>SUM(C1838,D1838)/2</f>
        <v>348</v>
      </c>
      <c r="F1838" s="18" t="n">
        <v>158</v>
      </c>
      <c r="G1838" s="18" t="n">
        <v>190</v>
      </c>
      <c r="H1838" s="6" t="n">
        <f>SUM(F1838,G1838)/2</f>
        <v>174</v>
      </c>
    </row>
    <row r="1839" s="18" customFormat="1" ht="14.399999999999999" customHeight="1">
      <c r="A1839" s="10" t="s">
        <v>2028</v>
      </c>
      <c r="B1839" s="10" t="s">
        <v>2029</v>
      </c>
      <c r="C1839" s="10" t="n">
        <v>33</v>
      </c>
      <c r="D1839" s="10" t="n">
        <v>53</v>
      </c>
      <c r="E1839" s="6" t="n">
        <f>SUM(C1839,D1839)/2</f>
        <v>43</v>
      </c>
      <c r="F1839" s="18" t="n">
        <v>1</v>
      </c>
      <c r="G1839" s="18" t="n">
        <v>2</v>
      </c>
      <c r="H1839" s="6" t="n">
        <f>SUM(F1839,G1839)/2</f>
        <v>1.5</v>
      </c>
    </row>
    <row r="1840" s="18" customFormat="1" ht="14.399999999999999" customHeight="1">
      <c r="A1840" s="10" t="s">
        <v>4061</v>
      </c>
      <c r="B1840" s="10" t="s">
        <v>4062</v>
      </c>
      <c r="C1840" s="13" t="n">
        <v>13504</v>
      </c>
      <c r="D1840" s="13" t="n">
        <v>21570</v>
      </c>
      <c r="E1840" s="6" t="n">
        <f>SUM(C1840,D1840)/2</f>
        <v>17537</v>
      </c>
      <c r="F1840" s="12" t="n">
        <v>14625</v>
      </c>
      <c r="G1840" s="12" t="n">
        <v>24217</v>
      </c>
      <c r="H1840" s="6" t="n">
        <f>SUM(F1840,G1840)/2</f>
        <v>19421</v>
      </c>
    </row>
    <row r="1841" s="18" customFormat="1" ht="14.399999999999999" customHeight="1">
      <c r="A1841" s="10" t="s">
        <v>756</v>
      </c>
      <c r="B1841" s="10" t="s">
        <v>757</v>
      </c>
      <c r="C1841" s="13" t="n">
        <v>1499205</v>
      </c>
      <c r="D1841" s="13" t="n">
        <v>2394835</v>
      </c>
      <c r="E1841" s="6" t="n">
        <f>SUM(C1841,D1841)/2</f>
        <v>1947020</v>
      </c>
      <c r="F1841" s="12" t="n">
        <v>307925</v>
      </c>
      <c r="G1841" s="12" t="n">
        <v>474804</v>
      </c>
      <c r="H1841" s="6" t="n">
        <f>SUM(F1841,G1841)/2</f>
        <v>391364.5</v>
      </c>
    </row>
    <row r="1842" s="18" customFormat="1" ht="14.399999999999999" customHeight="1">
      <c r="A1842" s="10" t="s">
        <v>2049</v>
      </c>
      <c r="B1842" s="10" t="s">
        <v>2050</v>
      </c>
      <c r="C1842" s="10" t="n">
        <v>4</v>
      </c>
      <c r="D1842" s="10" t="n">
        <v>6</v>
      </c>
      <c r="E1842" s="6" t="n">
        <f>SUM(C1842,D1842)/2</f>
        <v>5</v>
      </c>
      <c r="F1842" s="18" t="n">
        <v>7</v>
      </c>
      <c r="G1842" s="18" t="n">
        <v>13</v>
      </c>
      <c r="H1842" s="6" t="n">
        <f>SUM(F1842,G1842)/2</f>
        <v>10</v>
      </c>
    </row>
    <row r="1843" s="18" customFormat="1" ht="14.399999999999999" customHeight="1">
      <c r="A1843" s="10" t="s">
        <v>2400</v>
      </c>
      <c r="B1843" s="10" t="s">
        <v>2401</v>
      </c>
      <c r="C1843" s="13" t="n">
        <v>139206</v>
      </c>
      <c r="D1843" s="13" t="n">
        <v>222370</v>
      </c>
      <c r="E1843" s="6" t="n">
        <f>SUM(C1843,D1843)/2</f>
        <v>180788</v>
      </c>
      <c r="F1843" s="12" t="n">
        <v>38888</v>
      </c>
      <c r="G1843" s="12" t="n">
        <v>59247</v>
      </c>
      <c r="H1843" s="6" t="n">
        <f>SUM(F1843,G1843)/2</f>
        <v>49067.5</v>
      </c>
    </row>
    <row r="1844" s="18" customFormat="1" ht="14.399999999999999" customHeight="1">
      <c r="A1844" s="10" t="s">
        <v>1711</v>
      </c>
      <c r="B1844" s="10" t="s">
        <v>1712</v>
      </c>
      <c r="C1844" s="10" t="n">
        <v>63</v>
      </c>
      <c r="D1844" s="10" t="n">
        <v>99</v>
      </c>
      <c r="E1844" s="6" t="n">
        <f>SUM(C1844,D1844)/2</f>
        <v>81</v>
      </c>
      <c r="F1844" s="18" t="n">
        <v>13</v>
      </c>
      <c r="G1844" s="18" t="n">
        <v>16</v>
      </c>
      <c r="H1844" s="6" t="n">
        <f>SUM(F1844,G1844)/2</f>
        <v>14.5</v>
      </c>
    </row>
    <row r="1845" s="18" customFormat="1" ht="14.399999999999999" customHeight="1">
      <c r="A1845" s="10" t="s">
        <v>4543</v>
      </c>
      <c r="B1845" s="10" t="s">
        <v>4544</v>
      </c>
      <c r="C1845" s="13" t="n">
        <v>13779</v>
      </c>
      <c r="D1845" s="13" t="n">
        <v>22013</v>
      </c>
      <c r="E1845" s="6" t="n">
        <f>SUM(C1845,D1845)/2</f>
        <v>17896</v>
      </c>
      <c r="F1845" s="12" t="n">
        <v>8907</v>
      </c>
      <c r="G1845" s="12" t="n">
        <v>13048</v>
      </c>
      <c r="H1845" s="6" t="n">
        <f>SUM(F1845,G1845)/2</f>
        <v>10977.5</v>
      </c>
    </row>
    <row r="1846" s="18" customFormat="1" ht="14.399999999999999" customHeight="1">
      <c r="A1846" s="10" t="s">
        <v>226</v>
      </c>
      <c r="B1846" s="10" t="s">
        <v>6488</v>
      </c>
      <c r="C1846" s="10"/>
      <c r="D1846" s="10"/>
      <c r="E1846" s="6" t="n">
        <f>SUM(C1846,D1846)/2</f>
        <v>0</v>
      </c>
      <c r="F1846" s="18" t="n">
        <v>219</v>
      </c>
      <c r="G1846" s="18" t="n">
        <v>261</v>
      </c>
      <c r="H1846" s="6" t="n">
        <f>SUM(F1846,G1846)/2</f>
        <v>240</v>
      </c>
    </row>
    <row r="1847" s="18" customFormat="1" ht="14.399999999999999" customHeight="1">
      <c r="A1847" s="10" t="s">
        <v>1157</v>
      </c>
      <c r="B1847" s="10" t="s">
        <v>1158</v>
      </c>
      <c r="C1847" s="10" t="n">
        <v>201</v>
      </c>
      <c r="D1847" s="10" t="n">
        <v>321</v>
      </c>
      <c r="E1847" s="6" t="n">
        <f>SUM(C1847,D1847)/2</f>
        <v>261</v>
      </c>
      <c r="F1847" s="18" t="n">
        <v>211</v>
      </c>
      <c r="G1847" s="18" t="n">
        <v>267</v>
      </c>
      <c r="H1847" s="6" t="n">
        <f>SUM(F1847,G1847)/2</f>
        <v>239</v>
      </c>
    </row>
    <row r="1848" s="18" customFormat="1" ht="14.399999999999999" customHeight="1">
      <c r="A1848" s="10" t="s">
        <v>370</v>
      </c>
      <c r="B1848" s="10" t="s">
        <v>371</v>
      </c>
      <c r="C1848" s="13" t="n">
        <v>1784</v>
      </c>
      <c r="D1848" s="13" t="n">
        <v>2850</v>
      </c>
      <c r="E1848" s="6" t="n">
        <f>SUM(C1848,D1848)/2</f>
        <v>2317</v>
      </c>
      <c r="F1848" s="18" t="n">
        <v>1183</v>
      </c>
      <c r="G1848" s="18" t="n">
        <v>1875</v>
      </c>
      <c r="H1848" s="6" t="n">
        <f>SUM(F1848,G1848)/2</f>
        <v>1529</v>
      </c>
    </row>
    <row r="1849" s="18" customFormat="1" ht="14.399999999999999" customHeight="1">
      <c r="A1849" s="10" t="s">
        <v>1252</v>
      </c>
      <c r="B1849" s="10" t="s">
        <v>1253</v>
      </c>
      <c r="C1849" s="13" t="n">
        <v>173188</v>
      </c>
      <c r="D1849" s="13" t="n">
        <v>276651</v>
      </c>
      <c r="E1849" s="6" t="n">
        <f>SUM(C1849,D1849)/2</f>
        <v>224919.5</v>
      </c>
      <c r="F1849" s="12" t="n">
        <v>32510</v>
      </c>
      <c r="G1849" s="12" t="n">
        <v>39480</v>
      </c>
      <c r="H1849" s="6" t="n">
        <f>SUM(F1849,G1849)/2</f>
        <v>35995</v>
      </c>
    </row>
    <row r="1850" s="18" customFormat="1" ht="14.399999999999999" customHeight="1">
      <c r="A1850" s="10" t="s">
        <v>2931</v>
      </c>
      <c r="B1850" s="10" t="s">
        <v>2932</v>
      </c>
      <c r="C1850" s="10" t="n">
        <v>0</v>
      </c>
      <c r="D1850" s="10" t="n">
        <v>0</v>
      </c>
      <c r="E1850" s="6" t="n">
        <f>SUM(C1850,D1850)/2</f>
        <v>0</v>
      </c>
      <c r="F1850" s="18" t="n">
        <v>0</v>
      </c>
      <c r="G1850" s="18" t="n">
        <v>0</v>
      </c>
      <c r="H1850" s="6" t="n">
        <f>SUM(F1850,G1850)/2</f>
        <v>0</v>
      </c>
    </row>
    <row r="1851" s="18" customFormat="1" ht="14.399999999999999" customHeight="1">
      <c r="A1851" s="10" t="s">
        <v>6489</v>
      </c>
      <c r="B1851" s="10" t="s">
        <v>6490</v>
      </c>
      <c r="C1851" s="10" t="n">
        <v>247</v>
      </c>
      <c r="D1851" s="10" t="n">
        <v>396</v>
      </c>
      <c r="E1851" s="6" t="n">
        <f>SUM(C1851,D1851)/2</f>
        <v>321.5</v>
      </c>
      <c r="F1851" s="18" t="n">
        <v>161</v>
      </c>
      <c r="G1851" s="18" t="n">
        <v>239</v>
      </c>
      <c r="H1851" s="6" t="n">
        <f>SUM(F1851,G1851)/2</f>
        <v>200</v>
      </c>
    </row>
    <row r="1852" s="18" customFormat="1" ht="14.399999999999999" customHeight="1">
      <c r="A1852" s="10" t="s">
        <v>106</v>
      </c>
      <c r="B1852" s="10" t="s">
        <v>107</v>
      </c>
      <c r="C1852" s="13" t="n">
        <v>43886</v>
      </c>
      <c r="D1852" s="13" t="n">
        <v>70108</v>
      </c>
      <c r="E1852" s="6" t="n">
        <f>SUM(C1852,D1852)/2</f>
        <v>56997</v>
      </c>
      <c r="F1852" s="12" t="n">
        <v>7696</v>
      </c>
      <c r="G1852" s="12" t="n">
        <v>21389</v>
      </c>
      <c r="H1852" s="6" t="n">
        <f>SUM(F1852,G1852)/2</f>
        <v>14542.5</v>
      </c>
    </row>
    <row r="1853" s="18" customFormat="1" ht="14.399999999999999" customHeight="1">
      <c r="A1853" s="10" t="s">
        <v>240</v>
      </c>
      <c r="B1853" s="10" t="s">
        <v>241</v>
      </c>
      <c r="C1853" s="13" t="n">
        <v>9904</v>
      </c>
      <c r="D1853" s="13" t="n">
        <v>15822</v>
      </c>
      <c r="E1853" s="6" t="n">
        <f>SUM(C1853,D1853)/2</f>
        <v>12863</v>
      </c>
      <c r="F1853" s="18" t="n">
        <v>1510</v>
      </c>
      <c r="G1853" s="18" t="n">
        <v>1768</v>
      </c>
      <c r="H1853" s="6" t="n">
        <f>SUM(F1853,G1853)/2</f>
        <v>1639</v>
      </c>
    </row>
    <row r="1854" s="18" customFormat="1" ht="14.399999999999999" customHeight="1">
      <c r="A1854" s="10" t="s">
        <v>5261</v>
      </c>
      <c r="B1854" s="10" t="s">
        <v>5262</v>
      </c>
      <c r="C1854" s="13" t="n">
        <v>2097</v>
      </c>
      <c r="D1854" s="13" t="n">
        <v>3351</v>
      </c>
      <c r="E1854" s="6" t="n">
        <f>SUM(C1854,D1854)/2</f>
        <v>2724</v>
      </c>
      <c r="F1854" s="18" t="n">
        <v>507</v>
      </c>
      <c r="G1854" s="18" t="n">
        <v>761</v>
      </c>
      <c r="H1854" s="6" t="n">
        <f>SUM(F1854,G1854)/2</f>
        <v>634</v>
      </c>
    </row>
    <row r="1855" s="18" customFormat="1" ht="14.399999999999999" customHeight="1">
      <c r="A1855" s="10" t="s">
        <v>6491</v>
      </c>
      <c r="B1855" s="10" t="s">
        <v>6492</v>
      </c>
      <c r="C1855" s="13" t="n">
        <v>23125</v>
      </c>
      <c r="D1855" s="13" t="n">
        <v>36937</v>
      </c>
      <c r="E1855" s="6" t="n">
        <f>SUM(C1855,D1855)/2</f>
        <v>30031</v>
      </c>
      <c r="F1855" s="12" t="n">
        <v>5946</v>
      </c>
      <c r="G1855" s="12" t="n">
        <v>7298</v>
      </c>
      <c r="H1855" s="6" t="n">
        <f>SUM(F1855,G1855)/2</f>
        <v>6622</v>
      </c>
    </row>
    <row r="1856" s="18" customFormat="1" ht="14.399999999999999" customHeight="1">
      <c r="A1856" s="10" t="s">
        <v>560</v>
      </c>
      <c r="B1856" s="10" t="s">
        <v>561</v>
      </c>
      <c r="C1856" s="10" t="n">
        <v>766</v>
      </c>
      <c r="D1856" s="13" t="n">
        <v>1222</v>
      </c>
      <c r="E1856" s="6" t="n">
        <f>SUM(C1856,D1856)/2</f>
        <v>994</v>
      </c>
      <c r="F1856" s="18" t="n">
        <v>115</v>
      </c>
      <c r="G1856" s="18" t="n">
        <v>164</v>
      </c>
      <c r="H1856" s="6" t="n">
        <f>SUM(F1856,G1856)/2</f>
        <v>139.5</v>
      </c>
    </row>
    <row r="1857" s="18" customFormat="1" ht="14.399999999999999" customHeight="1">
      <c r="A1857" s="10" t="s">
        <v>2184</v>
      </c>
      <c r="B1857" s="10" t="s">
        <v>2185</v>
      </c>
      <c r="C1857" s="10" t="n">
        <v>47</v>
      </c>
      <c r="D1857" s="10" t="n">
        <v>73</v>
      </c>
      <c r="E1857" s="6" t="n">
        <f>SUM(C1857,D1857)/2</f>
        <v>60</v>
      </c>
      <c r="F1857" s="18" t="n">
        <v>74</v>
      </c>
      <c r="G1857" s="18" t="n">
        <v>112</v>
      </c>
      <c r="H1857" s="6" t="n">
        <f>SUM(F1857,G1857)/2</f>
        <v>93</v>
      </c>
    </row>
    <row r="1858" s="18" customFormat="1" ht="14.399999999999999" customHeight="1">
      <c r="A1858" s="10" t="s">
        <v>670</v>
      </c>
      <c r="B1858" s="10" t="s">
        <v>671</v>
      </c>
      <c r="C1858" s="10" t="n">
        <v>583</v>
      </c>
      <c r="D1858" s="10" t="n">
        <v>933</v>
      </c>
      <c r="E1858" s="6" t="n">
        <f>SUM(C1858,D1858)/2</f>
        <v>758</v>
      </c>
      <c r="F1858" s="18" t="n">
        <v>14</v>
      </c>
      <c r="G1858" s="18" t="n">
        <v>18</v>
      </c>
      <c r="H1858" s="6" t="n">
        <f>SUM(F1858,G1858)/2</f>
        <v>16</v>
      </c>
    </row>
    <row r="1859" s="18" customFormat="1" ht="14.399999999999999" customHeight="1">
      <c r="A1859" s="10" t="s">
        <v>1419</v>
      </c>
      <c r="B1859" s="10" t="s">
        <v>1420</v>
      </c>
      <c r="C1859" s="10" t="n">
        <v>0</v>
      </c>
      <c r="D1859" s="10" t="n">
        <v>0</v>
      </c>
      <c r="E1859" s="6" t="n">
        <f>SUM(C1859,D1859)/2</f>
        <v>0</v>
      </c>
      <c r="F1859" s="18" t="n">
        <v>0</v>
      </c>
      <c r="G1859" s="18" t="n">
        <v>0</v>
      </c>
      <c r="H1859" s="6" t="n">
        <f>SUM(F1859,G1859)/2</f>
        <v>0</v>
      </c>
    </row>
    <row r="1860" s="18" customFormat="1" ht="14.399999999999999" customHeight="1">
      <c r="A1860" s="10" t="s">
        <v>5310</v>
      </c>
      <c r="B1860" s="10" t="s">
        <v>5311</v>
      </c>
      <c r="C1860" s="10" t="n">
        <v>583</v>
      </c>
      <c r="D1860" s="10" t="n">
        <v>931</v>
      </c>
      <c r="E1860" s="6" t="n">
        <f>SUM(C1860,D1860)/2</f>
        <v>757</v>
      </c>
      <c r="F1860" s="18" t="n">
        <v>475</v>
      </c>
      <c r="G1860" s="18" t="n">
        <v>539</v>
      </c>
      <c r="H1860" s="6" t="n">
        <f>SUM(F1860,G1860)/2</f>
        <v>507</v>
      </c>
    </row>
    <row r="1861" s="18" customFormat="1" ht="14.399999999999999" customHeight="1">
      <c r="A1861" s="10" t="s">
        <v>1488</v>
      </c>
      <c r="B1861" s="10" t="s">
        <v>1489</v>
      </c>
      <c r="C1861" s="10" t="n">
        <v>99</v>
      </c>
      <c r="D1861" s="10" t="n">
        <v>155</v>
      </c>
      <c r="E1861" s="6" t="n">
        <f>SUM(C1861,D1861)/2</f>
        <v>127</v>
      </c>
      <c r="F1861" s="18" t="n">
        <v>9</v>
      </c>
      <c r="G1861" s="18" t="n">
        <v>13</v>
      </c>
      <c r="H1861" s="6" t="n">
        <f>SUM(F1861,G1861)/2</f>
        <v>11</v>
      </c>
    </row>
    <row r="1862" s="18" customFormat="1" ht="14.399999999999999" customHeight="1">
      <c r="A1862" s="10" t="s">
        <v>4067</v>
      </c>
      <c r="B1862" s="10" t="s">
        <v>4068</v>
      </c>
      <c r="C1862" s="13" t="n">
        <v>26102</v>
      </c>
      <c r="D1862" s="13" t="n">
        <v>41696</v>
      </c>
      <c r="E1862" s="6" t="n">
        <f>SUM(C1862,D1862)/2</f>
        <v>33899</v>
      </c>
      <c r="F1862" s="12" t="n">
        <v>14211</v>
      </c>
      <c r="G1862" s="12" t="n">
        <v>17101</v>
      </c>
      <c r="H1862" s="6" t="n">
        <f>SUM(F1862,G1862)/2</f>
        <v>15656</v>
      </c>
    </row>
    <row r="1863" s="18" customFormat="1" ht="14.399999999999999" customHeight="1">
      <c r="A1863" s="10" t="s">
        <v>6493</v>
      </c>
      <c r="B1863" s="10" t="s">
        <v>6494</v>
      </c>
      <c r="C1863" s="13" t="n">
        <v>13776</v>
      </c>
      <c r="D1863" s="13" t="n">
        <v>22002</v>
      </c>
      <c r="E1863" s="6" t="n">
        <f>SUM(C1863,D1863)/2</f>
        <v>17889</v>
      </c>
      <c r="F1863" s="12" t="n">
        <v>7744</v>
      </c>
      <c r="G1863" s="12" t="n">
        <v>11615</v>
      </c>
      <c r="H1863" s="6" t="n">
        <f>SUM(F1863,G1863)/2</f>
        <v>9679.5</v>
      </c>
    </row>
    <row r="1864" s="18" customFormat="1" ht="14.399999999999999" customHeight="1">
      <c r="A1864" s="10" t="s">
        <v>336</v>
      </c>
      <c r="B1864" s="10" t="s">
        <v>337</v>
      </c>
      <c r="C1864" s="13" t="n">
        <v>3861</v>
      </c>
      <c r="D1864" s="13" t="n">
        <v>6171</v>
      </c>
      <c r="E1864" s="6" t="n">
        <f>SUM(C1864,D1864)/2</f>
        <v>5016</v>
      </c>
      <c r="F1864" s="18" t="n">
        <v>1230</v>
      </c>
      <c r="G1864" s="18" t="n">
        <v>1655</v>
      </c>
      <c r="H1864" s="6" t="n">
        <f>SUM(F1864,G1864)/2</f>
        <v>1442.5</v>
      </c>
    </row>
    <row r="1865" s="18" customFormat="1" ht="14.399999999999999" customHeight="1">
      <c r="A1865" s="10" t="s">
        <v>5119</v>
      </c>
      <c r="B1865" s="10" t="s">
        <v>5120</v>
      </c>
      <c r="C1865" s="13" t="n">
        <v>17973</v>
      </c>
      <c r="D1865" s="13" t="n">
        <v>28709</v>
      </c>
      <c r="E1865" s="6" t="n">
        <f>SUM(C1865,D1865)/2</f>
        <v>23341</v>
      </c>
      <c r="F1865" s="12" t="n">
        <v>1753</v>
      </c>
      <c r="G1865" s="12" t="n">
        <v>3897</v>
      </c>
      <c r="H1865" s="6" t="n">
        <f>SUM(F1865,G1865)/2</f>
        <v>2825</v>
      </c>
    </row>
    <row r="1866" s="18" customFormat="1" ht="14.399999999999999" customHeight="1">
      <c r="A1866" s="10" t="s">
        <v>6495</v>
      </c>
      <c r="B1866" s="10" t="s">
        <v>6496</v>
      </c>
      <c r="C1866" s="10"/>
      <c r="D1866" s="10"/>
      <c r="E1866" s="6" t="n">
        <f>SUM(C1866,D1866)/2</f>
        <v>0</v>
      </c>
      <c r="F1866" s="12" t="n">
        <v>74837</v>
      </c>
      <c r="G1866" s="12" t="n">
        <v>85089</v>
      </c>
      <c r="H1866" s="6" t="n">
        <f>SUM(F1866,G1866)/2</f>
        <v>79963</v>
      </c>
    </row>
    <row r="1867" s="18" customFormat="1" ht="14.399999999999999" customHeight="1">
      <c r="A1867" s="10" t="s">
        <v>4207</v>
      </c>
      <c r="B1867" s="10" t="s">
        <v>4208</v>
      </c>
      <c r="C1867" s="13" t="n">
        <v>32716</v>
      </c>
      <c r="D1867" s="13" t="n">
        <v>52260</v>
      </c>
      <c r="E1867" s="6" t="n">
        <f>SUM(C1867,D1867)/2</f>
        <v>42488</v>
      </c>
      <c r="F1867" s="12" t="n">
        <v>9538</v>
      </c>
      <c r="G1867" s="12" t="n">
        <v>12582</v>
      </c>
      <c r="H1867" s="6" t="n">
        <f>SUM(F1867,G1867)/2</f>
        <v>11060</v>
      </c>
    </row>
    <row r="1868" s="18" customFormat="1" ht="14.399999999999999" customHeight="1">
      <c r="A1868" s="10" t="s">
        <v>1463</v>
      </c>
      <c r="B1868" s="10" t="s">
        <v>1464</v>
      </c>
      <c r="C1868" s="10" t="n">
        <v>64</v>
      </c>
      <c r="D1868" s="10" t="n">
        <v>102</v>
      </c>
      <c r="E1868" s="6" t="n">
        <f>SUM(C1868,D1868)/2</f>
        <v>83</v>
      </c>
      <c r="F1868" s="18" t="n">
        <v>36</v>
      </c>
      <c r="G1868" s="18" t="n">
        <v>48</v>
      </c>
      <c r="H1868" s="6" t="n">
        <f>SUM(F1868,G1868)/2</f>
        <v>42</v>
      </c>
    </row>
    <row r="1869" s="18" customFormat="1" ht="14.399999999999999" customHeight="1">
      <c r="A1869" s="10" t="s">
        <v>6497</v>
      </c>
      <c r="B1869" s="10" t="s">
        <v>6498</v>
      </c>
      <c r="C1869" s="13" t="n">
        <v>9168</v>
      </c>
      <c r="D1869" s="13" t="n">
        <v>14642</v>
      </c>
      <c r="E1869" s="6" t="n">
        <f>SUM(C1869,D1869)/2</f>
        <v>11905</v>
      </c>
      <c r="F1869" s="12" t="n">
        <v>6236</v>
      </c>
      <c r="G1869" s="12" t="n">
        <v>8249</v>
      </c>
      <c r="H1869" s="6" t="n">
        <f>SUM(F1869,G1869)/2</f>
        <v>7242.5</v>
      </c>
    </row>
    <row r="1870" s="18" customFormat="1" ht="14.399999999999999" customHeight="1">
      <c r="A1870" s="10" t="s">
        <v>4973</v>
      </c>
      <c r="B1870" s="10" t="s">
        <v>4974</v>
      </c>
      <c r="C1870" s="13" t="n">
        <v>16400</v>
      </c>
      <c r="D1870" s="13" t="n">
        <v>26194</v>
      </c>
      <c r="E1870" s="6" t="n">
        <f>SUM(C1870,D1870)/2</f>
        <v>21297</v>
      </c>
      <c r="F1870" s="12" t="n">
        <v>4488</v>
      </c>
      <c r="G1870" s="12" t="n">
        <v>6337</v>
      </c>
      <c r="H1870" s="6" t="n">
        <f>SUM(F1870,G1870)/2</f>
        <v>5412.5</v>
      </c>
    </row>
    <row r="1871" s="18" customFormat="1" ht="14.399999999999999" customHeight="1">
      <c r="A1871" s="10" t="s">
        <v>4199</v>
      </c>
      <c r="B1871" s="10" t="s">
        <v>4200</v>
      </c>
      <c r="C1871" s="13" t="n">
        <v>29856</v>
      </c>
      <c r="D1871" s="13" t="n">
        <v>47694</v>
      </c>
      <c r="E1871" s="6" t="n">
        <f>SUM(C1871,D1871)/2</f>
        <v>38775</v>
      </c>
      <c r="F1871" s="12" t="n">
        <v>11131</v>
      </c>
      <c r="G1871" s="12" t="n">
        <v>12771</v>
      </c>
      <c r="H1871" s="6" t="n">
        <f>SUM(F1871,G1871)/2</f>
        <v>11951</v>
      </c>
    </row>
    <row r="1872" s="18" customFormat="1" ht="14.399999999999999" customHeight="1">
      <c r="A1872" s="10" t="s">
        <v>4669</v>
      </c>
      <c r="B1872" s="10" t="s">
        <v>4670</v>
      </c>
      <c r="C1872" s="13" t="n">
        <v>29103</v>
      </c>
      <c r="D1872" s="13" t="n">
        <v>46488</v>
      </c>
      <c r="E1872" s="6" t="n">
        <f>SUM(C1872,D1872)/2</f>
        <v>37795.5</v>
      </c>
      <c r="F1872" s="12" t="n">
        <v>4367</v>
      </c>
      <c r="G1872" s="12" t="n">
        <v>5988</v>
      </c>
      <c r="H1872" s="6" t="n">
        <f>SUM(F1872,G1872)/2</f>
        <v>5177.5</v>
      </c>
    </row>
    <row r="1873" s="18" customFormat="1" ht="14.399999999999999" customHeight="1">
      <c r="A1873" s="10" t="s">
        <v>3905</v>
      </c>
      <c r="B1873" s="10" t="s">
        <v>3906</v>
      </c>
      <c r="C1873" s="13" t="n">
        <v>32345</v>
      </c>
      <c r="D1873" s="13" t="n">
        <v>51671</v>
      </c>
      <c r="E1873" s="6" t="n">
        <f>SUM(C1873,D1873)/2</f>
        <v>42008</v>
      </c>
      <c r="F1873" s="12" t="n">
        <v>16225</v>
      </c>
      <c r="G1873" s="12" t="n">
        <v>19501</v>
      </c>
      <c r="H1873" s="6" t="n">
        <f>SUM(F1873,G1873)/2</f>
        <v>17863</v>
      </c>
    </row>
    <row r="1874" s="18" customFormat="1" ht="14.399999999999999" customHeight="1">
      <c r="A1874" s="10" t="s">
        <v>5372</v>
      </c>
      <c r="B1874" s="10" t="s">
        <v>5373</v>
      </c>
      <c r="C1874" s="13" t="n">
        <v>411989</v>
      </c>
      <c r="D1874" s="13" t="n">
        <v>658113</v>
      </c>
      <c r="E1874" s="6" t="n">
        <f>SUM(C1874,D1874)/2</f>
        <v>535051</v>
      </c>
      <c r="F1874" s="12" t="n">
        <v>31160</v>
      </c>
      <c r="G1874" s="12" t="n">
        <v>49033</v>
      </c>
      <c r="H1874" s="6" t="n">
        <f>SUM(F1874,G1874)/2</f>
        <v>40096.5</v>
      </c>
    </row>
    <row r="1875" s="18" customFormat="1" ht="14.399999999999999" customHeight="1">
      <c r="A1875" s="10" t="s">
        <v>4815</v>
      </c>
      <c r="B1875" s="10" t="s">
        <v>4816</v>
      </c>
      <c r="C1875" s="13" t="n">
        <v>18129</v>
      </c>
      <c r="D1875" s="13" t="n">
        <v>28959</v>
      </c>
      <c r="E1875" s="6" t="n">
        <f>SUM(C1875,D1875)/2</f>
        <v>23544</v>
      </c>
      <c r="F1875" s="12" t="n">
        <v>5469</v>
      </c>
      <c r="G1875" s="12" t="n">
        <v>7689</v>
      </c>
      <c r="H1875" s="6" t="n">
        <f>SUM(F1875,G1875)/2</f>
        <v>6579</v>
      </c>
    </row>
    <row r="1876" s="18" customFormat="1" ht="14.399999999999999" customHeight="1">
      <c r="A1876" s="10" t="s">
        <v>2933</v>
      </c>
      <c r="B1876" s="10" t="s">
        <v>2934</v>
      </c>
      <c r="C1876" s="10" t="n">
        <v>0</v>
      </c>
      <c r="D1876" s="10" t="n">
        <v>0</v>
      </c>
      <c r="E1876" s="6" t="n">
        <f>SUM(C1876,D1876)/2</f>
        <v>0</v>
      </c>
      <c r="F1876" s="18" t="n">
        <v>0</v>
      </c>
      <c r="G1876" s="18" t="n">
        <v>0</v>
      </c>
      <c r="H1876" s="6" t="n">
        <f>SUM(F1876,G1876)/2</f>
        <v>0</v>
      </c>
    </row>
    <row r="1877" s="18" customFormat="1" ht="14.399999999999999" customHeight="1">
      <c r="A1877" s="10" t="s">
        <v>704</v>
      </c>
      <c r="B1877" s="10" t="s">
        <v>705</v>
      </c>
      <c r="C1877" s="13" t="n">
        <v>2947445</v>
      </c>
      <c r="D1877" s="13" t="n">
        <v>4708253</v>
      </c>
      <c r="E1877" s="6" t="n">
        <f>SUM(C1877,D1877)/2</f>
        <v>3827849</v>
      </c>
      <c r="F1877" s="12" t="n">
        <v>449932</v>
      </c>
      <c r="G1877" s="12" t="n">
        <v>578533</v>
      </c>
      <c r="H1877" s="6" t="n">
        <f>SUM(F1877,G1877)/2</f>
        <v>514232.5</v>
      </c>
    </row>
    <row r="1878" s="18" customFormat="1" ht="14.399999999999999" customHeight="1">
      <c r="A1878" s="10" t="s">
        <v>2216</v>
      </c>
      <c r="B1878" s="10" t="s">
        <v>2217</v>
      </c>
      <c r="C1878" s="13" t="n">
        <v>169621</v>
      </c>
      <c r="D1878" s="13" t="n">
        <v>270953</v>
      </c>
      <c r="E1878" s="6" t="n">
        <f>SUM(C1878,D1878)/2</f>
        <v>220287</v>
      </c>
      <c r="F1878" s="12" t="n">
        <v>23106</v>
      </c>
      <c r="G1878" s="12" t="n">
        <v>34825</v>
      </c>
      <c r="H1878" s="6" t="n">
        <f>SUM(F1878,G1878)/2</f>
        <v>28965.5</v>
      </c>
    </row>
    <row r="1879" s="18" customFormat="1" ht="14.399999999999999" customHeight="1">
      <c r="A1879" s="10" t="s">
        <v>234</v>
      </c>
      <c r="B1879" s="10" t="s">
        <v>235</v>
      </c>
      <c r="C1879" s="13" t="n">
        <v>13168</v>
      </c>
      <c r="D1879" s="13" t="n">
        <v>21034</v>
      </c>
      <c r="E1879" s="6" t="n">
        <f>SUM(C1879,D1879)/2</f>
        <v>17101</v>
      </c>
      <c r="F1879" s="18" t="n">
        <v>816</v>
      </c>
      <c r="G1879" s="18" t="n">
        <v>931</v>
      </c>
      <c r="H1879" s="6" t="n">
        <f>SUM(F1879,G1879)/2</f>
        <v>873.5</v>
      </c>
    </row>
    <row r="1880" s="18" customFormat="1" ht="14.399999999999999" customHeight="1">
      <c r="A1880" s="10" t="s">
        <v>4483</v>
      </c>
      <c r="B1880" s="10" t="s">
        <v>4484</v>
      </c>
      <c r="C1880" s="13" t="n">
        <v>25464</v>
      </c>
      <c r="D1880" s="13" t="n">
        <v>40676</v>
      </c>
      <c r="E1880" s="6" t="n">
        <f>SUM(C1880,D1880)/2</f>
        <v>33070</v>
      </c>
      <c r="F1880" s="12" t="n">
        <v>7003</v>
      </c>
      <c r="G1880" s="12" t="n">
        <v>10232</v>
      </c>
      <c r="H1880" s="6" t="n">
        <f>SUM(F1880,G1880)/2</f>
        <v>8617.5</v>
      </c>
    </row>
    <row r="1881" s="18" customFormat="1" ht="14.399999999999999" customHeight="1">
      <c r="A1881" s="10" t="s">
        <v>3773</v>
      </c>
      <c r="B1881" s="10" t="s">
        <v>3774</v>
      </c>
      <c r="C1881" s="13" t="n">
        <v>72858</v>
      </c>
      <c r="D1881" s="13" t="n">
        <v>116384</v>
      </c>
      <c r="E1881" s="6" t="n">
        <f>SUM(C1881,D1881)/2</f>
        <v>94621</v>
      </c>
      <c r="F1881" s="12" t="n">
        <v>9167</v>
      </c>
      <c r="G1881" s="12" t="n">
        <v>12951</v>
      </c>
      <c r="H1881" s="6" t="n">
        <f>SUM(F1881,G1881)/2</f>
        <v>11059</v>
      </c>
    </row>
    <row r="1882" s="18" customFormat="1" ht="14.399999999999999" customHeight="1">
      <c r="A1882" s="10" t="s">
        <v>3321</v>
      </c>
      <c r="B1882" s="10" t="s">
        <v>3322</v>
      </c>
      <c r="C1882" s="13" t="n">
        <v>151139</v>
      </c>
      <c r="D1882" s="13" t="n">
        <v>241429</v>
      </c>
      <c r="E1882" s="6" t="n">
        <f>SUM(C1882,D1882)/2</f>
        <v>196284</v>
      </c>
      <c r="F1882" s="12" t="n">
        <v>7917</v>
      </c>
      <c r="G1882" s="12" t="n">
        <v>10864</v>
      </c>
      <c r="H1882" s="6" t="n">
        <f>SUM(F1882,G1882)/2</f>
        <v>9390.5</v>
      </c>
    </row>
    <row r="1883" s="18" customFormat="1" ht="14.399999999999999" customHeight="1">
      <c r="A1883" s="10" t="s">
        <v>4209</v>
      </c>
      <c r="B1883" s="10" t="s">
        <v>4210</v>
      </c>
      <c r="C1883" s="13" t="n">
        <v>46513</v>
      </c>
      <c r="D1883" s="13" t="n">
        <v>74301</v>
      </c>
      <c r="E1883" s="6" t="n">
        <f>SUM(C1883,D1883)/2</f>
        <v>60407</v>
      </c>
      <c r="F1883" s="12" t="n">
        <v>5929</v>
      </c>
      <c r="G1883" s="12" t="n">
        <v>8521</v>
      </c>
      <c r="H1883" s="6" t="n">
        <f>SUM(F1883,G1883)/2</f>
        <v>7225</v>
      </c>
    </row>
    <row r="1884" s="18" customFormat="1" ht="14.399999999999999" customHeight="1">
      <c r="A1884" s="10" t="s">
        <v>736</v>
      </c>
      <c r="B1884" s="10" t="s">
        <v>737</v>
      </c>
      <c r="C1884" s="13" t="n">
        <v>1270511</v>
      </c>
      <c r="D1884" s="13" t="n">
        <v>2029517</v>
      </c>
      <c r="E1884" s="6" t="n">
        <f>SUM(C1884,D1884)/2</f>
        <v>1650014</v>
      </c>
      <c r="F1884" s="12" t="n">
        <v>542177</v>
      </c>
      <c r="G1884" s="12" t="n">
        <v>765275</v>
      </c>
      <c r="H1884" s="6" t="n">
        <f>SUM(F1884,G1884)/2</f>
        <v>653726</v>
      </c>
    </row>
    <row r="1885" s="18" customFormat="1" ht="14.399999999999999" customHeight="1">
      <c r="A1885" s="10" t="s">
        <v>3861</v>
      </c>
      <c r="B1885" s="10" t="s">
        <v>3862</v>
      </c>
      <c r="C1885" s="13" t="n">
        <v>7158</v>
      </c>
      <c r="D1885" s="13" t="n">
        <v>11436</v>
      </c>
      <c r="E1885" s="6" t="n">
        <f>SUM(C1885,D1885)/2</f>
        <v>9297</v>
      </c>
      <c r="F1885" s="12" t="n">
        <v>21230</v>
      </c>
      <c r="G1885" s="12" t="n">
        <v>31003</v>
      </c>
      <c r="H1885" s="6" t="n">
        <f>SUM(F1885,G1885)/2</f>
        <v>26116.5</v>
      </c>
    </row>
    <row r="1886" s="18" customFormat="1" ht="14.399999999999999" customHeight="1">
      <c r="A1886" s="10" t="s">
        <v>6499</v>
      </c>
      <c r="B1886" s="10" t="s">
        <v>6500</v>
      </c>
      <c r="C1886" s="10" t="n">
        <v>0</v>
      </c>
      <c r="D1886" s="10" t="n">
        <v>0</v>
      </c>
      <c r="E1886" s="6" t="n">
        <f>SUM(C1886,D1886)/2</f>
        <v>0</v>
      </c>
      <c r="F1886" s="18" t="n">
        <v>1</v>
      </c>
      <c r="G1886" s="18" t="n">
        <v>1</v>
      </c>
      <c r="H1886" s="6" t="n">
        <f>SUM(F1886,G1886)/2</f>
        <v>1</v>
      </c>
    </row>
    <row r="1887" s="18" customFormat="1" ht="14.399999999999999" customHeight="1">
      <c r="A1887" s="10" t="s">
        <v>1140</v>
      </c>
      <c r="B1887" s="10" t="s">
        <v>1141</v>
      </c>
      <c r="C1887" s="13" t="n">
        <v>379674</v>
      </c>
      <c r="D1887" s="13" t="n">
        <v>606494</v>
      </c>
      <c r="E1887" s="6" t="n">
        <f>SUM(C1887,D1887)/2</f>
        <v>493084</v>
      </c>
      <c r="F1887" s="12" t="n">
        <v>56478</v>
      </c>
      <c r="G1887" s="12" t="n">
        <v>72929</v>
      </c>
      <c r="H1887" s="6" t="n">
        <f>SUM(F1887,G1887)/2</f>
        <v>64703.5</v>
      </c>
    </row>
    <row r="1888" s="18" customFormat="1" ht="14.399999999999999" customHeight="1">
      <c r="A1888" s="10" t="s">
        <v>6501</v>
      </c>
      <c r="B1888" s="10" t="s">
        <v>6502</v>
      </c>
      <c r="C1888" s="10" t="n">
        <v>57</v>
      </c>
      <c r="D1888" s="10" t="n">
        <v>91</v>
      </c>
      <c r="E1888" s="6" t="n">
        <f>SUM(C1888,D1888)/2</f>
        <v>74</v>
      </c>
      <c r="F1888" s="18" t="n">
        <v>4</v>
      </c>
      <c r="G1888" s="18" t="n">
        <v>6</v>
      </c>
      <c r="H1888" s="6" t="n">
        <f>SUM(F1888,G1888)/2</f>
        <v>5</v>
      </c>
    </row>
    <row r="1889" s="18" customFormat="1" ht="14.399999999999999" customHeight="1">
      <c r="A1889" s="10" t="s">
        <v>6503</v>
      </c>
      <c r="B1889" s="10" t="s">
        <v>6504</v>
      </c>
      <c r="C1889" s="10" t="n">
        <v>164</v>
      </c>
      <c r="D1889" s="10" t="n">
        <v>260</v>
      </c>
      <c r="E1889" s="6" t="n">
        <f>SUM(C1889,D1889)/2</f>
        <v>212</v>
      </c>
      <c r="F1889" s="18" t="n">
        <v>4</v>
      </c>
      <c r="G1889" s="18" t="n">
        <v>5</v>
      </c>
      <c r="H1889" s="6" t="n">
        <f>SUM(F1889,G1889)/2</f>
        <v>4.5</v>
      </c>
    </row>
    <row r="1890" s="18" customFormat="1" ht="14.399999999999999" customHeight="1">
      <c r="A1890" s="10" t="s">
        <v>2077</v>
      </c>
      <c r="B1890" s="10" t="s">
        <v>2078</v>
      </c>
      <c r="C1890" s="10" t="n">
        <v>28</v>
      </c>
      <c r="D1890" s="10" t="n">
        <v>44</v>
      </c>
      <c r="E1890" s="6" t="n">
        <f>SUM(C1890,D1890)/2</f>
        <v>36</v>
      </c>
      <c r="F1890" s="18" t="n">
        <v>2</v>
      </c>
      <c r="G1890" s="18" t="n">
        <v>3</v>
      </c>
      <c r="H1890" s="6" t="n">
        <f>SUM(F1890,G1890)/2</f>
        <v>2.5</v>
      </c>
    </row>
    <row r="1891" s="18" customFormat="1" ht="14.399999999999999" customHeight="1">
      <c r="A1891" s="10" t="s">
        <v>3863</v>
      </c>
      <c r="B1891" s="10" t="s">
        <v>3864</v>
      </c>
      <c r="C1891" s="13" t="n">
        <v>56685</v>
      </c>
      <c r="D1891" s="13" t="n">
        <v>90549</v>
      </c>
      <c r="E1891" s="6" t="n">
        <f>SUM(C1891,D1891)/2</f>
        <v>73617</v>
      </c>
      <c r="F1891" s="12" t="n">
        <v>9923</v>
      </c>
      <c r="G1891" s="12" t="n">
        <v>14825</v>
      </c>
      <c r="H1891" s="6" t="n">
        <f>SUM(F1891,G1891)/2</f>
        <v>12374</v>
      </c>
    </row>
    <row r="1892" s="18" customFormat="1" ht="14.399999999999999" customHeight="1">
      <c r="A1892" s="10" t="s">
        <v>6505</v>
      </c>
      <c r="B1892" s="10" t="s">
        <v>6506</v>
      </c>
      <c r="C1892" s="13" t="n">
        <v>11509</v>
      </c>
      <c r="D1892" s="13" t="n">
        <v>18383</v>
      </c>
      <c r="E1892" s="6" t="n">
        <f>SUM(C1892,D1892)/2</f>
        <v>14946</v>
      </c>
      <c r="F1892" s="12" t="n">
        <v>5578</v>
      </c>
      <c r="G1892" s="12" t="n">
        <v>8413</v>
      </c>
      <c r="H1892" s="6" t="n">
        <f>SUM(F1892,G1892)/2</f>
        <v>6995.5</v>
      </c>
    </row>
    <row r="1893" s="18" customFormat="1" ht="14.399999999999999" customHeight="1">
      <c r="A1893" s="10" t="s">
        <v>5211</v>
      </c>
      <c r="B1893" s="10" t="s">
        <v>5212</v>
      </c>
      <c r="C1893" s="13" t="n">
        <v>4847</v>
      </c>
      <c r="D1893" s="13" t="n">
        <v>7741</v>
      </c>
      <c r="E1893" s="6" t="n">
        <f>SUM(C1893,D1893)/2</f>
        <v>6294</v>
      </c>
      <c r="F1893" s="12" t="n">
        <v>2810</v>
      </c>
      <c r="G1893" s="12" t="n">
        <v>4112</v>
      </c>
      <c r="H1893" s="6" t="n">
        <f>SUM(F1893,G1893)/2</f>
        <v>3461</v>
      </c>
    </row>
    <row r="1894" s="18" customFormat="1" ht="14.399999999999999" customHeight="1">
      <c r="A1894" s="10" t="s">
        <v>742</v>
      </c>
      <c r="B1894" s="10" t="s">
        <v>743</v>
      </c>
      <c r="C1894" s="13" t="n">
        <v>1194622</v>
      </c>
      <c r="D1894" s="13" t="n">
        <v>1908294</v>
      </c>
      <c r="E1894" s="6" t="n">
        <f>SUM(C1894,D1894)/2</f>
        <v>1551458</v>
      </c>
      <c r="F1894" s="12" t="n">
        <v>513251</v>
      </c>
      <c r="G1894" s="12" t="n">
        <v>744747</v>
      </c>
      <c r="H1894" s="6" t="n">
        <f>SUM(F1894,G1894)/2</f>
        <v>628999</v>
      </c>
    </row>
    <row r="1895" s="18" customFormat="1" ht="14.399999999999999" customHeight="1">
      <c r="A1895" s="10" t="s">
        <v>2935</v>
      </c>
      <c r="B1895" s="10" t="s">
        <v>2936</v>
      </c>
      <c r="C1895" s="10" t="n">
        <v>0</v>
      </c>
      <c r="D1895" s="10" t="n">
        <v>0</v>
      </c>
      <c r="E1895" s="6" t="n">
        <f>SUM(C1895,D1895)/2</f>
        <v>0</v>
      </c>
      <c r="F1895" s="18" t="n">
        <v>0</v>
      </c>
      <c r="G1895" s="18" t="n">
        <v>0</v>
      </c>
      <c r="H1895" s="6" t="n">
        <f>SUM(F1895,G1895)/2</f>
        <v>0</v>
      </c>
    </row>
    <row r="1896" s="18" customFormat="1" ht="14.399999999999999" customHeight="1">
      <c r="A1896" s="10" t="s">
        <v>4623</v>
      </c>
      <c r="B1896" s="10" t="s">
        <v>4624</v>
      </c>
      <c r="C1896" s="13" t="n">
        <v>19274</v>
      </c>
      <c r="D1896" s="13" t="n">
        <v>30788</v>
      </c>
      <c r="E1896" s="6" t="n">
        <f>SUM(C1896,D1896)/2</f>
        <v>25031</v>
      </c>
      <c r="F1896" s="12" t="n">
        <v>7265</v>
      </c>
      <c r="G1896" s="12" t="n">
        <v>9833</v>
      </c>
      <c r="H1896" s="6" t="n">
        <f>SUM(F1896,G1896)/2</f>
        <v>8549</v>
      </c>
    </row>
    <row r="1897" s="18" customFormat="1" ht="14.399999999999999" customHeight="1">
      <c r="A1897" s="10" t="s">
        <v>3475</v>
      </c>
      <c r="B1897" s="10" t="s">
        <v>3476</v>
      </c>
      <c r="C1897" s="13" t="n">
        <v>85942</v>
      </c>
      <c r="D1897" s="13" t="n">
        <v>137284</v>
      </c>
      <c r="E1897" s="6" t="n">
        <f>SUM(C1897,D1897)/2</f>
        <v>111613</v>
      </c>
      <c r="F1897" s="12" t="n">
        <v>17024</v>
      </c>
      <c r="G1897" s="12" t="n">
        <v>22607</v>
      </c>
      <c r="H1897" s="6" t="n">
        <f>SUM(F1897,G1897)/2</f>
        <v>19815.5</v>
      </c>
    </row>
    <row r="1898" s="18" customFormat="1" ht="14.399999999999999" customHeight="1">
      <c r="A1898" s="10" t="s">
        <v>76</v>
      </c>
      <c r="B1898" s="10" t="s">
        <v>77</v>
      </c>
      <c r="C1898" s="13" t="n">
        <v>502376</v>
      </c>
      <c r="D1898" s="13" t="n">
        <v>802496</v>
      </c>
      <c r="E1898" s="6" t="n">
        <f>SUM(C1898,D1898)/2</f>
        <v>652436</v>
      </c>
      <c r="F1898" s="12" t="n">
        <v>73012</v>
      </c>
      <c r="G1898" s="12" t="n">
        <v>104658</v>
      </c>
      <c r="H1898" s="6" t="n">
        <f>SUM(F1898,G1898)/2</f>
        <v>88835</v>
      </c>
    </row>
    <row r="1899" s="18" customFormat="1" ht="14.399999999999999" customHeight="1">
      <c r="A1899" s="10" t="s">
        <v>1526</v>
      </c>
      <c r="B1899" s="10" t="s">
        <v>1527</v>
      </c>
      <c r="C1899" s="10" t="n">
        <v>2</v>
      </c>
      <c r="D1899" s="10" t="n">
        <v>2</v>
      </c>
      <c r="E1899" s="6" t="n">
        <f>SUM(C1899,D1899)/2</f>
        <v>2</v>
      </c>
      <c r="F1899" s="18" t="n">
        <v>1</v>
      </c>
      <c r="G1899" s="18" t="n">
        <v>1</v>
      </c>
      <c r="H1899" s="6" t="n">
        <f>SUM(F1899,G1899)/2</f>
        <v>1</v>
      </c>
    </row>
    <row r="1900" s="18" customFormat="1" ht="14.399999999999999" customHeight="1">
      <c r="A1900" s="10" t="s">
        <v>1439</v>
      </c>
      <c r="B1900" s="10" t="s">
        <v>1440</v>
      </c>
      <c r="C1900" s="10" t="n">
        <v>67</v>
      </c>
      <c r="D1900" s="10" t="n">
        <v>107</v>
      </c>
      <c r="E1900" s="6" t="n">
        <f>SUM(C1900,D1900)/2</f>
        <v>87</v>
      </c>
      <c r="F1900" s="18" t="n">
        <v>0</v>
      </c>
      <c r="G1900" s="18" t="n">
        <v>0</v>
      </c>
      <c r="H1900" s="6" t="n">
        <f>SUM(F1900,G1900)/2</f>
        <v>0</v>
      </c>
    </row>
    <row r="1901" s="18" customFormat="1" ht="14.399999999999999" customHeight="1">
      <c r="A1901" s="10" t="s">
        <v>1871</v>
      </c>
      <c r="B1901" s="10" t="s">
        <v>1872</v>
      </c>
      <c r="C1901" s="10" t="n">
        <v>18</v>
      </c>
      <c r="D1901" s="10" t="n">
        <v>28</v>
      </c>
      <c r="E1901" s="6" t="n">
        <f>SUM(C1901,D1901)/2</f>
        <v>23</v>
      </c>
      <c r="F1901" s="18" t="n">
        <v>11</v>
      </c>
      <c r="G1901" s="18" t="n">
        <v>17</v>
      </c>
      <c r="H1901" s="6" t="n">
        <f>SUM(F1901,G1901)/2</f>
        <v>14</v>
      </c>
    </row>
    <row r="1902" s="18" customFormat="1" ht="14.399999999999999" customHeight="1">
      <c r="A1902" s="10" t="s">
        <v>1389</v>
      </c>
      <c r="B1902" s="10" t="s">
        <v>1390</v>
      </c>
      <c r="C1902" s="10" t="n">
        <v>27</v>
      </c>
      <c r="D1902" s="10" t="n">
        <v>43</v>
      </c>
      <c r="E1902" s="6" t="n">
        <f>SUM(C1902,D1902)/2</f>
        <v>35</v>
      </c>
      <c r="F1902" s="18" t="n">
        <v>19</v>
      </c>
      <c r="G1902" s="18" t="n">
        <v>24</v>
      </c>
      <c r="H1902" s="6" t="n">
        <f>SUM(F1902,G1902)/2</f>
        <v>21.5</v>
      </c>
    </row>
    <row r="1903" s="18" customFormat="1" ht="14.399999999999999" customHeight="1">
      <c r="A1903" s="10" t="s">
        <v>2937</v>
      </c>
      <c r="B1903" s="10" t="s">
        <v>2938</v>
      </c>
      <c r="C1903" s="10" t="n">
        <v>0</v>
      </c>
      <c r="D1903" s="10" t="n">
        <v>0</v>
      </c>
      <c r="E1903" s="6" t="n">
        <f>SUM(C1903,D1903)/2</f>
        <v>0</v>
      </c>
      <c r="F1903" s="18" t="n">
        <v>0</v>
      </c>
      <c r="G1903" s="18" t="n">
        <v>0</v>
      </c>
      <c r="H1903" s="6" t="n">
        <f>SUM(F1903,G1903)/2</f>
        <v>0</v>
      </c>
    </row>
    <row r="1904" s="18" customFormat="1" ht="14.399999999999999" customHeight="1">
      <c r="A1904" s="10" t="s">
        <v>486</v>
      </c>
      <c r="B1904" s="10" t="s">
        <v>487</v>
      </c>
      <c r="C1904" s="10" t="n">
        <v>751</v>
      </c>
      <c r="D1904" s="13" t="n">
        <v>1197</v>
      </c>
      <c r="E1904" s="6" t="n">
        <f>SUM(C1904,D1904)/2</f>
        <v>974</v>
      </c>
      <c r="F1904" s="18" t="n">
        <v>60</v>
      </c>
      <c r="G1904" s="18" t="n">
        <v>83</v>
      </c>
      <c r="H1904" s="6" t="n">
        <f>SUM(F1904,G1904)/2</f>
        <v>71.5</v>
      </c>
    </row>
    <row r="1905" s="18" customFormat="1" ht="14.399999999999999" customHeight="1">
      <c r="A1905" s="10" t="s">
        <v>2330</v>
      </c>
      <c r="B1905" s="10" t="s">
        <v>2331</v>
      </c>
      <c r="C1905" s="10" t="n">
        <v>3</v>
      </c>
      <c r="D1905" s="10" t="n">
        <v>5</v>
      </c>
      <c r="E1905" s="6" t="n">
        <f>SUM(C1905,D1905)/2</f>
        <v>4</v>
      </c>
      <c r="F1905" s="18" t="n">
        <v>4</v>
      </c>
      <c r="G1905" s="18" t="n">
        <v>5</v>
      </c>
      <c r="H1905" s="6" t="n">
        <f>SUM(F1905,G1905)/2</f>
        <v>4.5</v>
      </c>
    </row>
    <row r="1906" s="18" customFormat="1" ht="14.399999999999999" customHeight="1">
      <c r="A1906" s="10" t="s">
        <v>1294</v>
      </c>
      <c r="B1906" s="10" t="s">
        <v>1295</v>
      </c>
      <c r="C1906" s="13" t="n">
        <v>174311</v>
      </c>
      <c r="D1906" s="13" t="n">
        <v>278441</v>
      </c>
      <c r="E1906" s="6" t="n">
        <f>SUM(C1906,D1906)/2</f>
        <v>226376</v>
      </c>
      <c r="F1906" s="12" t="n">
        <v>22200</v>
      </c>
      <c r="G1906" s="12" t="n">
        <v>32406</v>
      </c>
      <c r="H1906" s="6" t="n">
        <f>SUM(F1906,G1906)/2</f>
        <v>27303</v>
      </c>
    </row>
    <row r="1907" s="18" customFormat="1" ht="14.399999999999999" customHeight="1">
      <c r="A1907" s="10" t="s">
        <v>6507</v>
      </c>
      <c r="B1907" s="10" t="s">
        <v>6508</v>
      </c>
      <c r="C1907" s="13" t="n">
        <v>50368</v>
      </c>
      <c r="D1907" s="13" t="n">
        <v>80458</v>
      </c>
      <c r="E1907" s="6" t="n">
        <f>SUM(C1907,D1907)/2</f>
        <v>65413</v>
      </c>
      <c r="F1907" s="12" t="n">
        <v>15603</v>
      </c>
      <c r="G1907" s="12" t="n">
        <v>22261</v>
      </c>
      <c r="H1907" s="6" t="n">
        <f>SUM(F1907,G1907)/2</f>
        <v>18932</v>
      </c>
    </row>
    <row r="1908" s="18" customFormat="1" ht="14.399999999999999" customHeight="1">
      <c r="A1908" s="10" t="s">
        <v>1014</v>
      </c>
      <c r="B1908" s="10" t="s">
        <v>1015</v>
      </c>
      <c r="C1908" s="13" t="n">
        <v>174260</v>
      </c>
      <c r="D1908" s="13" t="n">
        <v>278366</v>
      </c>
      <c r="E1908" s="6" t="n">
        <f>SUM(C1908,D1908)/2</f>
        <v>226313</v>
      </c>
      <c r="F1908" s="12" t="n">
        <v>87749</v>
      </c>
      <c r="G1908" s="12" t="n">
        <v>102818</v>
      </c>
      <c r="H1908" s="6" t="n">
        <f>SUM(F1908,G1908)/2</f>
        <v>95283.5</v>
      </c>
    </row>
    <row r="1909" s="18" customFormat="1" ht="14.399999999999999" customHeight="1">
      <c r="A1909" s="10" t="s">
        <v>5402</v>
      </c>
      <c r="B1909" s="10" t="s">
        <v>5403</v>
      </c>
      <c r="C1909" s="13" t="n">
        <v>238186</v>
      </c>
      <c r="D1909" s="13" t="n">
        <v>380480</v>
      </c>
      <c r="E1909" s="6" t="n">
        <f>SUM(C1909,D1909)/2</f>
        <v>309333</v>
      </c>
      <c r="F1909" s="12" t="n">
        <v>57909</v>
      </c>
      <c r="G1909" s="12" t="n">
        <v>79272</v>
      </c>
      <c r="H1909" s="6" t="n">
        <f>SUM(F1909,G1909)/2</f>
        <v>68590.5</v>
      </c>
    </row>
    <row r="1910" s="18" customFormat="1" ht="14.399999999999999" customHeight="1">
      <c r="A1910" s="10" t="s">
        <v>1312</v>
      </c>
      <c r="B1910" s="10" t="s">
        <v>1313</v>
      </c>
      <c r="C1910" s="13" t="n">
        <v>41792</v>
      </c>
      <c r="D1910" s="13" t="n">
        <v>66758</v>
      </c>
      <c r="E1910" s="6" t="n">
        <f>SUM(C1910,D1910)/2</f>
        <v>54275</v>
      </c>
      <c r="F1910" s="12" t="n">
        <v>8218</v>
      </c>
      <c r="G1910" s="12" t="n">
        <v>11946</v>
      </c>
      <c r="H1910" s="6" t="n">
        <f>SUM(F1910,G1910)/2</f>
        <v>10082</v>
      </c>
    </row>
    <row r="1911" s="18" customFormat="1" ht="14.399999999999999" customHeight="1">
      <c r="A1911" s="10" t="s">
        <v>3369</v>
      </c>
      <c r="B1911" s="10" t="s">
        <v>3370</v>
      </c>
      <c r="C1911" s="13" t="n">
        <v>63928</v>
      </c>
      <c r="D1911" s="13" t="n">
        <v>102118</v>
      </c>
      <c r="E1911" s="6" t="n">
        <f>SUM(C1911,D1911)/2</f>
        <v>83023</v>
      </c>
      <c r="F1911" s="12" t="n">
        <v>23773</v>
      </c>
      <c r="G1911" s="12" t="n">
        <v>37380</v>
      </c>
      <c r="H1911" s="6" t="n">
        <f>SUM(F1911,G1911)/2</f>
        <v>30576.5</v>
      </c>
    </row>
    <row r="1912" s="18" customFormat="1" ht="14.399999999999999" customHeight="1">
      <c r="A1912" s="10" t="s">
        <v>6509</v>
      </c>
      <c r="B1912" s="10" t="s">
        <v>6510</v>
      </c>
      <c r="C1912" s="13" t="n">
        <v>104315</v>
      </c>
      <c r="D1912" s="13" t="n">
        <v>166631</v>
      </c>
      <c r="E1912" s="6" t="n">
        <f>SUM(C1912,D1912)/2</f>
        <v>135473</v>
      </c>
      <c r="F1912" s="12" t="n">
        <v>148607</v>
      </c>
      <c r="G1912" s="12" t="n">
        <v>172973</v>
      </c>
      <c r="H1912" s="6" t="n">
        <f>SUM(F1912,G1912)/2</f>
        <v>160790</v>
      </c>
    </row>
    <row r="1913" s="18" customFormat="1" ht="14.399999999999999" customHeight="1">
      <c r="A1913" s="10" t="s">
        <v>3347</v>
      </c>
      <c r="B1913" s="10" t="s">
        <v>3348</v>
      </c>
      <c r="C1913" s="13" t="n">
        <v>59865</v>
      </c>
      <c r="D1913" s="13" t="n">
        <v>95625</v>
      </c>
      <c r="E1913" s="6" t="n">
        <f>SUM(C1913,D1913)/2</f>
        <v>77745</v>
      </c>
      <c r="F1913" s="12" t="n">
        <v>28215</v>
      </c>
      <c r="G1913" s="12" t="n">
        <v>37675</v>
      </c>
      <c r="H1913" s="6" t="n">
        <f>SUM(F1913,G1913)/2</f>
        <v>32945</v>
      </c>
    </row>
    <row r="1914" s="18" customFormat="1" ht="14.399999999999999" customHeight="1">
      <c r="A1914" s="10" t="s">
        <v>6511</v>
      </c>
      <c r="B1914" s="10" t="s">
        <v>6512</v>
      </c>
      <c r="C1914" s="10" t="n">
        <v>3</v>
      </c>
      <c r="D1914" s="10" t="n">
        <v>3</v>
      </c>
      <c r="E1914" s="6" t="n">
        <f>SUM(C1914,D1914)/2</f>
        <v>3</v>
      </c>
      <c r="F1914" s="18" t="n">
        <v>2</v>
      </c>
      <c r="G1914" s="18" t="n">
        <v>3</v>
      </c>
      <c r="H1914" s="6" t="n">
        <f>SUM(F1914,G1914)/2</f>
        <v>2.5</v>
      </c>
    </row>
    <row r="1915" s="18" customFormat="1" ht="14.399999999999999" customHeight="1">
      <c r="A1915" s="10" t="s">
        <v>6513</v>
      </c>
      <c r="B1915" s="10" t="s">
        <v>6514</v>
      </c>
      <c r="C1915" s="13" t="n">
        <v>9373</v>
      </c>
      <c r="D1915" s="13" t="n">
        <v>14971</v>
      </c>
      <c r="E1915" s="6" t="n">
        <f>SUM(C1915,D1915)/2</f>
        <v>12172</v>
      </c>
      <c r="F1915" s="12" t="n">
        <v>5959</v>
      </c>
      <c r="G1915" s="12" t="n">
        <v>8103</v>
      </c>
      <c r="H1915" s="6" t="n">
        <f>SUM(F1915,G1915)/2</f>
        <v>7031</v>
      </c>
    </row>
    <row r="1916" s="18" customFormat="1" ht="14.399999999999999" customHeight="1">
      <c r="A1916" s="10" t="s">
        <v>1793</v>
      </c>
      <c r="B1916" s="10" t="s">
        <v>1794</v>
      </c>
      <c r="C1916" s="10" t="n">
        <v>66</v>
      </c>
      <c r="D1916" s="10" t="n">
        <v>104</v>
      </c>
      <c r="E1916" s="6" t="n">
        <f>SUM(C1916,D1916)/2</f>
        <v>85</v>
      </c>
      <c r="F1916" s="18" t="n">
        <v>4</v>
      </c>
      <c r="G1916" s="18" t="n">
        <v>6</v>
      </c>
      <c r="H1916" s="6" t="n">
        <f>SUM(F1916,G1916)/2</f>
        <v>5</v>
      </c>
    </row>
    <row r="1917" s="18" customFormat="1" ht="14.399999999999999" customHeight="1">
      <c r="A1917" s="10" t="s">
        <v>2464</v>
      </c>
      <c r="B1917" s="10" t="s">
        <v>2465</v>
      </c>
      <c r="C1917" s="10" t="n">
        <v>0</v>
      </c>
      <c r="D1917" s="10" t="n">
        <v>0</v>
      </c>
      <c r="E1917" s="6" t="n">
        <f>SUM(C1917,D1917)/2</f>
        <v>0</v>
      </c>
      <c r="F1917" s="18" t="n">
        <v>3</v>
      </c>
      <c r="G1917" s="18" t="n">
        <v>4</v>
      </c>
      <c r="H1917" s="6" t="n">
        <f>SUM(F1917,G1917)/2</f>
        <v>3.5</v>
      </c>
    </row>
    <row r="1918" s="18" customFormat="1" ht="14.399999999999999" customHeight="1">
      <c r="A1918" s="10" t="s">
        <v>6515</v>
      </c>
      <c r="B1918" s="10" t="s">
        <v>6516</v>
      </c>
      <c r="C1918" s="10" t="n">
        <v>99</v>
      </c>
      <c r="D1918" s="10" t="n">
        <v>159</v>
      </c>
      <c r="E1918" s="6" t="n">
        <f>SUM(C1918,D1918)/2</f>
        <v>129</v>
      </c>
      <c r="F1918" s="18" t="n">
        <v>48</v>
      </c>
      <c r="G1918" s="18" t="n">
        <v>70</v>
      </c>
      <c r="H1918" s="6" t="n">
        <f>SUM(F1918,G1918)/2</f>
        <v>59</v>
      </c>
    </row>
    <row r="1919" s="18" customFormat="1" ht="14.399999999999999" customHeight="1">
      <c r="A1919" s="10" t="s">
        <v>2146</v>
      </c>
      <c r="B1919" s="10" t="s">
        <v>2147</v>
      </c>
      <c r="C1919" s="10" t="n">
        <v>13</v>
      </c>
      <c r="D1919" s="10" t="n">
        <v>21</v>
      </c>
      <c r="E1919" s="6" t="n">
        <f>SUM(C1919,D1919)/2</f>
        <v>17</v>
      </c>
      <c r="F1919" s="18" t="n">
        <v>4</v>
      </c>
      <c r="G1919" s="18" t="n">
        <v>5</v>
      </c>
      <c r="H1919" s="6" t="n">
        <f>SUM(F1919,G1919)/2</f>
        <v>4.5</v>
      </c>
    </row>
    <row r="1920" s="18" customFormat="1" ht="14.399999999999999" customHeight="1">
      <c r="A1920" s="10" t="s">
        <v>6517</v>
      </c>
      <c r="B1920" s="10" t="s">
        <v>6518</v>
      </c>
      <c r="C1920" s="10"/>
      <c r="D1920" s="10"/>
      <c r="E1920" s="6" t="n">
        <f>SUM(C1920,D1920)/2</f>
        <v>0</v>
      </c>
      <c r="F1920" s="12" t="n">
        <v>23298</v>
      </c>
      <c r="G1920" s="12" t="n">
        <v>35736</v>
      </c>
      <c r="H1920" s="6" t="n">
        <f>SUM(F1920,G1920)/2</f>
        <v>29517</v>
      </c>
    </row>
    <row r="1921" s="18" customFormat="1" ht="14.399999999999999" customHeight="1">
      <c r="A1921" s="10" t="s">
        <v>6519</v>
      </c>
      <c r="B1921" s="10" t="s">
        <v>6520</v>
      </c>
      <c r="C1921" s="10" t="n">
        <v>0</v>
      </c>
      <c r="D1921" s="10" t="n">
        <v>0</v>
      </c>
      <c r="E1921" s="6" t="n">
        <f>SUM(C1921,D1921)/2</f>
        <v>0</v>
      </c>
      <c r="F1921" s="18" t="n">
        <v>0</v>
      </c>
      <c r="G1921" s="18" t="n">
        <v>0</v>
      </c>
      <c r="H1921" s="6" t="n">
        <f>SUM(F1921,G1921)/2</f>
        <v>0</v>
      </c>
    </row>
    <row r="1922" s="18" customFormat="1" ht="14.399999999999999" customHeight="1">
      <c r="A1922" s="10" t="s">
        <v>4641</v>
      </c>
      <c r="B1922" s="10" t="s">
        <v>4642</v>
      </c>
      <c r="C1922" s="13" t="n">
        <v>27141</v>
      </c>
      <c r="D1922" s="13" t="n">
        <v>43355</v>
      </c>
      <c r="E1922" s="6" t="n">
        <f>SUM(C1922,D1922)/2</f>
        <v>35248</v>
      </c>
      <c r="F1922" s="12" t="n">
        <v>5088</v>
      </c>
      <c r="G1922" s="12" t="n">
        <v>7132</v>
      </c>
      <c r="H1922" s="6" t="n">
        <f>SUM(F1922,G1922)/2</f>
        <v>6110</v>
      </c>
    </row>
    <row r="1923" s="18" customFormat="1" ht="14.399999999999999" customHeight="1">
      <c r="A1923" s="10" t="s">
        <v>6521</v>
      </c>
      <c r="B1923" s="10" t="s">
        <v>6522</v>
      </c>
      <c r="C1923" s="13" t="n">
        <v>209391</v>
      </c>
      <c r="D1923" s="13" t="n">
        <v>334485</v>
      </c>
      <c r="E1923" s="6" t="n">
        <f>SUM(C1923,D1923)/2</f>
        <v>271938</v>
      </c>
      <c r="F1923" s="12" t="n">
        <v>146218</v>
      </c>
      <c r="G1923" s="12" t="n">
        <v>211219</v>
      </c>
      <c r="H1923" s="6" t="n">
        <f>SUM(F1923,G1923)/2</f>
        <v>178718.5</v>
      </c>
    </row>
    <row r="1924" s="18" customFormat="1" ht="14.399999999999999" customHeight="1">
      <c r="A1924" s="10" t="s">
        <v>4457</v>
      </c>
      <c r="B1924" s="10" t="s">
        <v>4458</v>
      </c>
      <c r="C1924" s="13" t="n">
        <v>17861</v>
      </c>
      <c r="D1924" s="13" t="n">
        <v>28533</v>
      </c>
      <c r="E1924" s="6" t="n">
        <f>SUM(C1924,D1924)/2</f>
        <v>23197</v>
      </c>
      <c r="F1924" s="12" t="n">
        <v>8667</v>
      </c>
      <c r="G1924" s="12" t="n">
        <v>13397</v>
      </c>
      <c r="H1924" s="6" t="n">
        <f>SUM(F1924,G1924)/2</f>
        <v>11032</v>
      </c>
    </row>
    <row r="1925" s="18" customFormat="1" ht="14.399999999999999" customHeight="1">
      <c r="A1925" s="10" t="s">
        <v>2026</v>
      </c>
      <c r="B1925" s="10" t="s">
        <v>2027</v>
      </c>
      <c r="C1925" s="10" t="n">
        <v>19</v>
      </c>
      <c r="D1925" s="10" t="n">
        <v>31</v>
      </c>
      <c r="E1925" s="6" t="n">
        <f>SUM(C1925,D1925)/2</f>
        <v>25</v>
      </c>
      <c r="F1925" s="18" t="n">
        <v>6</v>
      </c>
      <c r="G1925" s="18" t="n">
        <v>7</v>
      </c>
      <c r="H1925" s="6" t="n">
        <f>SUM(F1925,G1925)/2</f>
        <v>6.5</v>
      </c>
    </row>
    <row r="1926" s="18" customFormat="1" ht="14.399999999999999" customHeight="1">
      <c r="A1926" s="10" t="s">
        <v>943</v>
      </c>
      <c r="B1926" s="10" t="s">
        <v>944</v>
      </c>
      <c r="C1926" s="13" t="n">
        <v>527005</v>
      </c>
      <c r="D1926" s="13" t="n">
        <v>841841</v>
      </c>
      <c r="E1926" s="6" t="n">
        <f>SUM(C1926,D1926)/2</f>
        <v>684423</v>
      </c>
      <c r="F1926" s="12" t="n">
        <v>140035</v>
      </c>
      <c r="G1926" s="12" t="n">
        <v>204690</v>
      </c>
      <c r="H1926" s="6" t="n">
        <f>SUM(F1926,G1926)/2</f>
        <v>172362.5</v>
      </c>
    </row>
    <row r="1927" s="18" customFormat="1" ht="14.399999999999999" customHeight="1">
      <c r="A1927" s="10" t="s">
        <v>4065</v>
      </c>
      <c r="B1927" s="10" t="s">
        <v>4066</v>
      </c>
      <c r="C1927" s="13" t="n">
        <v>40261</v>
      </c>
      <c r="D1927" s="13" t="n">
        <v>64315</v>
      </c>
      <c r="E1927" s="6" t="n">
        <f>SUM(C1927,D1927)/2</f>
        <v>52288</v>
      </c>
      <c r="F1927" s="12" t="n">
        <v>9639</v>
      </c>
      <c r="G1927" s="12" t="n">
        <v>14029</v>
      </c>
      <c r="H1927" s="6" t="n">
        <f>SUM(F1927,G1927)/2</f>
        <v>11834</v>
      </c>
    </row>
    <row r="1928" s="18" customFormat="1" ht="14.399999999999999" customHeight="1">
      <c r="A1928" s="10" t="s">
        <v>6523</v>
      </c>
      <c r="B1928" s="10" t="s">
        <v>6524</v>
      </c>
      <c r="C1928" s="10" t="n">
        <v>189</v>
      </c>
      <c r="D1928" s="10" t="n">
        <v>303</v>
      </c>
      <c r="E1928" s="6" t="n">
        <f>SUM(C1928,D1928)/2</f>
        <v>246</v>
      </c>
      <c r="F1928" s="18" t="n">
        <v>59</v>
      </c>
      <c r="G1928" s="18" t="n">
        <v>88</v>
      </c>
      <c r="H1928" s="6" t="n">
        <f>SUM(F1928,G1928)/2</f>
        <v>73.5</v>
      </c>
    </row>
    <row r="1929" s="18" customFormat="1" ht="14.399999999999999" customHeight="1">
      <c r="A1929" s="10" t="s">
        <v>6525</v>
      </c>
      <c r="B1929" s="10" t="s">
        <v>6526</v>
      </c>
      <c r="C1929" s="13" t="n">
        <v>156517</v>
      </c>
      <c r="D1929" s="13" t="n">
        <v>250021</v>
      </c>
      <c r="E1929" s="6" t="n">
        <f>SUM(C1929,D1929)/2</f>
        <v>203269</v>
      </c>
      <c r="F1929" s="12" t="n">
        <v>150631</v>
      </c>
      <c r="G1929" s="12" t="n">
        <v>207334</v>
      </c>
      <c r="H1929" s="6" t="n">
        <f>SUM(F1929,G1929)/2</f>
        <v>178982.5</v>
      </c>
    </row>
    <row r="1930" s="18" customFormat="1" ht="14.399999999999999" customHeight="1">
      <c r="A1930" s="10" t="s">
        <v>2767</v>
      </c>
      <c r="B1930" s="10" t="s">
        <v>2768</v>
      </c>
      <c r="C1930" s="10" t="n">
        <v>2</v>
      </c>
      <c r="D1930" s="10" t="n">
        <v>2</v>
      </c>
      <c r="E1930" s="6" t="n">
        <f>SUM(C1930,D1930)/2</f>
        <v>2</v>
      </c>
      <c r="F1930" s="18" t="n">
        <v>0</v>
      </c>
      <c r="G1930" s="18" t="n">
        <v>0</v>
      </c>
      <c r="H1930" s="6" t="n">
        <f>SUM(F1930,G1930)/2</f>
        <v>0</v>
      </c>
    </row>
    <row r="1931" s="18" customFormat="1" ht="14.399999999999999" customHeight="1">
      <c r="A1931" s="10" t="s">
        <v>2106</v>
      </c>
      <c r="B1931" s="10" t="s">
        <v>2107</v>
      </c>
      <c r="C1931" s="10" t="n">
        <v>11</v>
      </c>
      <c r="D1931" s="10" t="n">
        <v>15</v>
      </c>
      <c r="E1931" s="6" t="n">
        <f>SUM(C1931,D1931)/2</f>
        <v>13</v>
      </c>
      <c r="F1931" s="18" t="n">
        <v>5</v>
      </c>
      <c r="G1931" s="18" t="n">
        <v>8</v>
      </c>
      <c r="H1931" s="6" t="n">
        <f>SUM(F1931,G1931)/2</f>
        <v>6.5</v>
      </c>
    </row>
    <row r="1932" s="18" customFormat="1" ht="14.399999999999999" customHeight="1">
      <c r="A1932" s="10" t="s">
        <v>5027</v>
      </c>
      <c r="B1932" s="10" t="s">
        <v>5028</v>
      </c>
      <c r="C1932" s="13" t="n">
        <v>5361</v>
      </c>
      <c r="D1932" s="13" t="n">
        <v>8565</v>
      </c>
      <c r="E1932" s="6" t="n">
        <f>SUM(C1932,D1932)/2</f>
        <v>6963</v>
      </c>
      <c r="F1932" s="12" t="n">
        <v>6143</v>
      </c>
      <c r="G1932" s="12" t="n">
        <v>9631</v>
      </c>
      <c r="H1932" s="6" t="n">
        <f>SUM(F1932,G1932)/2</f>
        <v>7887</v>
      </c>
    </row>
    <row r="1933" s="18" customFormat="1" ht="14.399999999999999" customHeight="1">
      <c r="A1933" s="10" t="s">
        <v>5414</v>
      </c>
      <c r="B1933" s="10" t="s">
        <v>5415</v>
      </c>
      <c r="C1933" s="10" t="n">
        <v>646</v>
      </c>
      <c r="D1933" s="13" t="n">
        <v>1030</v>
      </c>
      <c r="E1933" s="6" t="n">
        <f>SUM(C1933,D1933)/2</f>
        <v>838</v>
      </c>
      <c r="F1933" s="18" t="n">
        <v>103</v>
      </c>
      <c r="G1933" s="18" t="n">
        <v>126</v>
      </c>
      <c r="H1933" s="6" t="n">
        <f>SUM(F1933,G1933)/2</f>
        <v>114.5</v>
      </c>
    </row>
    <row r="1934" s="18" customFormat="1" ht="14.399999999999999" customHeight="1">
      <c r="A1934" s="10" t="s">
        <v>3571</v>
      </c>
      <c r="B1934" s="10" t="s">
        <v>3572</v>
      </c>
      <c r="C1934" s="13" t="n">
        <v>42023</v>
      </c>
      <c r="D1934" s="13" t="n">
        <v>67129</v>
      </c>
      <c r="E1934" s="6" t="n">
        <f>SUM(C1934,D1934)/2</f>
        <v>54576</v>
      </c>
      <c r="F1934" s="12" t="n">
        <v>21184</v>
      </c>
      <c r="G1934" s="12" t="n">
        <v>33897</v>
      </c>
      <c r="H1934" s="6" t="n">
        <f>SUM(F1934,G1934)/2</f>
        <v>27540.5</v>
      </c>
    </row>
    <row r="1935" s="18" customFormat="1" ht="14.399999999999999" customHeight="1">
      <c r="A1935" s="10" t="s">
        <v>6527</v>
      </c>
      <c r="B1935" s="10" t="s">
        <v>6528</v>
      </c>
      <c r="C1935" s="10" t="n">
        <v>7</v>
      </c>
      <c r="D1935" s="10" t="n">
        <v>11</v>
      </c>
      <c r="E1935" s="6" t="n">
        <f>SUM(C1935,D1935)/2</f>
        <v>9</v>
      </c>
      <c r="F1935" s="18" t="n">
        <v>0</v>
      </c>
      <c r="G1935" s="18" t="n">
        <v>0</v>
      </c>
      <c r="H1935" s="6" t="n">
        <f>SUM(F1935,G1935)/2</f>
        <v>0</v>
      </c>
    </row>
    <row r="1936" s="18" customFormat="1" ht="14.399999999999999" customHeight="1">
      <c r="A1936" s="10" t="s">
        <v>1204</v>
      </c>
      <c r="B1936" s="10" t="s">
        <v>1205</v>
      </c>
      <c r="C1936" s="13" t="n">
        <v>67651</v>
      </c>
      <c r="D1936" s="13" t="n">
        <v>108065</v>
      </c>
      <c r="E1936" s="6" t="n">
        <f>SUM(C1936,D1936)/2</f>
        <v>87858</v>
      </c>
      <c r="F1936" s="12" t="n">
        <v>66760</v>
      </c>
      <c r="G1936" s="12" t="n">
        <v>89001</v>
      </c>
      <c r="H1936" s="6" t="n">
        <f>SUM(F1936,G1936)/2</f>
        <v>77880.5</v>
      </c>
    </row>
    <row r="1937" s="18" customFormat="1" ht="14.399999999999999" customHeight="1">
      <c r="A1937" s="10" t="s">
        <v>4043</v>
      </c>
      <c r="B1937" s="10" t="s">
        <v>4044</v>
      </c>
      <c r="C1937" s="13" t="n">
        <v>46078</v>
      </c>
      <c r="D1937" s="13" t="n">
        <v>73606</v>
      </c>
      <c r="E1937" s="6" t="n">
        <f>SUM(C1937,D1937)/2</f>
        <v>59842</v>
      </c>
      <c r="F1937" s="12" t="n">
        <v>9741</v>
      </c>
      <c r="G1937" s="12" t="n">
        <v>12961</v>
      </c>
      <c r="H1937" s="6" t="n">
        <f>SUM(F1937,G1937)/2</f>
        <v>11351</v>
      </c>
    </row>
    <row r="1938" s="18" customFormat="1" ht="14.399999999999999" customHeight="1">
      <c r="A1938" s="10" t="s">
        <v>1395</v>
      </c>
      <c r="B1938" s="10" t="s">
        <v>1396</v>
      </c>
      <c r="C1938" s="10" t="n">
        <v>54</v>
      </c>
      <c r="D1938" s="10" t="n">
        <v>86</v>
      </c>
      <c r="E1938" s="6" t="n">
        <f>SUM(C1938,D1938)/2</f>
        <v>70</v>
      </c>
      <c r="F1938" s="18" t="n">
        <v>2</v>
      </c>
      <c r="G1938" s="18" t="n">
        <v>3</v>
      </c>
      <c r="H1938" s="6" t="n">
        <f>SUM(F1938,G1938)/2</f>
        <v>2.5</v>
      </c>
    </row>
    <row r="1939" s="18" customFormat="1" ht="14.399999999999999" customHeight="1">
      <c r="A1939" s="10" t="s">
        <v>1474</v>
      </c>
      <c r="B1939" s="10" t="s">
        <v>1475</v>
      </c>
      <c r="C1939" s="10" t="n">
        <v>0</v>
      </c>
      <c r="D1939" s="10" t="n">
        <v>0</v>
      </c>
      <c r="E1939" s="6" t="n">
        <f>SUM(C1939,D1939)/2</f>
        <v>0</v>
      </c>
      <c r="F1939" s="18" t="n">
        <v>1</v>
      </c>
      <c r="G1939" s="18" t="n">
        <v>1</v>
      </c>
      <c r="H1939" s="6" t="n">
        <f>SUM(F1939,G1939)/2</f>
        <v>1</v>
      </c>
    </row>
    <row r="1940" s="18" customFormat="1" ht="14.399999999999999" customHeight="1">
      <c r="A1940" s="10" t="s">
        <v>1403</v>
      </c>
      <c r="B1940" s="10" t="s">
        <v>1404</v>
      </c>
      <c r="C1940" s="10" t="n">
        <v>18</v>
      </c>
      <c r="D1940" s="10" t="n">
        <v>28</v>
      </c>
      <c r="E1940" s="6" t="n">
        <f>SUM(C1940,D1940)/2</f>
        <v>23</v>
      </c>
      <c r="F1940" s="18" t="n">
        <v>0</v>
      </c>
      <c r="G1940" s="18" t="n">
        <v>0</v>
      </c>
      <c r="H1940" s="6" t="n">
        <f>SUM(F1940,G1940)/2</f>
        <v>0</v>
      </c>
    </row>
    <row r="1941" s="18" customFormat="1" ht="14.399999999999999" customHeight="1">
      <c r="A1941" s="10" t="s">
        <v>2624</v>
      </c>
      <c r="B1941" s="10" t="s">
        <v>2625</v>
      </c>
      <c r="C1941" s="10" t="n">
        <v>2</v>
      </c>
      <c r="D1941" s="10" t="n">
        <v>2</v>
      </c>
      <c r="E1941" s="6" t="n">
        <f>SUM(C1941,D1941)/2</f>
        <v>2</v>
      </c>
      <c r="F1941" s="18" t="n">
        <v>1</v>
      </c>
      <c r="G1941" s="18" t="n">
        <v>1</v>
      </c>
      <c r="H1941" s="6" t="n">
        <f>SUM(F1941,G1941)/2</f>
        <v>1</v>
      </c>
    </row>
    <row r="1942" s="18" customFormat="1" ht="14.399999999999999" customHeight="1">
      <c r="A1942" s="10" t="s">
        <v>6529</v>
      </c>
      <c r="B1942" s="10" t="s">
        <v>6530</v>
      </c>
      <c r="C1942" s="13" t="n">
        <v>65197</v>
      </c>
      <c r="D1942" s="13" t="n">
        <v>104147</v>
      </c>
      <c r="E1942" s="6" t="n">
        <f>SUM(C1942,D1942)/2</f>
        <v>84672</v>
      </c>
      <c r="F1942" s="12" t="n">
        <v>14506</v>
      </c>
      <c r="G1942" s="12" t="n">
        <v>18640</v>
      </c>
      <c r="H1942" s="6" t="n">
        <f>SUM(F1942,G1942)/2</f>
        <v>16573</v>
      </c>
    </row>
    <row r="1943" s="18" customFormat="1" ht="14.399999999999999" customHeight="1">
      <c r="A1943" s="10" t="s">
        <v>5135</v>
      </c>
      <c r="B1943" s="10" t="s">
        <v>5136</v>
      </c>
      <c r="C1943" s="13" t="n">
        <v>4766</v>
      </c>
      <c r="D1943" s="13" t="n">
        <v>7614</v>
      </c>
      <c r="E1943" s="6" t="n">
        <f>SUM(C1943,D1943)/2</f>
        <v>6190</v>
      </c>
      <c r="F1943" s="12" t="n">
        <v>5331</v>
      </c>
      <c r="G1943" s="12" t="n">
        <v>7237</v>
      </c>
      <c r="H1943" s="6" t="n">
        <f>SUM(F1943,G1943)/2</f>
        <v>6284</v>
      </c>
    </row>
    <row r="1944" s="18" customFormat="1" ht="14.399999999999999" customHeight="1">
      <c r="A1944" s="10" t="s">
        <v>1320</v>
      </c>
      <c r="B1944" s="10" t="s">
        <v>1321</v>
      </c>
      <c r="C1944" s="10" t="n">
        <v>121</v>
      </c>
      <c r="D1944" s="10" t="n">
        <v>193</v>
      </c>
      <c r="E1944" s="6" t="n">
        <f>SUM(C1944,D1944)/2</f>
        <v>157</v>
      </c>
      <c r="F1944" s="18" t="n">
        <v>64</v>
      </c>
      <c r="G1944" s="18" t="n">
        <v>72</v>
      </c>
      <c r="H1944" s="6" t="n">
        <f>SUM(F1944,G1944)/2</f>
        <v>68</v>
      </c>
    </row>
    <row r="1945" s="18" customFormat="1" ht="14.399999999999999" customHeight="1">
      <c r="A1945" s="10" t="s">
        <v>3087</v>
      </c>
      <c r="B1945" s="10" t="s">
        <v>3088</v>
      </c>
      <c r="C1945" s="13" t="n">
        <v>284810</v>
      </c>
      <c r="D1945" s="13" t="n">
        <v>454956</v>
      </c>
      <c r="E1945" s="6" t="n">
        <f>SUM(C1945,D1945)/2</f>
        <v>369883</v>
      </c>
      <c r="F1945" s="12" t="n">
        <v>74519</v>
      </c>
      <c r="G1945" s="12" t="n">
        <v>112429</v>
      </c>
      <c r="H1945" s="6" t="n">
        <f>SUM(F1945,G1945)/2</f>
        <v>93474</v>
      </c>
    </row>
    <row r="1946" s="18" customFormat="1" ht="14.399999999999999" customHeight="1">
      <c r="A1946" s="10" t="s">
        <v>2939</v>
      </c>
      <c r="B1946" s="10" t="s">
        <v>2940</v>
      </c>
      <c r="C1946" s="10" t="n">
        <v>0</v>
      </c>
      <c r="D1946" s="10" t="n">
        <v>0</v>
      </c>
      <c r="E1946" s="6" t="n">
        <f>SUM(C1946,D1946)/2</f>
        <v>0</v>
      </c>
      <c r="F1946" s="18" t="n">
        <v>0</v>
      </c>
      <c r="G1946" s="18" t="n">
        <v>0</v>
      </c>
      <c r="H1946" s="6" t="n">
        <f>SUM(F1946,G1946)/2</f>
        <v>0</v>
      </c>
    </row>
    <row r="1947" s="18" customFormat="1" ht="14.399999999999999" customHeight="1">
      <c r="A1947" s="10" t="s">
        <v>2230</v>
      </c>
      <c r="B1947" s="10" t="s">
        <v>2231</v>
      </c>
      <c r="C1947" s="10" t="n">
        <v>172</v>
      </c>
      <c r="D1947" s="10" t="n">
        <v>278</v>
      </c>
      <c r="E1947" s="6" t="n">
        <f>SUM(C1947,D1947)/2</f>
        <v>225</v>
      </c>
      <c r="F1947" s="18" t="n">
        <v>24</v>
      </c>
      <c r="G1947" s="18" t="n">
        <v>31</v>
      </c>
      <c r="H1947" s="6" t="n">
        <f>SUM(F1947,G1947)/2</f>
        <v>27.5</v>
      </c>
    </row>
    <row r="1948" s="18" customFormat="1" ht="14.399999999999999" customHeight="1">
      <c r="A1948" s="10" t="s">
        <v>5141</v>
      </c>
      <c r="B1948" s="10" t="s">
        <v>5142</v>
      </c>
      <c r="C1948" s="13" t="n">
        <v>4804</v>
      </c>
      <c r="D1948" s="13" t="n">
        <v>7674</v>
      </c>
      <c r="E1948" s="6" t="n">
        <f>SUM(C1948,D1948)/2</f>
        <v>6239</v>
      </c>
      <c r="F1948" s="12" t="n">
        <v>4993</v>
      </c>
      <c r="G1948" s="12" t="n">
        <v>7230</v>
      </c>
      <c r="H1948" s="6" t="n">
        <f>SUM(F1948,G1948)/2</f>
        <v>6111.5</v>
      </c>
    </row>
    <row r="1949" s="18" customFormat="1" ht="14.399999999999999" customHeight="1">
      <c r="A1949" s="10" t="s">
        <v>5364</v>
      </c>
      <c r="B1949" s="10" t="s">
        <v>5365</v>
      </c>
      <c r="C1949" s="13" t="n">
        <v>276442</v>
      </c>
      <c r="D1949" s="13" t="n">
        <v>441589</v>
      </c>
      <c r="E1949" s="6" t="n">
        <f>SUM(C1949,D1949)/2</f>
        <v>359015.5</v>
      </c>
      <c r="F1949" s="12" t="n">
        <v>78384</v>
      </c>
      <c r="G1949" s="12" t="n">
        <v>94973</v>
      </c>
      <c r="H1949" s="6" t="n">
        <f>SUM(F1949,G1949)/2</f>
        <v>86678.5</v>
      </c>
    </row>
    <row r="1950" s="18" customFormat="1" ht="14.399999999999999" customHeight="1">
      <c r="A1950" s="10" t="s">
        <v>6531</v>
      </c>
      <c r="B1950" s="10" t="s">
        <v>6532</v>
      </c>
      <c r="C1950" s="13" t="n">
        <v>9466</v>
      </c>
      <c r="D1950" s="13" t="n">
        <v>15122</v>
      </c>
      <c r="E1950" s="6" t="n">
        <f>SUM(C1950,D1950)/2</f>
        <v>12294</v>
      </c>
      <c r="F1950" s="12" t="n">
        <v>7274</v>
      </c>
      <c r="G1950" s="12" t="n">
        <v>10895</v>
      </c>
      <c r="H1950" s="6" t="n">
        <f>SUM(F1950,G1950)/2</f>
        <v>9084.5</v>
      </c>
    </row>
    <row r="1951" s="18" customFormat="1" ht="14.399999999999999" customHeight="1">
      <c r="A1951" s="10" t="s">
        <v>290</v>
      </c>
      <c r="B1951" s="10" t="s">
        <v>291</v>
      </c>
      <c r="C1951" s="13" t="n">
        <v>3243</v>
      </c>
      <c r="D1951" s="13" t="n">
        <v>5177</v>
      </c>
      <c r="E1951" s="6" t="n">
        <f>SUM(C1951,D1951)/2</f>
        <v>4210</v>
      </c>
      <c r="F1951" s="18" t="n">
        <v>839</v>
      </c>
      <c r="G1951" s="18" t="n">
        <v>1019</v>
      </c>
      <c r="H1951" s="6" t="n">
        <f>SUM(F1951,G1951)/2</f>
        <v>929</v>
      </c>
    </row>
    <row r="1952" s="18" customFormat="1" ht="14.399999999999999" customHeight="1">
      <c r="A1952" s="10" t="s">
        <v>1435</v>
      </c>
      <c r="B1952" s="10" t="s">
        <v>1436</v>
      </c>
      <c r="C1952" s="10" t="n">
        <v>67</v>
      </c>
      <c r="D1952" s="10" t="n">
        <v>105</v>
      </c>
      <c r="E1952" s="6" t="n">
        <f>SUM(C1952,D1952)/2</f>
        <v>86</v>
      </c>
      <c r="F1952" s="18" t="n">
        <v>3</v>
      </c>
      <c r="G1952" s="18" t="n">
        <v>3</v>
      </c>
      <c r="H1952" s="6" t="n">
        <f>SUM(F1952,G1952)/2</f>
        <v>3</v>
      </c>
    </row>
    <row r="1953" s="18" customFormat="1" ht="14.399999999999999" customHeight="1">
      <c r="A1953" s="10" t="s">
        <v>4537</v>
      </c>
      <c r="B1953" s="10" t="s">
        <v>4538</v>
      </c>
      <c r="C1953" s="13" t="n">
        <v>15003</v>
      </c>
      <c r="D1953" s="13" t="n">
        <v>23963</v>
      </c>
      <c r="E1953" s="6" t="n">
        <f>SUM(C1953,D1953)/2</f>
        <v>19483</v>
      </c>
      <c r="F1953" s="12" t="n">
        <v>8403</v>
      </c>
      <c r="G1953" s="12" t="n">
        <v>12907</v>
      </c>
      <c r="H1953" s="6" t="n">
        <f>SUM(F1953,G1953)/2</f>
        <v>10655</v>
      </c>
    </row>
    <row r="1954" s="18" customFormat="1" ht="14.399999999999999" customHeight="1">
      <c r="A1954" s="10" t="s">
        <v>3619</v>
      </c>
      <c r="B1954" s="10" t="s">
        <v>3620</v>
      </c>
      <c r="C1954" s="13" t="n">
        <v>86945</v>
      </c>
      <c r="D1954" s="13" t="n">
        <v>138887</v>
      </c>
      <c r="E1954" s="6" t="n">
        <f>SUM(C1954,D1954)/2</f>
        <v>112916</v>
      </c>
      <c r="F1954" s="12" t="n">
        <v>10261</v>
      </c>
      <c r="G1954" s="12" t="n">
        <v>15373</v>
      </c>
      <c r="H1954" s="6" t="n">
        <f>SUM(F1954,G1954)/2</f>
        <v>12817</v>
      </c>
    </row>
    <row r="1955" s="18" customFormat="1" ht="14.399999999999999" customHeight="1">
      <c r="A1955" s="10" t="s">
        <v>3135</v>
      </c>
      <c r="B1955" s="10" t="s">
        <v>3136</v>
      </c>
      <c r="C1955" s="13" t="n">
        <v>116792</v>
      </c>
      <c r="D1955" s="13" t="n">
        <v>186562</v>
      </c>
      <c r="E1955" s="6" t="n">
        <f>SUM(C1955,D1955)/2</f>
        <v>151677</v>
      </c>
      <c r="F1955" s="12" t="n">
        <v>35893</v>
      </c>
      <c r="G1955" s="12" t="n">
        <v>55016</v>
      </c>
      <c r="H1955" s="6" t="n">
        <f>SUM(F1955,G1955)/2</f>
        <v>45454.5</v>
      </c>
    </row>
    <row r="1956" s="18" customFormat="1" ht="14.399999999999999" customHeight="1">
      <c r="A1956" s="10" t="s">
        <v>2037</v>
      </c>
      <c r="B1956" s="10" t="s">
        <v>2038</v>
      </c>
      <c r="C1956" s="10" t="n">
        <v>2</v>
      </c>
      <c r="D1956" s="10" t="n">
        <v>2</v>
      </c>
      <c r="E1956" s="6" t="n">
        <f>SUM(C1956,D1956)/2</f>
        <v>2</v>
      </c>
      <c r="F1956" s="18" t="n">
        <v>11</v>
      </c>
      <c r="G1956" s="18" t="n">
        <v>11</v>
      </c>
      <c r="H1956" s="6" t="n">
        <f>SUM(F1956,G1956)/2</f>
        <v>11</v>
      </c>
    </row>
    <row r="1957" s="18" customFormat="1" ht="14.399999999999999" customHeight="1">
      <c r="A1957" s="10" t="s">
        <v>3683</v>
      </c>
      <c r="B1957" s="10" t="s">
        <v>3684</v>
      </c>
      <c r="C1957" s="13" t="n">
        <v>74712</v>
      </c>
      <c r="D1957" s="13" t="n">
        <v>119346</v>
      </c>
      <c r="E1957" s="6" t="n">
        <f>SUM(C1957,D1957)/2</f>
        <v>97029</v>
      </c>
      <c r="F1957" s="12" t="n">
        <v>11594</v>
      </c>
      <c r="G1957" s="12" t="n">
        <v>17569</v>
      </c>
      <c r="H1957" s="6" t="n">
        <f>SUM(F1957,G1957)/2</f>
        <v>14581.5</v>
      </c>
    </row>
    <row r="1958" s="18" customFormat="1" ht="14.399999999999999" customHeight="1">
      <c r="A1958" s="10" t="s">
        <v>2696</v>
      </c>
      <c r="B1958" s="10" t="s">
        <v>2697</v>
      </c>
      <c r="C1958" s="10" t="n">
        <v>0</v>
      </c>
      <c r="D1958" s="10" t="n">
        <v>0</v>
      </c>
      <c r="E1958" s="6" t="n">
        <f>SUM(C1958,D1958)/2</f>
        <v>0</v>
      </c>
      <c r="F1958" s="18" t="n">
        <v>1</v>
      </c>
      <c r="G1958" s="18" t="n">
        <v>1</v>
      </c>
      <c r="H1958" s="6" t="n">
        <f>SUM(F1958,G1958)/2</f>
        <v>1</v>
      </c>
    </row>
    <row r="1959" s="18" customFormat="1" ht="14.399999999999999" customHeight="1">
      <c r="A1959" s="10" t="s">
        <v>3785</v>
      </c>
      <c r="B1959" s="10" t="s">
        <v>3786</v>
      </c>
      <c r="C1959" s="13" t="n">
        <v>38600</v>
      </c>
      <c r="D1959" s="13" t="n">
        <v>61658</v>
      </c>
      <c r="E1959" s="6" t="n">
        <f>SUM(C1959,D1959)/2</f>
        <v>50129</v>
      </c>
      <c r="F1959" s="12" t="n">
        <v>16552</v>
      </c>
      <c r="G1959" s="12" t="n">
        <v>23207</v>
      </c>
      <c r="H1959" s="6" t="n">
        <f>SUM(F1959,G1959)/2</f>
        <v>19879.5</v>
      </c>
    </row>
    <row r="1960" s="18" customFormat="1" ht="14.399999999999999" customHeight="1">
      <c r="A1960" s="10" t="s">
        <v>6533</v>
      </c>
      <c r="B1960" s="10" t="s">
        <v>6534</v>
      </c>
      <c r="C1960" s="13" t="n">
        <v>102180</v>
      </c>
      <c r="D1960" s="13" t="n">
        <v>163226</v>
      </c>
      <c r="E1960" s="6" t="n">
        <f>SUM(C1960,D1960)/2</f>
        <v>132703</v>
      </c>
      <c r="F1960" s="12" t="n">
        <v>24514</v>
      </c>
      <c r="G1960" s="12" t="n">
        <v>34217</v>
      </c>
      <c r="H1960" s="6" t="n">
        <f>SUM(F1960,G1960)/2</f>
        <v>29365.5</v>
      </c>
    </row>
    <row r="1961" s="18" customFormat="1" ht="14.399999999999999" customHeight="1">
      <c r="A1961" s="10" t="s">
        <v>3703</v>
      </c>
      <c r="B1961" s="10" t="s">
        <v>3704</v>
      </c>
      <c r="C1961" s="13" t="n">
        <v>55780</v>
      </c>
      <c r="D1961" s="13" t="n">
        <v>89104</v>
      </c>
      <c r="E1961" s="6" t="n">
        <f>SUM(C1961,D1961)/2</f>
        <v>72442</v>
      </c>
      <c r="F1961" s="12" t="n">
        <v>15484</v>
      </c>
      <c r="G1961" s="12" t="n">
        <v>21132</v>
      </c>
      <c r="H1961" s="6" t="n">
        <f>SUM(F1961,G1961)/2</f>
        <v>18308</v>
      </c>
    </row>
    <row r="1962" s="18" customFormat="1" ht="14.399999999999999" customHeight="1">
      <c r="A1962" s="10" t="s">
        <v>1212</v>
      </c>
      <c r="B1962" s="10" t="s">
        <v>1213</v>
      </c>
      <c r="C1962" s="13" t="n">
        <v>103624</v>
      </c>
      <c r="D1962" s="13" t="n">
        <v>165529</v>
      </c>
      <c r="E1962" s="6" t="n">
        <f>SUM(C1962,D1962)/2</f>
        <v>134576.5</v>
      </c>
      <c r="F1962" s="12" t="n">
        <v>53070</v>
      </c>
      <c r="G1962" s="12" t="n">
        <v>78994</v>
      </c>
      <c r="H1962" s="6" t="n">
        <f>SUM(F1962,G1962)/2</f>
        <v>66032</v>
      </c>
    </row>
    <row r="1963" s="18" customFormat="1" ht="14.399999999999999" customHeight="1">
      <c r="A1963" s="10" t="s">
        <v>6535</v>
      </c>
      <c r="B1963" s="10" t="s">
        <v>6536</v>
      </c>
      <c r="C1963" s="10" t="n">
        <v>5</v>
      </c>
      <c r="D1963" s="10" t="n">
        <v>9</v>
      </c>
      <c r="E1963" s="6" t="n">
        <f>SUM(C1963,D1963)/2</f>
        <v>7</v>
      </c>
      <c r="F1963" s="18" t="n">
        <v>32</v>
      </c>
      <c r="G1963" s="18" t="n">
        <v>47</v>
      </c>
      <c r="H1963" s="6" t="n">
        <f>SUM(F1963,G1963)/2</f>
        <v>39.5</v>
      </c>
    </row>
    <row r="1964" s="18" customFormat="1" ht="14.399999999999999" customHeight="1">
      <c r="A1964" s="10" t="s">
        <v>760</v>
      </c>
      <c r="B1964" s="10" t="s">
        <v>761</v>
      </c>
      <c r="C1964" s="13" t="n">
        <v>1601158</v>
      </c>
      <c r="D1964" s="13" t="n">
        <v>2557691</v>
      </c>
      <c r="E1964" s="6" t="n">
        <f>SUM(C1964,D1964)/2</f>
        <v>2079424.5</v>
      </c>
      <c r="F1964" s="12" t="n">
        <v>267334</v>
      </c>
      <c r="G1964" s="12" t="n">
        <v>395160</v>
      </c>
      <c r="H1964" s="6" t="n">
        <f>SUM(F1964,G1964)/2</f>
        <v>331247</v>
      </c>
    </row>
    <row r="1965" s="18" customFormat="1" ht="14.399999999999999" customHeight="1">
      <c r="A1965" s="10" t="s">
        <v>3185</v>
      </c>
      <c r="B1965" s="10" t="s">
        <v>3186</v>
      </c>
      <c r="C1965" s="13" t="n">
        <v>51830</v>
      </c>
      <c r="D1965" s="13" t="n">
        <v>82794</v>
      </c>
      <c r="E1965" s="6" t="n">
        <f>SUM(C1965,D1965)/2</f>
        <v>67312</v>
      </c>
      <c r="F1965" s="12" t="n">
        <v>38781</v>
      </c>
      <c r="G1965" s="12" t="n">
        <v>55836</v>
      </c>
      <c r="H1965" s="6" t="n">
        <f>SUM(F1965,G1965)/2</f>
        <v>47308.5</v>
      </c>
    </row>
    <row r="1966" s="18" customFormat="1" ht="14.399999999999999" customHeight="1">
      <c r="A1966" s="10" t="s">
        <v>2150</v>
      </c>
      <c r="B1966" s="10" t="s">
        <v>2151</v>
      </c>
      <c r="C1966" s="10" t="n">
        <v>4</v>
      </c>
      <c r="D1966" s="10" t="n">
        <v>6</v>
      </c>
      <c r="E1966" s="6" t="n">
        <f>SUM(C1966,D1966)/2</f>
        <v>5</v>
      </c>
      <c r="F1966" s="18" t="n">
        <v>6</v>
      </c>
      <c r="G1966" s="18" t="n">
        <v>8</v>
      </c>
      <c r="H1966" s="6" t="n">
        <f>SUM(F1966,G1966)/2</f>
        <v>7</v>
      </c>
    </row>
    <row r="1967" s="18" customFormat="1" ht="14.399999999999999" customHeight="1">
      <c r="A1967" s="10" t="s">
        <v>3635</v>
      </c>
      <c r="B1967" s="10" t="s">
        <v>3636</v>
      </c>
      <c r="C1967" s="13" t="n">
        <v>35934</v>
      </c>
      <c r="D1967" s="13" t="n">
        <v>57402</v>
      </c>
      <c r="E1967" s="6" t="n">
        <f>SUM(C1967,D1967)/2</f>
        <v>46668</v>
      </c>
      <c r="F1967" s="12" t="n">
        <v>21682</v>
      </c>
      <c r="G1967" s="12" t="n">
        <v>31076</v>
      </c>
      <c r="H1967" s="6" t="n">
        <f>SUM(F1967,G1967)/2</f>
        <v>26379</v>
      </c>
    </row>
    <row r="1968" s="18" customFormat="1" ht="14.399999999999999" customHeight="1">
      <c r="A1968" s="10" t="s">
        <v>1617</v>
      </c>
      <c r="B1968" s="10" t="s">
        <v>1618</v>
      </c>
      <c r="C1968" s="13" t="n">
        <v>276213</v>
      </c>
      <c r="D1968" s="13" t="n">
        <v>441221</v>
      </c>
      <c r="E1968" s="6" t="n">
        <f>SUM(C1968,D1968)/2</f>
        <v>358717</v>
      </c>
      <c r="F1968" s="12" t="n">
        <v>33585</v>
      </c>
      <c r="G1968" s="12" t="n">
        <v>44794</v>
      </c>
      <c r="H1968" s="6" t="n">
        <f>SUM(F1968,G1968)/2</f>
        <v>39189.5</v>
      </c>
    </row>
    <row r="1969" s="18" customFormat="1" ht="14.399999999999999" customHeight="1">
      <c r="A1969" s="10" t="s">
        <v>3045</v>
      </c>
      <c r="B1969" s="10" t="s">
        <v>3046</v>
      </c>
      <c r="C1969" s="13" t="n">
        <v>116839</v>
      </c>
      <c r="D1969" s="13" t="n">
        <v>186641</v>
      </c>
      <c r="E1969" s="6" t="n">
        <f>SUM(C1969,D1969)/2</f>
        <v>151740</v>
      </c>
      <c r="F1969" s="12" t="n">
        <v>30606</v>
      </c>
      <c r="G1969" s="12" t="n">
        <v>48428</v>
      </c>
      <c r="H1969" s="6" t="n">
        <f>SUM(F1969,G1969)/2</f>
        <v>39517</v>
      </c>
    </row>
    <row r="1970" s="18" customFormat="1" ht="14.399999999999999" customHeight="1">
      <c r="A1970" s="10" t="s">
        <v>4647</v>
      </c>
      <c r="B1970" s="10" t="s">
        <v>4648</v>
      </c>
      <c r="C1970" s="13" t="n">
        <v>23936</v>
      </c>
      <c r="D1970" s="13" t="n">
        <v>38236</v>
      </c>
      <c r="E1970" s="6" t="n">
        <f>SUM(C1970,D1970)/2</f>
        <v>31086</v>
      </c>
      <c r="F1970" s="12" t="n">
        <v>5613</v>
      </c>
      <c r="G1970" s="12" t="n">
        <v>8240</v>
      </c>
      <c r="H1970" s="6" t="n">
        <f>SUM(F1970,G1970)/2</f>
        <v>6926.5</v>
      </c>
    </row>
    <row r="1971" s="18" customFormat="1" ht="14.399999999999999" customHeight="1">
      <c r="A1971" s="10" t="s">
        <v>3213</v>
      </c>
      <c r="B1971" s="10" t="s">
        <v>3214</v>
      </c>
      <c r="C1971" s="13" t="n">
        <v>70185</v>
      </c>
      <c r="D1971" s="13" t="n">
        <v>112115</v>
      </c>
      <c r="E1971" s="6" t="n">
        <f>SUM(C1971,D1971)/2</f>
        <v>91150</v>
      </c>
      <c r="F1971" s="12" t="n">
        <v>34583</v>
      </c>
      <c r="G1971" s="12" t="n">
        <v>43816</v>
      </c>
      <c r="H1971" s="6" t="n">
        <f>SUM(F1971,G1971)/2</f>
        <v>39199.5</v>
      </c>
    </row>
    <row r="1972" s="18" customFormat="1" ht="14.399999999999999" customHeight="1">
      <c r="A1972" s="10" t="s">
        <v>6537</v>
      </c>
      <c r="B1972" s="10" t="s">
        <v>6538</v>
      </c>
      <c r="C1972" s="13" t="n">
        <v>62396</v>
      </c>
      <c r="D1972" s="13" t="n">
        <v>99672</v>
      </c>
      <c r="E1972" s="6" t="n">
        <f>SUM(C1972,D1972)/2</f>
        <v>81034</v>
      </c>
      <c r="F1972" s="12" t="n">
        <v>9715</v>
      </c>
      <c r="G1972" s="12" t="n">
        <v>14602</v>
      </c>
      <c r="H1972" s="6" t="n">
        <f>SUM(F1972,G1972)/2</f>
        <v>12158.5</v>
      </c>
    </row>
    <row r="1973" s="18" customFormat="1" ht="14.399999999999999" customHeight="1">
      <c r="A1973" s="10" t="s">
        <v>3753</v>
      </c>
      <c r="B1973" s="10" t="s">
        <v>3754</v>
      </c>
      <c r="C1973" s="13" t="n">
        <v>82555</v>
      </c>
      <c r="D1973" s="13" t="n">
        <v>131874</v>
      </c>
      <c r="E1973" s="6" t="n">
        <f>SUM(C1973,D1973)/2</f>
        <v>107214.5</v>
      </c>
      <c r="F1973" s="12" t="n">
        <v>6988</v>
      </c>
      <c r="G1973" s="12" t="n">
        <v>11474</v>
      </c>
      <c r="H1973" s="6" t="n">
        <f>SUM(F1973,G1973)/2</f>
        <v>9231</v>
      </c>
    </row>
    <row r="1974" s="18" customFormat="1" ht="14.399999999999999" customHeight="1">
      <c r="A1974" s="10" t="s">
        <v>2739</v>
      </c>
      <c r="B1974" s="10" t="s">
        <v>2740</v>
      </c>
      <c r="C1974" s="10" t="n">
        <v>3</v>
      </c>
      <c r="D1974" s="10" t="n">
        <v>3</v>
      </c>
      <c r="E1974" s="6" t="n">
        <f>SUM(C1974,D1974)/2</f>
        <v>3</v>
      </c>
      <c r="F1974" s="18" t="n">
        <v>0</v>
      </c>
      <c r="G1974" s="18" t="n">
        <v>0</v>
      </c>
      <c r="H1974" s="6" t="n">
        <f>SUM(F1974,G1974)/2</f>
        <v>0</v>
      </c>
    </row>
    <row r="1975" s="18" customFormat="1" ht="14.399999999999999" customHeight="1">
      <c r="A1975" s="10" t="s">
        <v>6539</v>
      </c>
      <c r="B1975" s="10" t="s">
        <v>6540</v>
      </c>
      <c r="C1975" s="10" t="n">
        <v>2</v>
      </c>
      <c r="D1975" s="10" t="n">
        <v>2</v>
      </c>
      <c r="E1975" s="6" t="n">
        <f>SUM(C1975,D1975)/2</f>
        <v>2</v>
      </c>
      <c r="F1975" s="18" t="n">
        <v>0</v>
      </c>
      <c r="G1975" s="18" t="n">
        <v>0</v>
      </c>
      <c r="H1975" s="6" t="n">
        <f>SUM(F1975,G1975)/2</f>
        <v>0</v>
      </c>
    </row>
    <row r="1976" s="18" customFormat="1" ht="14.399999999999999" customHeight="1">
      <c r="A1976" s="10" t="s">
        <v>6541</v>
      </c>
      <c r="B1976" s="10" t="s">
        <v>6542</v>
      </c>
      <c r="C1976" s="13" t="n">
        <v>76007</v>
      </c>
      <c r="D1976" s="13" t="n">
        <v>121413</v>
      </c>
      <c r="E1976" s="6" t="n">
        <f>SUM(C1976,D1976)/2</f>
        <v>98710</v>
      </c>
      <c r="F1976" s="12" t="n">
        <v>7835</v>
      </c>
      <c r="G1976" s="12" t="n">
        <v>11895</v>
      </c>
      <c r="H1976" s="6" t="n">
        <f>SUM(F1976,G1976)/2</f>
        <v>9865</v>
      </c>
    </row>
    <row r="1977" s="18" customFormat="1" ht="14.399999999999999" customHeight="1">
      <c r="A1977" s="10" t="s">
        <v>4557</v>
      </c>
      <c r="B1977" s="10" t="s">
        <v>4558</v>
      </c>
      <c r="C1977" s="13" t="n">
        <v>13108</v>
      </c>
      <c r="D1977" s="13" t="n">
        <v>20936</v>
      </c>
      <c r="E1977" s="6" t="n">
        <f>SUM(C1977,D1977)/2</f>
        <v>17022</v>
      </c>
      <c r="F1977" s="12" t="n">
        <v>9039</v>
      </c>
      <c r="G1977" s="12" t="n">
        <v>12930</v>
      </c>
      <c r="H1977" s="6" t="n">
        <f>SUM(F1977,G1977)/2</f>
        <v>10984.5</v>
      </c>
    </row>
    <row r="1978" s="18" customFormat="1" ht="14.399999999999999" customHeight="1">
      <c r="A1978" s="10" t="s">
        <v>4629</v>
      </c>
      <c r="B1978" s="10" t="s">
        <v>4630</v>
      </c>
      <c r="C1978" s="13" t="n">
        <v>15156</v>
      </c>
      <c r="D1978" s="13" t="n">
        <v>24210</v>
      </c>
      <c r="E1978" s="6" t="n">
        <f>SUM(C1978,D1978)/2</f>
        <v>19683</v>
      </c>
      <c r="F1978" s="12" t="n">
        <v>8403</v>
      </c>
      <c r="G1978" s="12" t="n">
        <v>10873</v>
      </c>
      <c r="H1978" s="6" t="n">
        <f>SUM(F1978,G1978)/2</f>
        <v>9638</v>
      </c>
    </row>
    <row r="1979" s="18" customFormat="1" ht="14.399999999999999" customHeight="1">
      <c r="A1979" s="10" t="s">
        <v>3973</v>
      </c>
      <c r="B1979" s="10" t="s">
        <v>3974</v>
      </c>
      <c r="C1979" s="13" t="n">
        <v>34357</v>
      </c>
      <c r="D1979" s="13" t="n">
        <v>54879</v>
      </c>
      <c r="E1979" s="6" t="n">
        <f>SUM(C1979,D1979)/2</f>
        <v>44618</v>
      </c>
      <c r="F1979" s="12" t="n">
        <v>12705</v>
      </c>
      <c r="G1979" s="12" t="n">
        <v>19259</v>
      </c>
      <c r="H1979" s="6" t="n">
        <f>SUM(F1979,G1979)/2</f>
        <v>15982</v>
      </c>
    </row>
    <row r="1980" s="18" customFormat="1" ht="14.399999999999999" customHeight="1">
      <c r="A1980" s="10" t="s">
        <v>6</v>
      </c>
      <c r="B1980" s="10" t="s">
        <v>7</v>
      </c>
      <c r="C1980" s="13" t="n">
        <v>24644366</v>
      </c>
      <c r="D1980" s="13" t="n">
        <v>39366974</v>
      </c>
      <c r="E1980" s="6" t="n">
        <f>SUM(C1980,D1980)/2</f>
        <v>32005670</v>
      </c>
      <c r="F1980" s="13" t="n">
        <v>5875170</v>
      </c>
      <c r="G1980" s="12" t="n">
        <v>7936716</v>
      </c>
      <c r="H1980" s="6" t="n">
        <f>SUM(F1980,G1980)/2</f>
        <v>6905943</v>
      </c>
    </row>
    <row r="1981" s="18" customFormat="1" ht="14.399999999999999" customHeight="1">
      <c r="A1981" s="10" t="s">
        <v>1081</v>
      </c>
      <c r="B1981" s="10" t="s">
        <v>6543</v>
      </c>
      <c r="C1981" s="13" t="n">
        <v>506934</v>
      </c>
      <c r="D1981" s="13" t="n">
        <v>809778</v>
      </c>
      <c r="E1981" s="6" t="n">
        <f>SUM(C1981,D1981)/2</f>
        <v>658356</v>
      </c>
      <c r="F1981" s="12" t="n">
        <v>37161</v>
      </c>
      <c r="G1981" s="12" t="n">
        <v>88450</v>
      </c>
      <c r="H1981" s="6" t="n">
        <f>SUM(F1981,G1981)/2</f>
        <v>62805.5</v>
      </c>
    </row>
    <row r="1982" s="18" customFormat="1" ht="14.399999999999999" customHeight="1">
      <c r="A1982" s="10" t="s">
        <v>823</v>
      </c>
      <c r="B1982" s="10" t="s">
        <v>824</v>
      </c>
      <c r="C1982" s="13" t="n">
        <v>913593</v>
      </c>
      <c r="D1982" s="13" t="n">
        <v>1459373</v>
      </c>
      <c r="E1982" s="6" t="n">
        <f>SUM(C1982,D1982)/2</f>
        <v>1186483</v>
      </c>
      <c r="F1982" s="12" t="n">
        <v>216636</v>
      </c>
      <c r="G1982" s="12" t="n">
        <v>351011</v>
      </c>
      <c r="H1982" s="6" t="n">
        <f>SUM(F1982,G1982)/2</f>
        <v>283823.5</v>
      </c>
    </row>
    <row r="1983" s="18" customFormat="1" ht="14.399999999999999" customHeight="1">
      <c r="A1983" s="10" t="s">
        <v>6544</v>
      </c>
      <c r="B1983" s="10" t="s">
        <v>6545</v>
      </c>
      <c r="C1983" s="10" t="n">
        <v>273</v>
      </c>
      <c r="D1983" s="10" t="n">
        <v>437</v>
      </c>
      <c r="E1983" s="6" t="n">
        <f>SUM(C1983,D1983)/2</f>
        <v>355</v>
      </c>
      <c r="F1983" s="12" t="n">
        <v>1201</v>
      </c>
      <c r="G1983" s="12" t="n">
        <v>1694</v>
      </c>
      <c r="H1983" s="6" t="n">
        <f>SUM(F1983,G1983)/2</f>
        <v>1447.5</v>
      </c>
    </row>
    <row r="1984" s="18" customFormat="1" ht="14.399999999999999" customHeight="1">
      <c r="A1984" s="10" t="s">
        <v>2430</v>
      </c>
      <c r="B1984" s="10" t="s">
        <v>2431</v>
      </c>
      <c r="C1984" s="10" t="n">
        <v>15</v>
      </c>
      <c r="D1984" s="10" t="n">
        <v>23</v>
      </c>
      <c r="E1984" s="6" t="n">
        <f>SUM(C1984,D1984)/2</f>
        <v>19</v>
      </c>
      <c r="F1984" s="18" t="n">
        <v>0</v>
      </c>
      <c r="G1984" s="18" t="n">
        <v>0</v>
      </c>
      <c r="H1984" s="6" t="n">
        <f>SUM(F1984,G1984)/2</f>
        <v>0</v>
      </c>
    </row>
    <row r="1985" s="18" customFormat="1" ht="14.399999999999999" customHeight="1">
      <c r="A1985" s="10" t="s">
        <v>4485</v>
      </c>
      <c r="B1985" s="10" t="s">
        <v>4486</v>
      </c>
      <c r="C1985" s="13" t="n">
        <v>34619</v>
      </c>
      <c r="D1985" s="13" t="n">
        <v>55301</v>
      </c>
      <c r="E1985" s="6" t="n">
        <f>SUM(C1985,D1985)/2</f>
        <v>44960</v>
      </c>
      <c r="F1985" s="12" t="n">
        <v>4910</v>
      </c>
      <c r="G1985" s="12" t="n">
        <v>7137</v>
      </c>
      <c r="H1985" s="6" t="n">
        <f>SUM(F1985,G1985)/2</f>
        <v>6023.5</v>
      </c>
    </row>
    <row r="1986" s="18" customFormat="1" ht="14.399999999999999" customHeight="1">
      <c r="A1986" s="10" t="s">
        <v>2941</v>
      </c>
      <c r="B1986" s="10" t="s">
        <v>2942</v>
      </c>
      <c r="C1986" s="10" t="n">
        <v>0</v>
      </c>
      <c r="D1986" s="10" t="n">
        <v>0</v>
      </c>
      <c r="E1986" s="6" t="n">
        <f>SUM(C1986,D1986)/2</f>
        <v>0</v>
      </c>
      <c r="F1986" s="18" t="n">
        <v>0</v>
      </c>
      <c r="G1986" s="18" t="n">
        <v>0</v>
      </c>
      <c r="H1986" s="6" t="n">
        <f>SUM(F1986,G1986)/2</f>
        <v>0</v>
      </c>
    </row>
    <row r="1987" s="18" customFormat="1" ht="14.399999999999999" customHeight="1">
      <c r="A1987" s="10" t="s">
        <v>2266</v>
      </c>
      <c r="B1987" s="10" t="s">
        <v>2267</v>
      </c>
      <c r="C1987" s="10" t="n">
        <v>19</v>
      </c>
      <c r="D1987" s="10" t="n">
        <v>29</v>
      </c>
      <c r="E1987" s="6" t="n">
        <f>SUM(C1987,D1987)/2</f>
        <v>24</v>
      </c>
      <c r="F1987" s="18" t="n">
        <v>1</v>
      </c>
      <c r="G1987" s="18" t="n">
        <v>1</v>
      </c>
      <c r="H1987" s="6" t="n">
        <f>SUM(F1987,G1987)/2</f>
        <v>1</v>
      </c>
    </row>
    <row r="1988" s="18" customFormat="1" ht="14.399999999999999" customHeight="1">
      <c r="A1988" s="10" t="s">
        <v>6546</v>
      </c>
      <c r="B1988" s="10" t="s">
        <v>6547</v>
      </c>
      <c r="C1988" s="10" t="n">
        <v>53</v>
      </c>
      <c r="D1988" s="10" t="n">
        <v>82</v>
      </c>
      <c r="E1988" s="6" t="n">
        <f>SUM(C1988,D1988)/2</f>
        <v>67.5</v>
      </c>
      <c r="F1988" s="18" t="n">
        <v>50</v>
      </c>
      <c r="G1988" s="18" t="n">
        <v>68</v>
      </c>
      <c r="H1988" s="6" t="n">
        <f>SUM(F1988,G1988)/2</f>
        <v>59</v>
      </c>
    </row>
    <row r="1989" s="18" customFormat="1" ht="14.399999999999999" customHeight="1">
      <c r="A1989" s="10" t="s">
        <v>3451</v>
      </c>
      <c r="B1989" s="10" t="s">
        <v>3452</v>
      </c>
      <c r="C1989" s="13" t="n">
        <v>120525</v>
      </c>
      <c r="D1989" s="13" t="n">
        <v>192529</v>
      </c>
      <c r="E1989" s="6" t="n">
        <f>SUM(C1989,D1989)/2</f>
        <v>156527</v>
      </c>
      <c r="F1989" s="12" t="n">
        <v>9787</v>
      </c>
      <c r="G1989" s="12" t="n">
        <v>12676</v>
      </c>
      <c r="H1989" s="6" t="n">
        <f>SUM(F1989,G1989)/2</f>
        <v>11231.5</v>
      </c>
    </row>
    <row r="1990" s="18" customFormat="1" ht="14.399999999999999" customHeight="1">
      <c r="A1990" s="10" t="s">
        <v>6548</v>
      </c>
      <c r="B1990" s="10" t="s">
        <v>6549</v>
      </c>
      <c r="C1990" s="13" t="n">
        <v>5988</v>
      </c>
      <c r="D1990" s="13" t="n">
        <v>9564</v>
      </c>
      <c r="E1990" s="6" t="n">
        <f>SUM(C1990,D1990)/2</f>
        <v>7776</v>
      </c>
      <c r="F1990" s="12" t="n">
        <v>5148</v>
      </c>
      <c r="G1990" s="12" t="n">
        <v>7288</v>
      </c>
      <c r="H1990" s="6" t="n">
        <f>SUM(F1990,G1990)/2</f>
        <v>6218</v>
      </c>
    </row>
    <row r="1991" s="18" customFormat="1" ht="14.399999999999999" customHeight="1">
      <c r="A1991" s="10" t="s">
        <v>3595</v>
      </c>
      <c r="B1991" s="10" t="s">
        <v>3596</v>
      </c>
      <c r="C1991" s="13" t="n">
        <v>55813</v>
      </c>
      <c r="D1991" s="13" t="n">
        <v>89159</v>
      </c>
      <c r="E1991" s="6" t="n">
        <f>SUM(C1991,D1991)/2</f>
        <v>72486</v>
      </c>
      <c r="F1991" s="12" t="n">
        <v>18640</v>
      </c>
      <c r="G1991" s="12" t="n">
        <v>26329</v>
      </c>
      <c r="H1991" s="6" t="n">
        <f>SUM(F1991,G1991)/2</f>
        <v>22484.5</v>
      </c>
    </row>
    <row r="1992" s="18" customFormat="1" ht="14.399999999999999" customHeight="1">
      <c r="A1992" s="10" t="s">
        <v>4383</v>
      </c>
      <c r="B1992" s="10" t="s">
        <v>4384</v>
      </c>
      <c r="C1992" s="13" t="n">
        <v>5104</v>
      </c>
      <c r="D1992" s="13" t="n">
        <v>8156</v>
      </c>
      <c r="E1992" s="6" t="n">
        <f>SUM(C1992,D1992)/2</f>
        <v>6630</v>
      </c>
      <c r="F1992" s="12" t="n">
        <v>13014</v>
      </c>
      <c r="G1992" s="12" t="n">
        <v>18289</v>
      </c>
      <c r="H1992" s="6" t="n">
        <f>SUM(F1992,G1992)/2</f>
        <v>15651.5</v>
      </c>
    </row>
    <row r="1993" s="18" customFormat="1" ht="14.399999999999999" customHeight="1">
      <c r="A1993" s="10" t="s">
        <v>42</v>
      </c>
      <c r="B1993" s="10" t="s">
        <v>43</v>
      </c>
      <c r="C1993" s="13" t="n">
        <v>8123090</v>
      </c>
      <c r="D1993" s="13" t="n">
        <v>12975844</v>
      </c>
      <c r="E1993" s="6" t="n">
        <f>SUM(C1993,D1993)/2</f>
        <v>10549467</v>
      </c>
      <c r="F1993" s="12" t="n">
        <v>49809</v>
      </c>
      <c r="G1993" s="12" t="n">
        <v>57104</v>
      </c>
      <c r="H1993" s="6" t="n">
        <f>SUM(F1993,G1993)/2</f>
        <v>53456.5</v>
      </c>
    </row>
    <row r="1994" s="18" customFormat="1" ht="14.399999999999999" customHeight="1">
      <c r="A1994" s="10" t="s">
        <v>6550</v>
      </c>
      <c r="B1994" s="10" t="s">
        <v>6551</v>
      </c>
      <c r="C1994" s="13" t="n">
        <v>5455</v>
      </c>
      <c r="D1994" s="13" t="n">
        <v>8711</v>
      </c>
      <c r="E1994" s="6" t="n">
        <f>SUM(C1994,D1994)/2</f>
        <v>7083</v>
      </c>
      <c r="F1994" s="12" t="n">
        <v>6452</v>
      </c>
      <c r="G1994" s="12" t="n">
        <v>9431</v>
      </c>
      <c r="H1994" s="6" t="n">
        <f>SUM(F1994,G1994)/2</f>
        <v>7941.5</v>
      </c>
    </row>
    <row r="1995" s="18" customFormat="1" ht="14.399999999999999" customHeight="1">
      <c r="A1995" s="10" t="s">
        <v>1214</v>
      </c>
      <c r="B1995" s="10" t="s">
        <v>1215</v>
      </c>
      <c r="C1995" s="13" t="n">
        <v>197800</v>
      </c>
      <c r="D1995" s="13" t="n">
        <v>315968</v>
      </c>
      <c r="E1995" s="6" t="n">
        <f>SUM(C1995,D1995)/2</f>
        <v>256884</v>
      </c>
      <c r="F1995" s="12" t="n">
        <v>31767</v>
      </c>
      <c r="G1995" s="12" t="n">
        <v>47555</v>
      </c>
      <c r="H1995" s="6" t="n">
        <f>SUM(F1995,G1995)/2</f>
        <v>39661</v>
      </c>
    </row>
    <row r="1996" s="18" customFormat="1" ht="14.399999999999999" customHeight="1">
      <c r="A1996" s="10" t="s">
        <v>1605</v>
      </c>
      <c r="B1996" s="10" t="s">
        <v>1606</v>
      </c>
      <c r="C1996" s="13" t="n">
        <v>161478</v>
      </c>
      <c r="D1996" s="13" t="n">
        <v>257946</v>
      </c>
      <c r="E1996" s="6" t="n">
        <f>SUM(C1996,D1996)/2</f>
        <v>209712</v>
      </c>
      <c r="F1996" s="12" t="n">
        <v>62477</v>
      </c>
      <c r="G1996" s="12" t="n">
        <v>85950</v>
      </c>
      <c r="H1996" s="6" t="n">
        <f>SUM(F1996,G1996)/2</f>
        <v>74213.5</v>
      </c>
    </row>
    <row r="1997" s="18" customFormat="1" ht="14.399999999999999" customHeight="1">
      <c r="A1997" s="10" t="s">
        <v>6552</v>
      </c>
      <c r="B1997" s="10" t="s">
        <v>6553</v>
      </c>
      <c r="C1997" s="13" t="n">
        <v>417044</v>
      </c>
      <c r="D1997" s="13" t="n">
        <v>666186</v>
      </c>
      <c r="E1997" s="6" t="n">
        <f>SUM(C1997,D1997)/2</f>
        <v>541615</v>
      </c>
      <c r="F1997" s="12" t="n">
        <v>20251</v>
      </c>
      <c r="G1997" s="12" t="n">
        <v>56036</v>
      </c>
      <c r="H1997" s="6" t="n">
        <f>SUM(F1997,G1997)/2</f>
        <v>38143.5</v>
      </c>
    </row>
    <row r="1998" s="18" customFormat="1" ht="14.399999999999999" customHeight="1">
      <c r="A1998" s="10" t="s">
        <v>1427</v>
      </c>
      <c r="B1998" s="10" t="s">
        <v>1428</v>
      </c>
      <c r="C1998" s="13" t="n">
        <v>183380</v>
      </c>
      <c r="D1998" s="13" t="n">
        <v>292933</v>
      </c>
      <c r="E1998" s="6" t="n">
        <f>SUM(C1998,D1998)/2</f>
        <v>238156.5</v>
      </c>
      <c r="F1998" s="12" t="n">
        <v>10275</v>
      </c>
      <c r="G1998" s="12" t="n">
        <v>25895</v>
      </c>
      <c r="H1998" s="6" t="n">
        <f>SUM(F1998,G1998)/2</f>
        <v>18085</v>
      </c>
    </row>
    <row r="1999" s="18" customFormat="1" ht="14.399999999999999" customHeight="1">
      <c r="A1999" s="10" t="s">
        <v>740</v>
      </c>
      <c r="B1999" s="10" t="s">
        <v>741</v>
      </c>
      <c r="C1999" s="13" t="n">
        <v>2304404</v>
      </c>
      <c r="D1999" s="13" t="n">
        <v>3681062</v>
      </c>
      <c r="E1999" s="6" t="n">
        <f>SUM(C1999,D1999)/2</f>
        <v>2992733</v>
      </c>
      <c r="F1999" s="12" t="n">
        <v>247635</v>
      </c>
      <c r="G1999" s="12" t="n">
        <v>422598</v>
      </c>
      <c r="H1999" s="6" t="n">
        <f>SUM(F1999,G1999)/2</f>
        <v>335116.5</v>
      </c>
    </row>
    <row r="2000" s="18" customFormat="1" ht="14.399999999999999" customHeight="1">
      <c r="A2000" s="10" t="s">
        <v>3155</v>
      </c>
      <c r="B2000" s="10" t="s">
        <v>3156</v>
      </c>
      <c r="C2000" s="13" t="n">
        <v>136830</v>
      </c>
      <c r="D2000" s="13" t="n">
        <v>218572</v>
      </c>
      <c r="E2000" s="6" t="n">
        <f>SUM(C2000,D2000)/2</f>
        <v>177701</v>
      </c>
      <c r="F2000" s="12" t="n">
        <v>22144</v>
      </c>
      <c r="G2000" s="12" t="n">
        <v>34286</v>
      </c>
      <c r="H2000" s="6" t="n">
        <f>SUM(F2000,G2000)/2</f>
        <v>28215</v>
      </c>
    </row>
    <row r="2001" s="18" customFormat="1" ht="14.399999999999999" customHeight="1">
      <c r="A2001" s="10" t="s">
        <v>3249</v>
      </c>
      <c r="B2001" s="10" t="s">
        <v>3250</v>
      </c>
      <c r="C2001" s="13" t="n">
        <v>89950</v>
      </c>
      <c r="D2001" s="13" t="n">
        <v>143686</v>
      </c>
      <c r="E2001" s="6" t="n">
        <f>SUM(C2001,D2001)/2</f>
        <v>116818</v>
      </c>
      <c r="F2001" s="12" t="n">
        <v>26911</v>
      </c>
      <c r="G2001" s="12" t="n">
        <v>38395</v>
      </c>
      <c r="H2001" s="6" t="n">
        <f>SUM(F2001,G2001)/2</f>
        <v>32653</v>
      </c>
    </row>
    <row r="2002" s="18" customFormat="1" ht="14.399999999999999" customHeight="1">
      <c r="A2002" s="10" t="s">
        <v>2260</v>
      </c>
      <c r="B2002" s="10" t="s">
        <v>2261</v>
      </c>
      <c r="C2002" s="10" t="n">
        <v>7</v>
      </c>
      <c r="D2002" s="10" t="n">
        <v>11</v>
      </c>
      <c r="E2002" s="6" t="n">
        <f>SUM(C2002,D2002)/2</f>
        <v>9</v>
      </c>
      <c r="F2002" s="18" t="n">
        <v>4</v>
      </c>
      <c r="G2002" s="18" t="n">
        <v>5</v>
      </c>
      <c r="H2002" s="6" t="n">
        <f>SUM(F2002,G2002)/2</f>
        <v>4.5</v>
      </c>
    </row>
    <row r="2003" s="18" customFormat="1" ht="14.399999999999999" customHeight="1">
      <c r="A2003" s="10" t="s">
        <v>2186</v>
      </c>
      <c r="B2003" s="10" t="s">
        <v>2187</v>
      </c>
      <c r="C2003" s="10" t="n">
        <v>133</v>
      </c>
      <c r="D2003" s="10" t="n">
        <v>211</v>
      </c>
      <c r="E2003" s="6" t="n">
        <f>SUM(C2003,D2003)/2</f>
        <v>172</v>
      </c>
      <c r="F2003" s="18" t="n">
        <v>66</v>
      </c>
      <c r="G2003" s="18" t="n">
        <v>84</v>
      </c>
      <c r="H2003" s="6" t="n">
        <f>SUM(F2003,G2003)/2</f>
        <v>75</v>
      </c>
    </row>
    <row r="2004" s="18" customFormat="1" ht="14.399999999999999" customHeight="1">
      <c r="A2004" s="10" t="s">
        <v>4327</v>
      </c>
      <c r="B2004" s="10" t="s">
        <v>4328</v>
      </c>
      <c r="C2004" s="13" t="n">
        <v>17576</v>
      </c>
      <c r="D2004" s="13" t="n">
        <v>28076</v>
      </c>
      <c r="E2004" s="6" t="n">
        <f>SUM(C2004,D2004)/2</f>
        <v>22826</v>
      </c>
      <c r="F2004" s="12" t="n">
        <v>11949</v>
      </c>
      <c r="G2004" s="12" t="n">
        <v>14382</v>
      </c>
      <c r="H2004" s="6" t="n">
        <f>SUM(F2004,G2004)/2</f>
        <v>13165.5</v>
      </c>
    </row>
    <row r="2005" s="18" customFormat="1" ht="14.399999999999999" customHeight="1">
      <c r="A2005" s="10" t="s">
        <v>2047</v>
      </c>
      <c r="B2005" s="10" t="s">
        <v>2048</v>
      </c>
      <c r="C2005" s="10" t="n">
        <v>3</v>
      </c>
      <c r="D2005" s="10" t="n">
        <v>3</v>
      </c>
      <c r="E2005" s="6" t="n">
        <f>SUM(C2005,D2005)/2</f>
        <v>3</v>
      </c>
      <c r="F2005" s="18" t="n">
        <v>9</v>
      </c>
      <c r="G2005" s="18" t="n">
        <v>12</v>
      </c>
      <c r="H2005" s="6" t="n">
        <f>SUM(F2005,G2005)/2</f>
        <v>10.5</v>
      </c>
    </row>
    <row r="2006" s="18" customFormat="1" ht="14.399999999999999" customHeight="1">
      <c r="A2006" s="10" t="s">
        <v>1655</v>
      </c>
      <c r="B2006" s="10" t="s">
        <v>1656</v>
      </c>
      <c r="C2006" s="10" t="n">
        <v>80</v>
      </c>
      <c r="D2006" s="10" t="n">
        <v>128</v>
      </c>
      <c r="E2006" s="6" t="n">
        <f>SUM(C2006,D2006)/2</f>
        <v>104</v>
      </c>
      <c r="F2006" s="18" t="n">
        <v>18</v>
      </c>
      <c r="G2006" s="18" t="n">
        <v>23</v>
      </c>
      <c r="H2006" s="6" t="n">
        <f>SUM(F2006,G2006)/2</f>
        <v>20.5</v>
      </c>
    </row>
    <row r="2007" s="18" customFormat="1" ht="14.399999999999999" customHeight="1">
      <c r="A2007" s="10" t="s">
        <v>4689</v>
      </c>
      <c r="B2007" s="10" t="s">
        <v>4690</v>
      </c>
      <c r="C2007" s="13" t="n">
        <v>5773</v>
      </c>
      <c r="D2007" s="13" t="n">
        <v>9223</v>
      </c>
      <c r="E2007" s="6" t="n">
        <f>SUM(C2007,D2007)/2</f>
        <v>7498</v>
      </c>
      <c r="F2007" s="12" t="n">
        <v>8991</v>
      </c>
      <c r="G2007" s="12" t="n">
        <v>13789</v>
      </c>
      <c r="H2007" s="6" t="n">
        <f>SUM(F2007,G2007)/2</f>
        <v>11390</v>
      </c>
    </row>
    <row r="2008" s="18" customFormat="1" ht="14.399999999999999" customHeight="1">
      <c r="A2008" s="10" t="s">
        <v>2807</v>
      </c>
      <c r="B2008" s="10" t="s">
        <v>2808</v>
      </c>
      <c r="C2008" s="10" t="n">
        <v>1</v>
      </c>
      <c r="D2008" s="10" t="n">
        <v>1</v>
      </c>
      <c r="E2008" s="6" t="n">
        <f>SUM(C2008,D2008)/2</f>
        <v>1</v>
      </c>
      <c r="F2008" s="18" t="n">
        <v>0</v>
      </c>
      <c r="G2008" s="18" t="n">
        <v>0</v>
      </c>
      <c r="H2008" s="6" t="n">
        <f>SUM(F2008,G2008)/2</f>
        <v>0</v>
      </c>
    </row>
    <row r="2009" s="18" customFormat="1" ht="14.399999999999999" customHeight="1">
      <c r="A2009" s="10" t="s">
        <v>2664</v>
      </c>
      <c r="B2009" s="10" t="s">
        <v>2665</v>
      </c>
      <c r="C2009" s="10" t="n">
        <v>4</v>
      </c>
      <c r="D2009" s="10" t="n">
        <v>6</v>
      </c>
      <c r="E2009" s="6" t="n">
        <f>SUM(C2009,D2009)/2</f>
        <v>5</v>
      </c>
      <c r="F2009" s="18" t="n">
        <v>0</v>
      </c>
      <c r="G2009" s="18" t="n">
        <v>0</v>
      </c>
      <c r="H2009" s="6" t="n">
        <f>SUM(F2009,G2009)/2</f>
        <v>0</v>
      </c>
    </row>
    <row r="2010" s="18" customFormat="1" ht="14.399999999999999" customHeight="1">
      <c r="A2010" s="10" t="s">
        <v>4117</v>
      </c>
      <c r="B2010" s="10" t="s">
        <v>4118</v>
      </c>
      <c r="C2010" s="13" t="n">
        <v>50670</v>
      </c>
      <c r="D2010" s="13" t="n">
        <v>80938</v>
      </c>
      <c r="E2010" s="6" t="n">
        <f>SUM(C2010,D2010)/2</f>
        <v>65804</v>
      </c>
      <c r="F2010" s="12" t="n">
        <v>6325</v>
      </c>
      <c r="G2010" s="12" t="n">
        <v>9470</v>
      </c>
      <c r="H2010" s="6" t="n">
        <f>SUM(F2010,G2010)/2</f>
        <v>7897.5</v>
      </c>
    </row>
    <row r="2011" s="18" customFormat="1" ht="14.399999999999999" customHeight="1">
      <c r="A2011" s="10" t="s">
        <v>1348</v>
      </c>
      <c r="B2011" s="10" t="s">
        <v>1349</v>
      </c>
      <c r="C2011" s="10" t="n">
        <v>23</v>
      </c>
      <c r="D2011" s="10" t="n">
        <v>37</v>
      </c>
      <c r="E2011" s="6" t="n">
        <f>SUM(C2011,D2011)/2</f>
        <v>30</v>
      </c>
      <c r="F2011" s="18" t="n">
        <v>49</v>
      </c>
      <c r="G2011" s="18" t="n">
        <v>67</v>
      </c>
      <c r="H2011" s="6" t="n">
        <f>SUM(F2011,G2011)/2</f>
        <v>58</v>
      </c>
    </row>
    <row r="2012" s="18" customFormat="1" ht="14.399999999999999" customHeight="1">
      <c r="A2012" s="10" t="s">
        <v>2432</v>
      </c>
      <c r="B2012" s="10" t="s">
        <v>2433</v>
      </c>
      <c r="C2012" s="10" t="n">
        <v>5</v>
      </c>
      <c r="D2012" s="10" t="n">
        <v>9</v>
      </c>
      <c r="E2012" s="6" t="n">
        <f>SUM(C2012,D2012)/2</f>
        <v>7</v>
      </c>
      <c r="F2012" s="18" t="n">
        <v>2</v>
      </c>
      <c r="G2012" s="18" t="n">
        <v>3</v>
      </c>
      <c r="H2012" s="6" t="n">
        <f>SUM(F2012,G2012)/2</f>
        <v>2.5</v>
      </c>
    </row>
    <row r="2013" s="18" customFormat="1" ht="14.399999999999999" customHeight="1">
      <c r="A2013" s="10" t="s">
        <v>1258</v>
      </c>
      <c r="B2013" s="10" t="s">
        <v>1259</v>
      </c>
      <c r="C2013" s="13" t="n">
        <v>71733</v>
      </c>
      <c r="D2013" s="13" t="n">
        <v>114587</v>
      </c>
      <c r="E2013" s="6" t="n">
        <f>SUM(C2013,D2013)/2</f>
        <v>93160</v>
      </c>
      <c r="F2013" s="12" t="n">
        <v>49184</v>
      </c>
      <c r="G2013" s="12" t="n">
        <v>72043</v>
      </c>
      <c r="H2013" s="6" t="n">
        <f>SUM(F2013,G2013)/2</f>
        <v>60613.5</v>
      </c>
    </row>
    <row r="2014" s="18" customFormat="1" ht="14.399999999999999" customHeight="1">
      <c r="A2014" s="10" t="s">
        <v>3245</v>
      </c>
      <c r="B2014" s="10" t="s">
        <v>3246</v>
      </c>
      <c r="C2014" s="13" t="n">
        <v>93881</v>
      </c>
      <c r="D2014" s="13" t="n">
        <v>149965</v>
      </c>
      <c r="E2014" s="6" t="n">
        <f>SUM(C2014,D2014)/2</f>
        <v>121923</v>
      </c>
      <c r="F2014" s="12" t="n">
        <v>24744</v>
      </c>
      <c r="G2014" s="12" t="n">
        <v>38713</v>
      </c>
      <c r="H2014" s="6" t="n">
        <f>SUM(F2014,G2014)/2</f>
        <v>31728.5</v>
      </c>
    </row>
    <row r="2015" s="18" customFormat="1" ht="14.399999999999999" customHeight="1">
      <c r="A2015" s="10" t="s">
        <v>420</v>
      </c>
      <c r="B2015" s="10" t="s">
        <v>421</v>
      </c>
      <c r="C2015" s="13" t="n">
        <v>1228</v>
      </c>
      <c r="D2015" s="13" t="n">
        <v>1962</v>
      </c>
      <c r="E2015" s="6" t="n">
        <f>SUM(C2015,D2015)/2</f>
        <v>1595</v>
      </c>
      <c r="F2015" s="18" t="n">
        <v>3</v>
      </c>
      <c r="G2015" s="18" t="n">
        <v>4</v>
      </c>
      <c r="H2015" s="6" t="n">
        <f>SUM(F2015,G2015)/2</f>
        <v>3.5</v>
      </c>
    </row>
    <row r="2016" s="18" customFormat="1" ht="14.399999999999999" customHeight="1">
      <c r="A2016" s="10" t="s">
        <v>4947</v>
      </c>
      <c r="B2016" s="10" t="s">
        <v>4948</v>
      </c>
      <c r="C2016" s="13" t="n">
        <v>12834</v>
      </c>
      <c r="D2016" s="13" t="n">
        <v>20500</v>
      </c>
      <c r="E2016" s="6" t="n">
        <f>SUM(C2016,D2016)/2</f>
        <v>16667</v>
      </c>
      <c r="F2016" s="12" t="n">
        <v>6242</v>
      </c>
      <c r="G2016" s="12" t="n">
        <v>7173</v>
      </c>
      <c r="H2016" s="6" t="n">
        <f>SUM(F2016,G2016)/2</f>
        <v>6707.5</v>
      </c>
    </row>
    <row r="2017" s="18" customFormat="1" ht="14.399999999999999" customHeight="1">
      <c r="A2017" s="10" t="s">
        <v>887</v>
      </c>
      <c r="B2017" s="10" t="s">
        <v>888</v>
      </c>
      <c r="C2017" s="13" t="n">
        <v>396404</v>
      </c>
      <c r="D2017" s="13" t="n">
        <v>633220</v>
      </c>
      <c r="E2017" s="6" t="n">
        <f>SUM(C2017,D2017)/2</f>
        <v>514812</v>
      </c>
      <c r="F2017" s="12" t="n">
        <v>228521</v>
      </c>
      <c r="G2017" s="12" t="n">
        <v>351338</v>
      </c>
      <c r="H2017" s="6" t="n">
        <f>SUM(F2017,G2017)/2</f>
        <v>289929.5</v>
      </c>
    </row>
    <row r="2018" s="18" customFormat="1" ht="14.399999999999999" customHeight="1">
      <c r="A2018" s="10" t="s">
        <v>4377</v>
      </c>
      <c r="B2018" s="10" t="s">
        <v>4378</v>
      </c>
      <c r="C2018" s="13" t="n">
        <v>33536</v>
      </c>
      <c r="D2018" s="13" t="n">
        <v>53570</v>
      </c>
      <c r="E2018" s="6" t="n">
        <f>SUM(C2018,D2018)/2</f>
        <v>43553</v>
      </c>
      <c r="F2018" s="12" t="n">
        <v>6955</v>
      </c>
      <c r="G2018" s="12" t="n">
        <v>8737</v>
      </c>
      <c r="H2018" s="6" t="n">
        <f>SUM(F2018,G2018)/2</f>
        <v>7846</v>
      </c>
    </row>
    <row r="2019" s="18" customFormat="1" ht="14.399999999999999" customHeight="1">
      <c r="A2019" s="10" t="s">
        <v>1639</v>
      </c>
      <c r="B2019" s="10" t="s">
        <v>1640</v>
      </c>
      <c r="C2019" s="10" t="n">
        <v>131</v>
      </c>
      <c r="D2019" s="10" t="n">
        <v>209</v>
      </c>
      <c r="E2019" s="6" t="n">
        <f>SUM(C2019,D2019)/2</f>
        <v>170</v>
      </c>
      <c r="F2019" s="18" t="n">
        <v>7</v>
      </c>
      <c r="G2019" s="18" t="n">
        <v>10</v>
      </c>
      <c r="H2019" s="6" t="n">
        <f>SUM(F2019,G2019)/2</f>
        <v>8.5</v>
      </c>
    </row>
    <row r="2020" s="18" customFormat="1" ht="14.399999999999999" customHeight="1">
      <c r="A2020" s="10" t="s">
        <v>2059</v>
      </c>
      <c r="B2020" s="10" t="s">
        <v>2060</v>
      </c>
      <c r="C2020" s="10" t="n">
        <v>27</v>
      </c>
      <c r="D2020" s="10" t="n">
        <v>41</v>
      </c>
      <c r="E2020" s="6" t="n">
        <f>SUM(C2020,D2020)/2</f>
        <v>34</v>
      </c>
      <c r="F2020" s="18" t="n">
        <v>3</v>
      </c>
      <c r="G2020" s="18" t="n">
        <v>4</v>
      </c>
      <c r="H2020" s="6" t="n">
        <f>SUM(F2020,G2020)/2</f>
        <v>3.5</v>
      </c>
    </row>
    <row r="2021" s="18" customFormat="1" ht="14.399999999999999" customHeight="1">
      <c r="A2021" s="10" t="s">
        <v>2039</v>
      </c>
      <c r="B2021" s="10" t="s">
        <v>2040</v>
      </c>
      <c r="C2021" s="13" t="n">
        <v>355567</v>
      </c>
      <c r="D2021" s="13" t="n">
        <v>567981</v>
      </c>
      <c r="E2021" s="6" t="n">
        <f>SUM(C2021,D2021)/2</f>
        <v>461774</v>
      </c>
      <c r="F2021" s="12" t="n">
        <v>13691</v>
      </c>
      <c r="G2021" s="12" t="n">
        <v>19164</v>
      </c>
      <c r="H2021" s="6" t="n">
        <f>SUM(F2021,G2021)/2</f>
        <v>16427.5</v>
      </c>
    </row>
    <row r="2022" s="18" customFormat="1" ht="14.399999999999999" customHeight="1">
      <c r="A2022" s="10" t="s">
        <v>6554</v>
      </c>
      <c r="B2022" s="10" t="s">
        <v>6555</v>
      </c>
      <c r="C2022" s="10" t="n">
        <v>0</v>
      </c>
      <c r="D2022" s="10" t="n">
        <v>0</v>
      </c>
      <c r="E2022" s="6" t="n">
        <f>SUM(C2022,D2022)/2</f>
        <v>0</v>
      </c>
      <c r="F2022" s="18" t="n">
        <v>0</v>
      </c>
      <c r="G2022" s="18" t="n">
        <v>0</v>
      </c>
      <c r="H2022" s="6" t="n">
        <f>SUM(F2022,G2022)/2</f>
        <v>0</v>
      </c>
    </row>
    <row r="2023" s="18" customFormat="1" ht="14.399999999999999" customHeight="1">
      <c r="A2023" s="10" t="s">
        <v>1032</v>
      </c>
      <c r="B2023" s="10" t="s">
        <v>1033</v>
      </c>
      <c r="C2023" s="13" t="n">
        <v>5806</v>
      </c>
      <c r="D2023" s="13" t="n">
        <v>9272</v>
      </c>
      <c r="E2023" s="6" t="n">
        <f>SUM(C2023,D2023)/2</f>
        <v>7539</v>
      </c>
      <c r="F2023" s="12" t="n">
        <v>1209</v>
      </c>
      <c r="G2023" s="12" t="n">
        <v>1774</v>
      </c>
      <c r="H2023" s="6" t="n">
        <f>SUM(F2023,G2023)/2</f>
        <v>1491.5</v>
      </c>
    </row>
    <row r="2024" s="18" customFormat="1" ht="14.399999999999999" customHeight="1">
      <c r="A2024" s="10" t="s">
        <v>4917</v>
      </c>
      <c r="B2024" s="10" t="s">
        <v>4918</v>
      </c>
      <c r="C2024" s="13" t="n">
        <v>19456</v>
      </c>
      <c r="D2024" s="13" t="n">
        <v>31076</v>
      </c>
      <c r="E2024" s="6" t="n">
        <f>SUM(C2024,D2024)/2</f>
        <v>25266</v>
      </c>
      <c r="F2024" s="12" t="n">
        <v>4473</v>
      </c>
      <c r="G2024" s="12" t="n">
        <v>6124</v>
      </c>
      <c r="H2024" s="6" t="n">
        <f>SUM(F2024,G2024)/2</f>
        <v>5298.5</v>
      </c>
    </row>
    <row r="2025" s="18" customFormat="1" ht="14.399999999999999" customHeight="1">
      <c r="A2025" s="10" t="s">
        <v>1835</v>
      </c>
      <c r="B2025" s="10" t="s">
        <v>1836</v>
      </c>
      <c r="C2025" s="10" t="n">
        <v>27</v>
      </c>
      <c r="D2025" s="10" t="n">
        <v>43</v>
      </c>
      <c r="E2025" s="6" t="n">
        <f>SUM(C2025,D2025)/2</f>
        <v>35</v>
      </c>
      <c r="F2025" s="18" t="n">
        <v>11</v>
      </c>
      <c r="G2025" s="18" t="n">
        <v>15</v>
      </c>
      <c r="H2025" s="6" t="n">
        <f>SUM(F2025,G2025)/2</f>
        <v>13</v>
      </c>
    </row>
    <row r="2026" s="18" customFormat="1" ht="14.399999999999999" customHeight="1">
      <c r="A2026" s="10" t="s">
        <v>1643</v>
      </c>
      <c r="B2026" s="10" t="s">
        <v>1644</v>
      </c>
      <c r="C2026" s="10" t="n">
        <v>69</v>
      </c>
      <c r="D2026" s="10" t="n">
        <v>110</v>
      </c>
      <c r="E2026" s="6" t="n">
        <f>SUM(C2026,D2026)/2</f>
        <v>89.5</v>
      </c>
      <c r="F2026" s="18" t="n">
        <v>19</v>
      </c>
      <c r="G2026" s="18" t="n">
        <v>31</v>
      </c>
      <c r="H2026" s="6" t="n">
        <f>SUM(F2026,G2026)/2</f>
        <v>25</v>
      </c>
    </row>
    <row r="2027" s="18" customFormat="1" ht="14.399999999999999" customHeight="1">
      <c r="A2027" s="10" t="s">
        <v>2769</v>
      </c>
      <c r="B2027" s="10" t="s">
        <v>2770</v>
      </c>
      <c r="C2027" s="10" t="n">
        <v>2</v>
      </c>
      <c r="D2027" s="10" t="n">
        <v>2</v>
      </c>
      <c r="E2027" s="6" t="n">
        <f>SUM(C2027,D2027)/2</f>
        <v>2</v>
      </c>
      <c r="F2027" s="18" t="n">
        <v>0</v>
      </c>
      <c r="G2027" s="18" t="n">
        <v>0</v>
      </c>
      <c r="H2027" s="6" t="n">
        <f>SUM(F2027,G2027)/2</f>
        <v>0</v>
      </c>
    </row>
    <row r="2028" s="18" customFormat="1" ht="14.399999999999999" customHeight="1">
      <c r="A2028" s="10" t="s">
        <v>6556</v>
      </c>
      <c r="B2028" s="10" t="s">
        <v>6557</v>
      </c>
      <c r="C2028" s="10" t="n">
        <v>2</v>
      </c>
      <c r="D2028" s="10" t="n">
        <v>4</v>
      </c>
      <c r="E2028" s="6" t="n">
        <f>SUM(C2028,D2028)/2</f>
        <v>3</v>
      </c>
      <c r="F2028" s="18" t="n">
        <v>0</v>
      </c>
      <c r="G2028" s="18" t="n">
        <v>0</v>
      </c>
      <c r="H2028" s="6" t="n">
        <f>SUM(F2028,G2028)/2</f>
        <v>0</v>
      </c>
    </row>
    <row r="2029" s="18" customFormat="1" ht="14.399999999999999" customHeight="1">
      <c r="A2029" s="10" t="s">
        <v>6558</v>
      </c>
      <c r="B2029" s="10" t="s">
        <v>6559</v>
      </c>
      <c r="C2029" s="13" t="n">
        <v>13428</v>
      </c>
      <c r="D2029" s="13" t="n">
        <v>21450</v>
      </c>
      <c r="E2029" s="6" t="n">
        <f>SUM(C2029,D2029)/2</f>
        <v>17439</v>
      </c>
      <c r="F2029" s="18" t="n">
        <v>405</v>
      </c>
      <c r="G2029" s="18" t="n">
        <v>481</v>
      </c>
      <c r="H2029" s="6" t="n">
        <f>SUM(F2029,G2029)/2</f>
        <v>443</v>
      </c>
    </row>
    <row r="2030" s="18" customFormat="1" ht="14.399999999999999" customHeight="1">
      <c r="A2030" s="10" t="s">
        <v>6560</v>
      </c>
      <c r="B2030" s="10" t="s">
        <v>6561</v>
      </c>
      <c r="C2030" s="13" t="n">
        <v>21520</v>
      </c>
      <c r="D2030" s="13" t="n">
        <v>34376</v>
      </c>
      <c r="E2030" s="6" t="n">
        <f>SUM(C2030,D2030)/2</f>
        <v>27948</v>
      </c>
      <c r="F2030" s="18" t="n">
        <v>6010</v>
      </c>
      <c r="G2030" s="18" t="n">
        <v>8522</v>
      </c>
      <c r="H2030" s="6" t="n">
        <f>SUM(F2030,G2030)/2</f>
        <v>7266</v>
      </c>
    </row>
    <row r="2031" s="18" customFormat="1" ht="14.399999999999999" customHeight="1">
      <c r="A2031" s="10" t="s">
        <v>4237</v>
      </c>
      <c r="B2031" s="10" t="s">
        <v>4238</v>
      </c>
      <c r="C2031" s="13" t="n">
        <v>39077</v>
      </c>
      <c r="D2031" s="13" t="n">
        <v>62421</v>
      </c>
      <c r="E2031" s="6" t="n">
        <f>SUM(C2031,D2031)/2</f>
        <v>50749</v>
      </c>
      <c r="F2031" s="12" t="n">
        <v>7543</v>
      </c>
      <c r="G2031" s="12" t="n">
        <v>9994</v>
      </c>
      <c r="H2031" s="6" t="n">
        <f>SUM(F2031,G2031)/2</f>
        <v>8768.5</v>
      </c>
    </row>
    <row r="2032" s="18" customFormat="1" ht="14.399999999999999" customHeight="1">
      <c r="A2032" s="10" t="s">
        <v>668</v>
      </c>
      <c r="B2032" s="10" t="s">
        <v>669</v>
      </c>
      <c r="C2032" s="10" t="n">
        <v>413</v>
      </c>
      <c r="D2032" s="10" t="n">
        <v>661</v>
      </c>
      <c r="E2032" s="6" t="n">
        <f>SUM(C2032,D2032)/2</f>
        <v>537</v>
      </c>
      <c r="F2032" s="18" t="n">
        <v>167</v>
      </c>
      <c r="G2032" s="18" t="n">
        <v>197</v>
      </c>
      <c r="H2032" s="6" t="n">
        <f>SUM(F2032,G2032)/2</f>
        <v>182</v>
      </c>
    </row>
    <row r="2033" s="18" customFormat="1" ht="14.399999999999999" customHeight="1">
      <c r="A2033" s="10" t="s">
        <v>1482</v>
      </c>
      <c r="B2033" s="10" t="s">
        <v>1483</v>
      </c>
      <c r="C2033" s="10" t="n">
        <v>49</v>
      </c>
      <c r="D2033" s="10" t="n">
        <v>81</v>
      </c>
      <c r="E2033" s="6" t="n">
        <f>SUM(C2033,D2033)/2</f>
        <v>65</v>
      </c>
      <c r="F2033" s="18" t="n">
        <v>13</v>
      </c>
      <c r="G2033" s="18" t="n">
        <v>20</v>
      </c>
      <c r="H2033" s="6" t="n">
        <f>SUM(F2033,G2033)/2</f>
        <v>16.5</v>
      </c>
    </row>
    <row r="2034" s="18" customFormat="1" ht="14.399999999999999" customHeight="1">
      <c r="A2034" s="10" t="s">
        <v>776</v>
      </c>
      <c r="B2034" s="10" t="s">
        <v>777</v>
      </c>
      <c r="C2034" s="13" t="n">
        <v>1895889</v>
      </c>
      <c r="D2034" s="13" t="n">
        <v>3028497</v>
      </c>
      <c r="E2034" s="6" t="n">
        <f>SUM(C2034,D2034)/2</f>
        <v>2462193</v>
      </c>
      <c r="F2034" s="12" t="n">
        <v>139023</v>
      </c>
      <c r="G2034" s="12" t="n">
        <v>202456</v>
      </c>
      <c r="H2034" s="6" t="n">
        <f>SUM(F2034,G2034)/2</f>
        <v>170739.5</v>
      </c>
    </row>
    <row r="2035" s="18" customFormat="1" ht="14.399999999999999" customHeight="1">
      <c r="A2035" s="10" t="s">
        <v>2943</v>
      </c>
      <c r="B2035" s="10" t="s">
        <v>2944</v>
      </c>
      <c r="C2035" s="10" t="n">
        <v>0</v>
      </c>
      <c r="D2035" s="10" t="n">
        <v>0</v>
      </c>
      <c r="E2035" s="6" t="n">
        <f>SUM(C2035,D2035)/2</f>
        <v>0</v>
      </c>
      <c r="F2035" s="18" t="n">
        <v>0</v>
      </c>
      <c r="G2035" s="18" t="n">
        <v>0</v>
      </c>
      <c r="H2035" s="6" t="n">
        <f>SUM(F2035,G2035)/2</f>
        <v>0</v>
      </c>
    </row>
    <row r="2036" s="18" customFormat="1" ht="14.399999999999999" customHeight="1">
      <c r="A2036" s="10" t="s">
        <v>2809</v>
      </c>
      <c r="B2036" s="10" t="s">
        <v>2810</v>
      </c>
      <c r="C2036" s="10" t="n">
        <v>1</v>
      </c>
      <c r="D2036" s="10" t="n">
        <v>1</v>
      </c>
      <c r="E2036" s="6" t="n">
        <f>SUM(C2036,D2036)/2</f>
        <v>1</v>
      </c>
      <c r="F2036" s="18" t="n">
        <v>0</v>
      </c>
      <c r="G2036" s="18" t="n">
        <v>0</v>
      </c>
      <c r="H2036" s="6" t="n">
        <f>SUM(F2036,G2036)/2</f>
        <v>0</v>
      </c>
    </row>
    <row r="2037" s="18" customFormat="1" ht="14.399999999999999" customHeight="1">
      <c r="A2037" s="10" t="s">
        <v>1274</v>
      </c>
      <c r="B2037" s="10" t="s">
        <v>1275</v>
      </c>
      <c r="C2037" s="13" t="n">
        <v>70703</v>
      </c>
      <c r="D2037" s="13" t="n">
        <v>112939</v>
      </c>
      <c r="E2037" s="6" t="n">
        <f>SUM(C2037,D2037)/2</f>
        <v>91821</v>
      </c>
      <c r="F2037" s="12" t="n">
        <v>45967</v>
      </c>
      <c r="G2037" s="12" t="n">
        <v>67963</v>
      </c>
      <c r="H2037" s="6" t="n">
        <f>SUM(F2037,G2037)/2</f>
        <v>56965</v>
      </c>
    </row>
    <row r="2038" s="18" customFormat="1" ht="14.399999999999999" customHeight="1">
      <c r="A2038" s="10" t="s">
        <v>4123</v>
      </c>
      <c r="B2038" s="10" t="s">
        <v>4124</v>
      </c>
      <c r="C2038" s="13" t="n">
        <v>27749</v>
      </c>
      <c r="D2038" s="13" t="n">
        <v>44329</v>
      </c>
      <c r="E2038" s="6" t="n">
        <f>SUM(C2038,D2038)/2</f>
        <v>36039</v>
      </c>
      <c r="F2038" s="12" t="n">
        <v>11171</v>
      </c>
      <c r="G2038" s="12" t="n">
        <v>16897</v>
      </c>
      <c r="H2038" s="6" t="n">
        <f>SUM(F2038,G2038)/2</f>
        <v>14034</v>
      </c>
    </row>
    <row r="2039" s="18" customFormat="1" ht="14.399999999999999" customHeight="1">
      <c r="A2039" s="10" t="s">
        <v>2628</v>
      </c>
      <c r="B2039" s="10" t="s">
        <v>2629</v>
      </c>
      <c r="C2039" s="10" t="n">
        <v>6</v>
      </c>
      <c r="D2039" s="10" t="n">
        <v>6</v>
      </c>
      <c r="E2039" s="6" t="n">
        <f>SUM(C2039,D2039)/2</f>
        <v>6</v>
      </c>
      <c r="F2039" s="18" t="n">
        <v>0</v>
      </c>
      <c r="G2039" s="18" t="n">
        <v>0</v>
      </c>
      <c r="H2039" s="6" t="n">
        <f>SUM(F2039,G2039)/2</f>
        <v>0</v>
      </c>
    </row>
    <row r="2040" s="18" customFormat="1" ht="14.399999999999999" customHeight="1">
      <c r="A2040" s="10" t="s">
        <v>2466</v>
      </c>
      <c r="B2040" s="10" t="s">
        <v>2467</v>
      </c>
      <c r="C2040" s="10" t="n">
        <v>0</v>
      </c>
      <c r="D2040" s="10" t="n">
        <v>0</v>
      </c>
      <c r="E2040" s="6" t="n">
        <f>SUM(C2040,D2040)/2</f>
        <v>0</v>
      </c>
      <c r="F2040" s="18" t="n">
        <v>3</v>
      </c>
      <c r="G2040" s="18" t="n">
        <v>4</v>
      </c>
      <c r="H2040" s="6" t="n">
        <f>SUM(F2040,G2040)/2</f>
        <v>3.5</v>
      </c>
    </row>
    <row r="2041" s="18" customFormat="1" ht="14.399999999999999" customHeight="1">
      <c r="A2041" s="10" t="s">
        <v>3583</v>
      </c>
      <c r="B2041" s="10" t="s">
        <v>3584</v>
      </c>
      <c r="C2041" s="13" t="n">
        <v>61661</v>
      </c>
      <c r="D2041" s="13" t="n">
        <v>98497</v>
      </c>
      <c r="E2041" s="6" t="n">
        <f>SUM(C2041,D2041)/2</f>
        <v>80079</v>
      </c>
      <c r="F2041" s="12" t="n">
        <v>17086</v>
      </c>
      <c r="G2041" s="12" t="n">
        <v>25942</v>
      </c>
      <c r="H2041" s="6" t="n">
        <f>SUM(F2041,G2041)/2</f>
        <v>21514</v>
      </c>
    </row>
    <row r="2042" s="18" customFormat="1" ht="14.399999999999999" customHeight="1">
      <c r="A2042" s="10" t="s">
        <v>6562</v>
      </c>
      <c r="B2042" s="10" t="s">
        <v>6563</v>
      </c>
      <c r="C2042" s="13" t="n">
        <v>8860</v>
      </c>
      <c r="D2042" s="13" t="n">
        <v>14152</v>
      </c>
      <c r="E2042" s="6" t="n">
        <f>SUM(C2042,D2042)/2</f>
        <v>11506</v>
      </c>
      <c r="F2042" s="12" t="n">
        <v>13397</v>
      </c>
      <c r="G2042" s="12" t="n">
        <v>18200</v>
      </c>
      <c r="H2042" s="6" t="n">
        <f>SUM(F2042,G2042)/2</f>
        <v>15798.5</v>
      </c>
    </row>
    <row r="2043" s="18" customFormat="1" ht="14.399999999999999" customHeight="1">
      <c r="A2043" s="10" t="s">
        <v>3687</v>
      </c>
      <c r="B2043" s="10" t="s">
        <v>3688</v>
      </c>
      <c r="C2043" s="13" t="n">
        <v>50883</v>
      </c>
      <c r="D2043" s="13" t="n">
        <v>81282</v>
      </c>
      <c r="E2043" s="6" t="n">
        <f>SUM(C2043,D2043)/2</f>
        <v>66082.5</v>
      </c>
      <c r="F2043" s="12" t="n">
        <v>17718</v>
      </c>
      <c r="G2043" s="12" t="n">
        <v>23768</v>
      </c>
      <c r="H2043" s="6" t="n">
        <f>SUM(F2043,G2043)/2</f>
        <v>20743</v>
      </c>
    </row>
    <row r="2044" s="18" customFormat="1" ht="14.399999999999999" customHeight="1">
      <c r="A2044" s="10" t="s">
        <v>2945</v>
      </c>
      <c r="B2044" s="10" t="s">
        <v>2946</v>
      </c>
      <c r="C2044" s="10" t="n">
        <v>0</v>
      </c>
      <c r="D2044" s="10" t="n">
        <v>0</v>
      </c>
      <c r="E2044" s="6" t="n">
        <f>SUM(C2044,D2044)/2</f>
        <v>0</v>
      </c>
      <c r="F2044" s="18" t="n">
        <v>0</v>
      </c>
      <c r="G2044" s="18" t="n">
        <v>0</v>
      </c>
      <c r="H2044" s="6" t="n">
        <f>SUM(F2044,G2044)/2</f>
        <v>0</v>
      </c>
    </row>
    <row r="2045" s="18" customFormat="1" ht="14.399999999999999" customHeight="1">
      <c r="A2045" s="10" t="s">
        <v>1663</v>
      </c>
      <c r="B2045" s="10" t="s">
        <v>1664</v>
      </c>
      <c r="C2045" s="10" t="n">
        <v>136</v>
      </c>
      <c r="D2045" s="10" t="n">
        <v>216</v>
      </c>
      <c r="E2045" s="6" t="n">
        <f>SUM(C2045,D2045)/2</f>
        <v>176</v>
      </c>
      <c r="F2045" s="18" t="n">
        <v>3</v>
      </c>
      <c r="G2045" s="18" t="n">
        <v>6</v>
      </c>
      <c r="H2045" s="6" t="n">
        <f>SUM(F2045,G2045)/2</f>
        <v>4.5</v>
      </c>
    </row>
    <row r="2046" s="18" customFormat="1" ht="14.399999999999999" customHeight="1">
      <c r="A2046" s="10" t="s">
        <v>4147</v>
      </c>
      <c r="B2046" s="10" t="s">
        <v>4148</v>
      </c>
      <c r="C2046" s="13" t="n">
        <v>24552</v>
      </c>
      <c r="D2046" s="13" t="n">
        <v>39218</v>
      </c>
      <c r="E2046" s="6" t="n">
        <f>SUM(C2046,D2046)/2</f>
        <v>31885</v>
      </c>
      <c r="F2046" s="12" t="n">
        <v>13119</v>
      </c>
      <c r="G2046" s="12" t="n">
        <v>15674</v>
      </c>
      <c r="H2046" s="6" t="n">
        <f>SUM(F2046,G2046)/2</f>
        <v>14396.5</v>
      </c>
    </row>
    <row r="2047" s="18" customFormat="1" ht="14.399999999999999" customHeight="1">
      <c r="A2047" s="10" t="s">
        <v>2544</v>
      </c>
      <c r="B2047" s="10" t="s">
        <v>2545</v>
      </c>
      <c r="C2047" s="10" t="n">
        <v>9</v>
      </c>
      <c r="D2047" s="10" t="n">
        <v>15</v>
      </c>
      <c r="E2047" s="6" t="n">
        <f>SUM(C2047,D2047)/2</f>
        <v>12</v>
      </c>
      <c r="F2047" s="18" t="n">
        <v>0</v>
      </c>
      <c r="G2047" s="18" t="n">
        <v>0</v>
      </c>
      <c r="H2047" s="6" t="n">
        <f>SUM(F2047,G2047)/2</f>
        <v>0</v>
      </c>
    </row>
    <row r="2048" s="18" customFormat="1" ht="14.399999999999999" customHeight="1">
      <c r="A2048" s="10" t="s">
        <v>1290</v>
      </c>
      <c r="B2048" s="10" t="s">
        <v>1291</v>
      </c>
      <c r="C2048" s="13" t="n">
        <v>192160</v>
      </c>
      <c r="D2048" s="13" t="n">
        <v>306958</v>
      </c>
      <c r="E2048" s="6" t="n">
        <f>SUM(C2048,D2048)/2</f>
        <v>249559</v>
      </c>
      <c r="F2048" s="12" t="n">
        <v>18990</v>
      </c>
      <c r="G2048" s="12" t="n">
        <v>27441</v>
      </c>
      <c r="H2048" s="6" t="n">
        <f>SUM(F2048,G2048)/2</f>
        <v>23215.5</v>
      </c>
    </row>
    <row r="2049" s="18" customFormat="1" ht="14.399999999999999" customHeight="1">
      <c r="A2049" s="10" t="s">
        <v>4255</v>
      </c>
      <c r="B2049" s="10" t="s">
        <v>4256</v>
      </c>
      <c r="C2049" s="13" t="n">
        <v>23807</v>
      </c>
      <c r="D2049" s="13" t="n">
        <v>38031</v>
      </c>
      <c r="E2049" s="6" t="n">
        <f>SUM(C2049,D2049)/2</f>
        <v>30919</v>
      </c>
      <c r="F2049" s="12" t="n">
        <v>10330</v>
      </c>
      <c r="G2049" s="12" t="n">
        <v>14864</v>
      </c>
      <c r="H2049" s="6" t="n">
        <f>SUM(F2049,G2049)/2</f>
        <v>12597</v>
      </c>
    </row>
    <row r="2050" s="18" customFormat="1" ht="14.399999999999999" customHeight="1">
      <c r="A2050" s="10" t="s">
        <v>4253</v>
      </c>
      <c r="B2050" s="10" t="s">
        <v>4254</v>
      </c>
      <c r="C2050" s="13" t="n">
        <v>2982</v>
      </c>
      <c r="D2050" s="13" t="n">
        <v>4764</v>
      </c>
      <c r="E2050" s="6" t="n">
        <f>SUM(C2050,D2050)/2</f>
        <v>3873</v>
      </c>
      <c r="F2050" s="12" t="n">
        <v>14871</v>
      </c>
      <c r="G2050" s="12" t="n">
        <v>22034</v>
      </c>
      <c r="H2050" s="6" t="n">
        <f>SUM(F2050,G2050)/2</f>
        <v>18452.5</v>
      </c>
    </row>
    <row r="2051" s="18" customFormat="1" ht="14.399999999999999" customHeight="1">
      <c r="A2051" s="10" t="s">
        <v>6564</v>
      </c>
      <c r="B2051" s="10" t="s">
        <v>6565</v>
      </c>
      <c r="C2051" s="13" t="n">
        <v>26081</v>
      </c>
      <c r="D2051" s="13" t="n">
        <v>41667</v>
      </c>
      <c r="E2051" s="6" t="n">
        <f>SUM(C2051,D2051)/2</f>
        <v>33874</v>
      </c>
      <c r="F2051" s="12" t="n">
        <v>5810</v>
      </c>
      <c r="G2051" s="12" t="n">
        <v>9490</v>
      </c>
      <c r="H2051" s="6" t="n">
        <f>SUM(F2051,G2051)/2</f>
        <v>7650</v>
      </c>
    </row>
    <row r="2052" s="18" customFormat="1" ht="14.399999999999999" customHeight="1">
      <c r="A2052" s="10" t="s">
        <v>3193</v>
      </c>
      <c r="B2052" s="10" t="s">
        <v>3194</v>
      </c>
      <c r="C2052" s="13" t="n">
        <v>102743</v>
      </c>
      <c r="D2052" s="13" t="n">
        <v>164123</v>
      </c>
      <c r="E2052" s="6" t="n">
        <f>SUM(C2052,D2052)/2</f>
        <v>133433</v>
      </c>
      <c r="F2052" s="12" t="n">
        <v>26818</v>
      </c>
      <c r="G2052" s="12" t="n">
        <v>38131</v>
      </c>
      <c r="H2052" s="6" t="n">
        <f>SUM(F2052,G2052)/2</f>
        <v>32474.5</v>
      </c>
    </row>
    <row r="2053" s="18" customFormat="1" ht="14.399999999999999" customHeight="1">
      <c r="A2053" s="10" t="s">
        <v>3539</v>
      </c>
      <c r="B2053" s="10" t="s">
        <v>3540</v>
      </c>
      <c r="C2053" s="13" t="n">
        <v>73818</v>
      </c>
      <c r="D2053" s="13" t="n">
        <v>117916</v>
      </c>
      <c r="E2053" s="6" t="n">
        <f>SUM(C2053,D2053)/2</f>
        <v>95867</v>
      </c>
      <c r="F2053" s="12" t="n">
        <v>17912</v>
      </c>
      <c r="G2053" s="12" t="n">
        <v>23433</v>
      </c>
      <c r="H2053" s="6" t="n">
        <f>SUM(F2053,G2053)/2</f>
        <v>20672.5</v>
      </c>
    </row>
    <row r="2054" s="18" customFormat="1" ht="14.399999999999999" customHeight="1">
      <c r="A2054" s="10" t="s">
        <v>4441</v>
      </c>
      <c r="B2054" s="10" t="s">
        <v>4442</v>
      </c>
      <c r="C2054" s="13" t="n">
        <v>19625</v>
      </c>
      <c r="D2054" s="13" t="n">
        <v>31351</v>
      </c>
      <c r="E2054" s="6" t="n">
        <f>SUM(C2054,D2054)/2</f>
        <v>25488</v>
      </c>
      <c r="F2054" s="12" t="n">
        <v>8560</v>
      </c>
      <c r="G2054" s="12" t="n">
        <v>13244</v>
      </c>
      <c r="H2054" s="6" t="n">
        <f>SUM(F2054,G2054)/2</f>
        <v>10902</v>
      </c>
    </row>
    <row r="2055" s="18" customFormat="1" ht="14.399999999999999" customHeight="1">
      <c r="A2055" s="10" t="s">
        <v>5304</v>
      </c>
      <c r="B2055" s="10" t="s">
        <v>5305</v>
      </c>
      <c r="C2055" s="13" t="n">
        <v>2376</v>
      </c>
      <c r="D2055" s="13" t="n">
        <v>3792</v>
      </c>
      <c r="E2055" s="6" t="n">
        <f>SUM(C2055,D2055)/2</f>
        <v>3084</v>
      </c>
      <c r="F2055" s="18" t="n">
        <v>94</v>
      </c>
      <c r="G2055" s="18" t="n">
        <v>120</v>
      </c>
      <c r="H2055" s="6" t="n">
        <f>SUM(F2055,G2055)/2</f>
        <v>107</v>
      </c>
    </row>
    <row r="2056" s="18" customFormat="1" ht="14.399999999999999" customHeight="1">
      <c r="A2056" s="10" t="s">
        <v>6566</v>
      </c>
      <c r="B2056" s="10" t="s">
        <v>6567</v>
      </c>
      <c r="C2056" s="10" t="n">
        <v>44</v>
      </c>
      <c r="D2056" s="10" t="n">
        <v>70</v>
      </c>
      <c r="E2056" s="6" t="n">
        <f>SUM(C2056,D2056)/2</f>
        <v>57</v>
      </c>
      <c r="F2056" s="18" t="n">
        <v>23</v>
      </c>
      <c r="G2056" s="18" t="n">
        <v>35</v>
      </c>
      <c r="H2056" s="6" t="n">
        <f>SUM(F2056,G2056)/2</f>
        <v>29</v>
      </c>
    </row>
    <row r="2057" s="18" customFormat="1" ht="14.399999999999999" customHeight="1">
      <c r="A2057" s="10" t="s">
        <v>6568</v>
      </c>
      <c r="B2057" s="10" t="s">
        <v>6569</v>
      </c>
      <c r="C2057" s="13" t="n">
        <v>25195</v>
      </c>
      <c r="D2057" s="13" t="n">
        <v>40245</v>
      </c>
      <c r="E2057" s="6" t="n">
        <f>SUM(C2057,D2057)/2</f>
        <v>32720</v>
      </c>
      <c r="F2057" s="12" t="n">
        <v>8026</v>
      </c>
      <c r="G2057" s="12" t="n">
        <v>11007</v>
      </c>
      <c r="H2057" s="6" t="n">
        <f>SUM(F2057,G2057)/2</f>
        <v>9516.5</v>
      </c>
    </row>
    <row r="2058" s="18" customFormat="1" ht="14.399999999999999" customHeight="1">
      <c r="A2058" s="10" t="s">
        <v>2588</v>
      </c>
      <c r="B2058" s="10" t="s">
        <v>2589</v>
      </c>
      <c r="C2058" s="10" t="n">
        <v>0</v>
      </c>
      <c r="D2058" s="10" t="n">
        <v>0</v>
      </c>
      <c r="E2058" s="6" t="n">
        <f>SUM(C2058,D2058)/2</f>
        <v>0</v>
      </c>
      <c r="F2058" s="18" t="n">
        <v>2</v>
      </c>
      <c r="G2058" s="18" t="n">
        <v>2</v>
      </c>
      <c r="H2058" s="6" t="n">
        <f>SUM(F2058,G2058)/2</f>
        <v>2</v>
      </c>
    </row>
    <row r="2059" s="18" customFormat="1" ht="14.399999999999999" customHeight="1">
      <c r="A2059" s="10" t="s">
        <v>6570</v>
      </c>
      <c r="B2059" s="10" t="s">
        <v>6571</v>
      </c>
      <c r="C2059" s="13" t="n">
        <v>84685</v>
      </c>
      <c r="D2059" s="13" t="n">
        <v>135275</v>
      </c>
      <c r="E2059" s="6" t="n">
        <f>SUM(C2059,D2059)/2</f>
        <v>109980</v>
      </c>
      <c r="F2059" s="12" t="n">
        <v>39517</v>
      </c>
      <c r="G2059" s="12" t="n">
        <v>48827</v>
      </c>
      <c r="H2059" s="6" t="n">
        <f>SUM(F2059,G2059)/2</f>
        <v>44172</v>
      </c>
    </row>
    <row r="2060" s="18" customFormat="1" ht="14.399999999999999" customHeight="1">
      <c r="A2060" s="10" t="s">
        <v>6572</v>
      </c>
      <c r="B2060" s="10" t="s">
        <v>6573</v>
      </c>
      <c r="C2060" s="13" t="n">
        <v>31441</v>
      </c>
      <c r="D2060" s="13" t="n">
        <v>50225</v>
      </c>
      <c r="E2060" s="6" t="n">
        <f>SUM(C2060,D2060)/2</f>
        <v>40833</v>
      </c>
      <c r="F2060" s="12" t="n">
        <v>15229</v>
      </c>
      <c r="G2060" s="12" t="n">
        <v>19075</v>
      </c>
      <c r="H2060" s="6" t="n">
        <f>SUM(F2060,G2060)/2</f>
        <v>17152</v>
      </c>
    </row>
    <row r="2061" s="18" customFormat="1" ht="14.399999999999999" customHeight="1">
      <c r="A2061" s="10" t="s">
        <v>6574</v>
      </c>
      <c r="B2061" s="10" t="s">
        <v>6575</v>
      </c>
      <c r="C2061" s="10" t="n">
        <v>2</v>
      </c>
      <c r="D2061" s="10" t="n">
        <v>2</v>
      </c>
      <c r="E2061" s="6" t="n">
        <f>SUM(C2061,D2061)/2</f>
        <v>2</v>
      </c>
      <c r="F2061" s="18" t="n">
        <v>0</v>
      </c>
      <c r="G2061" s="18" t="n">
        <v>0</v>
      </c>
      <c r="H2061" s="6" t="n">
        <f>SUM(F2061,G2061)/2</f>
        <v>0</v>
      </c>
    </row>
    <row r="2062" s="18" customFormat="1" ht="14.399999999999999" customHeight="1">
      <c r="A2062" s="10" t="s">
        <v>1423</v>
      </c>
      <c r="B2062" s="10" t="s">
        <v>1424</v>
      </c>
      <c r="C2062" s="10" t="n">
        <v>66</v>
      </c>
      <c r="D2062" s="10" t="n">
        <v>104</v>
      </c>
      <c r="E2062" s="6" t="n">
        <f>SUM(C2062,D2062)/2</f>
        <v>85</v>
      </c>
      <c r="F2062" s="18" t="n">
        <v>1</v>
      </c>
      <c r="G2062" s="18" t="n">
        <v>1</v>
      </c>
      <c r="H2062" s="6" t="n">
        <f>SUM(F2062,G2062)/2</f>
        <v>1</v>
      </c>
    </row>
    <row r="2063" s="18" customFormat="1" ht="14.399999999999999" customHeight="1">
      <c r="A2063" s="10" t="s">
        <v>6576</v>
      </c>
      <c r="B2063" s="10" t="s">
        <v>6577</v>
      </c>
      <c r="C2063" s="10" t="n">
        <v>69</v>
      </c>
      <c r="D2063" s="10" t="n">
        <v>109</v>
      </c>
      <c r="E2063" s="6" t="n">
        <f>SUM(C2063,D2063)/2</f>
        <v>89</v>
      </c>
      <c r="F2063" s="18" t="n">
        <v>44</v>
      </c>
      <c r="G2063" s="18" t="n">
        <v>49</v>
      </c>
      <c r="H2063" s="6" t="n">
        <f>SUM(F2063,G2063)/2</f>
        <v>46.5</v>
      </c>
    </row>
    <row r="2064" s="18" customFormat="1" ht="14.399999999999999" customHeight="1">
      <c r="A2064" s="10" t="s">
        <v>6578</v>
      </c>
      <c r="B2064" s="10" t="s">
        <v>6579</v>
      </c>
      <c r="C2064" s="13" t="n">
        <v>10567</v>
      </c>
      <c r="D2064" s="13" t="n">
        <v>16879</v>
      </c>
      <c r="E2064" s="6" t="n">
        <f>SUM(C2064,D2064)/2</f>
        <v>13723</v>
      </c>
      <c r="F2064" s="12" t="n">
        <v>7374</v>
      </c>
      <c r="G2064" s="12" t="n">
        <v>10377</v>
      </c>
      <c r="H2064" s="6" t="n">
        <f>SUM(F2064,G2064)/2</f>
        <v>8875.5</v>
      </c>
    </row>
    <row r="2065" s="18" customFormat="1" ht="14.399999999999999" customHeight="1">
      <c r="A2065" s="10" t="s">
        <v>4769</v>
      </c>
      <c r="B2065" s="10" t="s">
        <v>4770</v>
      </c>
      <c r="C2065" s="13" t="n">
        <v>21639</v>
      </c>
      <c r="D2065" s="13" t="n">
        <v>34565</v>
      </c>
      <c r="E2065" s="6" t="n">
        <f>SUM(C2065,D2065)/2</f>
        <v>28102</v>
      </c>
      <c r="F2065" s="12" t="n">
        <v>5325</v>
      </c>
      <c r="G2065" s="12" t="n">
        <v>6914</v>
      </c>
      <c r="H2065" s="6" t="n">
        <f>SUM(F2065,G2065)/2</f>
        <v>6119.5</v>
      </c>
    </row>
    <row r="2066" s="18" customFormat="1" ht="14.399999999999999" customHeight="1">
      <c r="A2066" s="10" t="s">
        <v>1563</v>
      </c>
      <c r="B2066" s="10" t="s">
        <v>1564</v>
      </c>
      <c r="C2066" s="10" t="n">
        <v>81</v>
      </c>
      <c r="D2066" s="10" t="n">
        <v>129</v>
      </c>
      <c r="E2066" s="6" t="n">
        <f>SUM(C2066,D2066)/2</f>
        <v>105</v>
      </c>
      <c r="F2066" s="18" t="n">
        <v>20</v>
      </c>
      <c r="G2066" s="18" t="n">
        <v>36</v>
      </c>
      <c r="H2066" s="6" t="n">
        <f>SUM(F2066,G2066)/2</f>
        <v>28</v>
      </c>
    </row>
    <row r="2067" s="18" customFormat="1" ht="14.399999999999999" customHeight="1">
      <c r="A2067" s="10" t="s">
        <v>1006</v>
      </c>
      <c r="B2067" s="10" t="s">
        <v>113</v>
      </c>
      <c r="C2067" s="13" t="n">
        <v>42954</v>
      </c>
      <c r="D2067" s="13" t="n">
        <v>68616</v>
      </c>
      <c r="E2067" s="6" t="n">
        <f>SUM(C2067,D2067)/2</f>
        <v>55785</v>
      </c>
      <c r="F2067" s="18" t="n">
        <v>2448</v>
      </c>
      <c r="G2067" s="18" t="n">
        <v>2983</v>
      </c>
      <c r="H2067" s="6" t="n">
        <f>SUM(F2067,G2067)/2</f>
        <v>2715.5</v>
      </c>
    </row>
    <row r="2068" s="18" customFormat="1" ht="14.399999999999999" customHeight="1">
      <c r="A2068" s="10" t="s">
        <v>2811</v>
      </c>
      <c r="B2068" s="10" t="s">
        <v>2812</v>
      </c>
      <c r="C2068" s="10" t="n">
        <v>1</v>
      </c>
      <c r="D2068" s="10" t="n">
        <v>1</v>
      </c>
      <c r="E2068" s="6" t="n">
        <f>SUM(C2068,D2068)/2</f>
        <v>1</v>
      </c>
      <c r="F2068" s="18" t="n">
        <v>0</v>
      </c>
      <c r="G2068" s="18" t="n">
        <v>0</v>
      </c>
      <c r="H2068" s="6" t="n">
        <f>SUM(F2068,G2068)/2</f>
        <v>0</v>
      </c>
    </row>
    <row r="2069" s="18" customFormat="1" ht="14.399999999999999" customHeight="1">
      <c r="A2069" s="10" t="s">
        <v>332</v>
      </c>
      <c r="B2069" s="10" t="s">
        <v>333</v>
      </c>
      <c r="C2069" s="13" t="n">
        <v>2371</v>
      </c>
      <c r="D2069" s="13" t="n">
        <v>3785</v>
      </c>
      <c r="E2069" s="6" t="n">
        <f>SUM(C2069,D2069)/2</f>
        <v>3078</v>
      </c>
      <c r="F2069" s="18" t="n">
        <v>981</v>
      </c>
      <c r="G2069" s="18" t="n">
        <v>1103</v>
      </c>
      <c r="H2069" s="6" t="n">
        <f>SUM(F2069,G2069)/2</f>
        <v>1042</v>
      </c>
    </row>
    <row r="2070" s="18" customFormat="1" ht="14.399999999999999" customHeight="1">
      <c r="A2070" s="10" t="s">
        <v>1897</v>
      </c>
      <c r="B2070" s="10" t="s">
        <v>1898</v>
      </c>
      <c r="C2070" s="10" t="n">
        <v>23</v>
      </c>
      <c r="D2070" s="10" t="n">
        <v>37</v>
      </c>
      <c r="E2070" s="6" t="n">
        <f>SUM(C2070,D2070)/2</f>
        <v>30</v>
      </c>
      <c r="F2070" s="18" t="n">
        <v>5</v>
      </c>
      <c r="G2070" s="18" t="n">
        <v>17</v>
      </c>
      <c r="H2070" s="6" t="n">
        <f>SUM(F2070,G2070)/2</f>
        <v>11</v>
      </c>
    </row>
    <row r="2071" s="18" customFormat="1" ht="14.399999999999999" customHeight="1">
      <c r="A2071" s="10" t="s">
        <v>4659</v>
      </c>
      <c r="B2071" s="10" t="s">
        <v>4660</v>
      </c>
      <c r="C2071" s="13" t="n">
        <v>13444</v>
      </c>
      <c r="D2071" s="13" t="n">
        <v>21480</v>
      </c>
      <c r="E2071" s="6" t="n">
        <f>SUM(C2071,D2071)/2</f>
        <v>17462</v>
      </c>
      <c r="F2071" s="12" t="n">
        <v>7422</v>
      </c>
      <c r="G2071" s="12" t="n">
        <v>11917</v>
      </c>
      <c r="H2071" s="6" t="n">
        <f>SUM(F2071,G2071)/2</f>
        <v>9669.5</v>
      </c>
    </row>
    <row r="2072" s="18" customFormat="1" ht="14.399999999999999" customHeight="1">
      <c r="A2072" s="10" t="s">
        <v>3809</v>
      </c>
      <c r="B2072" s="10" t="s">
        <v>3810</v>
      </c>
      <c r="C2072" s="13" t="n">
        <v>62084</v>
      </c>
      <c r="D2072" s="13" t="n">
        <v>99172</v>
      </c>
      <c r="E2072" s="6" t="n">
        <f>SUM(C2072,D2072)/2</f>
        <v>80628</v>
      </c>
      <c r="F2072" s="12" t="n">
        <v>10526</v>
      </c>
      <c r="G2072" s="12" t="n">
        <v>14953</v>
      </c>
      <c r="H2072" s="6" t="n">
        <f>SUM(F2072,G2072)/2</f>
        <v>12739.5</v>
      </c>
    </row>
    <row r="2073" s="18" customFormat="1" ht="14.399999999999999" customHeight="1">
      <c r="A2073" s="10" t="s">
        <v>3461</v>
      </c>
      <c r="B2073" s="10" t="s">
        <v>3462</v>
      </c>
      <c r="C2073" s="13" t="n">
        <v>122053</v>
      </c>
      <c r="D2073" s="13" t="n">
        <v>194971</v>
      </c>
      <c r="E2073" s="6" t="n">
        <f>SUM(C2073,D2073)/2</f>
        <v>158512</v>
      </c>
      <c r="F2073" s="12" t="n">
        <v>7315</v>
      </c>
      <c r="G2073" s="12" t="n">
        <v>13569</v>
      </c>
      <c r="H2073" s="6" t="n">
        <f>SUM(F2073,G2073)/2</f>
        <v>10442</v>
      </c>
    </row>
    <row r="2074" s="18" customFormat="1" ht="14.399999999999999" customHeight="1">
      <c r="A2074" s="10" t="s">
        <v>1777</v>
      </c>
      <c r="B2074" s="10" t="s">
        <v>1778</v>
      </c>
      <c r="C2074" s="10" t="n">
        <v>63</v>
      </c>
      <c r="D2074" s="10" t="n">
        <v>101</v>
      </c>
      <c r="E2074" s="6" t="n">
        <f>SUM(C2074,D2074)/2</f>
        <v>82</v>
      </c>
      <c r="F2074" s="18" t="n">
        <v>5</v>
      </c>
      <c r="G2074" s="18" t="n">
        <v>8</v>
      </c>
      <c r="H2074" s="6" t="n">
        <f>SUM(F2074,G2074)/2</f>
        <v>6.5</v>
      </c>
    </row>
    <row r="2075" s="18" customFormat="1" ht="14.399999999999999" customHeight="1">
      <c r="A2075" s="10" t="s">
        <v>2813</v>
      </c>
      <c r="B2075" s="10" t="s">
        <v>2814</v>
      </c>
      <c r="C2075" s="10" t="n">
        <v>1</v>
      </c>
      <c r="D2075" s="10" t="n">
        <v>1</v>
      </c>
      <c r="E2075" s="6" t="n">
        <f>SUM(C2075,D2075)/2</f>
        <v>1</v>
      </c>
      <c r="F2075" s="18" t="n">
        <v>0</v>
      </c>
      <c r="G2075" s="18" t="n">
        <v>0</v>
      </c>
      <c r="H2075" s="6" t="n">
        <f>SUM(F2075,G2075)/2</f>
        <v>0</v>
      </c>
    </row>
    <row r="2076" s="18" customFormat="1" ht="14.399999999999999" customHeight="1">
      <c r="A2076" s="10" t="s">
        <v>6580</v>
      </c>
      <c r="B2076" s="10" t="s">
        <v>6581</v>
      </c>
      <c r="C2076" s="13" t="n">
        <v>405973</v>
      </c>
      <c r="D2076" s="13" t="n">
        <v>648501</v>
      </c>
      <c r="E2076" s="6" t="n">
        <f>SUM(C2076,D2076)/2</f>
        <v>527237</v>
      </c>
      <c r="F2076" s="12" t="n">
        <v>128797</v>
      </c>
      <c r="G2076" s="12" t="n">
        <v>162661</v>
      </c>
      <c r="H2076" s="6" t="n">
        <f>SUM(F2076,G2076)/2</f>
        <v>145729</v>
      </c>
    </row>
    <row r="2077" s="18" customFormat="1" ht="14.399999999999999" customHeight="1">
      <c r="A2077" s="10" t="s">
        <v>6582</v>
      </c>
      <c r="B2077" s="10" t="s">
        <v>6583</v>
      </c>
      <c r="C2077" s="13" t="n">
        <v>60122</v>
      </c>
      <c r="D2077" s="13" t="n">
        <v>96036</v>
      </c>
      <c r="E2077" s="6" t="n">
        <f>SUM(C2077,D2077)/2</f>
        <v>78079</v>
      </c>
      <c r="F2077" s="12" t="n">
        <v>8130</v>
      </c>
      <c r="G2077" s="12" t="n">
        <v>12092</v>
      </c>
      <c r="H2077" s="6" t="n">
        <f>SUM(F2077,G2077)/2</f>
        <v>10111</v>
      </c>
    </row>
    <row r="2078" s="18" customFormat="1" ht="14.399999999999999" customHeight="1">
      <c r="A2078" s="10" t="s">
        <v>3757</v>
      </c>
      <c r="B2078" s="10" t="s">
        <v>3758</v>
      </c>
      <c r="C2078" s="13" t="n">
        <v>62407</v>
      </c>
      <c r="D2078" s="13" t="n">
        <v>99690</v>
      </c>
      <c r="E2078" s="6" t="n">
        <f>SUM(C2078,D2078)/2</f>
        <v>81048.5</v>
      </c>
      <c r="F2078" s="12" t="n">
        <v>12727</v>
      </c>
      <c r="G2078" s="12" t="n">
        <v>16327</v>
      </c>
      <c r="H2078" s="6" t="n">
        <f>SUM(F2078,G2078)/2</f>
        <v>14527</v>
      </c>
    </row>
    <row r="2079" s="18" customFormat="1" ht="14.399999999999999" customHeight="1">
      <c r="A2079" s="10" t="s">
        <v>1611</v>
      </c>
      <c r="B2079" s="10" t="s">
        <v>1612</v>
      </c>
      <c r="C2079" s="13" t="n">
        <v>246768</v>
      </c>
      <c r="D2079" s="13" t="n">
        <v>394186</v>
      </c>
      <c r="E2079" s="6" t="n">
        <f>SUM(C2079,D2079)/2</f>
        <v>320477</v>
      </c>
      <c r="F2079" s="12" t="n">
        <v>40263</v>
      </c>
      <c r="G2079" s="12" t="n">
        <v>58968</v>
      </c>
      <c r="H2079" s="6" t="n">
        <f>SUM(F2079,G2079)/2</f>
        <v>49615.5</v>
      </c>
    </row>
    <row r="2080" s="18" customFormat="1" ht="14.399999999999999" customHeight="1">
      <c r="A2080" s="10" t="s">
        <v>4665</v>
      </c>
      <c r="B2080" s="10" t="s">
        <v>4666</v>
      </c>
      <c r="C2080" s="13" t="n">
        <v>11958</v>
      </c>
      <c r="D2080" s="13" t="n">
        <v>19104</v>
      </c>
      <c r="E2080" s="6" t="n">
        <f>SUM(C2080,D2080)/2</f>
        <v>15531</v>
      </c>
      <c r="F2080" s="12" t="n">
        <v>8513</v>
      </c>
      <c r="G2080" s="12" t="n">
        <v>11408</v>
      </c>
      <c r="H2080" s="6" t="n">
        <f>SUM(F2080,G2080)/2</f>
        <v>9960.5</v>
      </c>
    </row>
    <row r="2081" s="18" customFormat="1" ht="14.399999999999999" customHeight="1">
      <c r="A2081" s="10" t="s">
        <v>3989</v>
      </c>
      <c r="B2081" s="10" t="s">
        <v>3990</v>
      </c>
      <c r="C2081" s="13" t="n">
        <v>22511</v>
      </c>
      <c r="D2081" s="13" t="n">
        <v>35959</v>
      </c>
      <c r="E2081" s="6" t="n">
        <f>SUM(C2081,D2081)/2</f>
        <v>29235</v>
      </c>
      <c r="F2081" s="12" t="n">
        <v>14390</v>
      </c>
      <c r="G2081" s="12" t="n">
        <v>23610</v>
      </c>
      <c r="H2081" s="6" t="n">
        <f>SUM(F2081,G2081)/2</f>
        <v>19000</v>
      </c>
    </row>
    <row r="2082" s="18" customFormat="1" ht="14.399999999999999" customHeight="1">
      <c r="A2082" s="10" t="s">
        <v>6584</v>
      </c>
      <c r="B2082" s="10" t="s">
        <v>6585</v>
      </c>
      <c r="C2082" s="13" t="n">
        <v>184635</v>
      </c>
      <c r="D2082" s="13" t="n">
        <v>294935</v>
      </c>
      <c r="E2082" s="6" t="n">
        <f>SUM(C2082,D2082)/2</f>
        <v>239785</v>
      </c>
      <c r="F2082" s="12" t="n">
        <v>36416</v>
      </c>
      <c r="G2082" s="12" t="n">
        <v>50529</v>
      </c>
      <c r="H2082" s="6" t="n">
        <f>SUM(F2082,G2082)/2</f>
        <v>43472.5</v>
      </c>
    </row>
    <row r="2083" s="18" customFormat="1" ht="14.399999999999999" customHeight="1">
      <c r="A2083" s="10" t="s">
        <v>6586</v>
      </c>
      <c r="B2083" s="10" t="s">
        <v>6587</v>
      </c>
      <c r="C2083" s="13" t="n">
        <v>6640</v>
      </c>
      <c r="D2083" s="13" t="n">
        <v>10604</v>
      </c>
      <c r="E2083" s="6" t="n">
        <f>SUM(C2083,D2083)/2</f>
        <v>8622</v>
      </c>
      <c r="F2083" s="12" t="n">
        <v>4962</v>
      </c>
      <c r="G2083" s="12" t="n">
        <v>7528</v>
      </c>
      <c r="H2083" s="6" t="n">
        <f>SUM(F2083,G2083)/2</f>
        <v>6245</v>
      </c>
    </row>
    <row r="2084" s="18" customFormat="1" ht="14.399999999999999" customHeight="1">
      <c r="A2084" s="10" t="s">
        <v>2276</v>
      </c>
      <c r="B2084" s="10" t="s">
        <v>2277</v>
      </c>
      <c r="C2084" s="10" t="n">
        <v>166</v>
      </c>
      <c r="D2084" s="10" t="n">
        <v>266</v>
      </c>
      <c r="E2084" s="6" t="n">
        <f>SUM(C2084,D2084)/2</f>
        <v>216</v>
      </c>
      <c r="F2084" s="18" t="n">
        <v>110</v>
      </c>
      <c r="G2084" s="18" t="n">
        <v>125</v>
      </c>
      <c r="H2084" s="6" t="n">
        <f>SUM(F2084,G2084)/2</f>
        <v>117.5</v>
      </c>
    </row>
    <row r="2085" s="18" customFormat="1" ht="14.399999999999999" customHeight="1">
      <c r="A2085" s="10" t="s">
        <v>1913</v>
      </c>
      <c r="B2085" s="10" t="s">
        <v>1914</v>
      </c>
      <c r="C2085" s="10" t="n">
        <v>54</v>
      </c>
      <c r="D2085" s="10" t="n">
        <v>86</v>
      </c>
      <c r="E2085" s="6" t="n">
        <f>SUM(C2085,D2085)/2</f>
        <v>70</v>
      </c>
      <c r="F2085" s="18" t="n">
        <v>1</v>
      </c>
      <c r="G2085" s="18" t="n">
        <v>1</v>
      </c>
      <c r="H2085" s="6" t="n">
        <f>SUM(F2085,G2085)/2</f>
        <v>1</v>
      </c>
    </row>
    <row r="2086" s="18" customFormat="1" ht="14.399999999999999" customHeight="1">
      <c r="A2086" s="10" t="s">
        <v>3733</v>
      </c>
      <c r="B2086" s="10" t="s">
        <v>3734</v>
      </c>
      <c r="C2086" s="13" t="n">
        <v>39928</v>
      </c>
      <c r="D2086" s="13" t="n">
        <v>63782</v>
      </c>
      <c r="E2086" s="6" t="n">
        <f>SUM(C2086,D2086)/2</f>
        <v>51855</v>
      </c>
      <c r="F2086" s="12" t="n">
        <v>17832</v>
      </c>
      <c r="G2086" s="12" t="n">
        <v>25100</v>
      </c>
      <c r="H2086" s="6" t="n">
        <f>SUM(F2086,G2086)/2</f>
        <v>21466</v>
      </c>
    </row>
    <row r="2087" s="18" customFormat="1" ht="14.399999999999999" customHeight="1">
      <c r="A2087" s="10" t="s">
        <v>4929</v>
      </c>
      <c r="B2087" s="10" t="s">
        <v>4930</v>
      </c>
      <c r="C2087" s="13" t="n">
        <v>13184</v>
      </c>
      <c r="D2087" s="13" t="n">
        <v>21062</v>
      </c>
      <c r="E2087" s="6" t="n">
        <f>SUM(C2087,D2087)/2</f>
        <v>17123</v>
      </c>
      <c r="F2087" s="12" t="n">
        <v>5755</v>
      </c>
      <c r="G2087" s="12" t="n">
        <v>7940</v>
      </c>
      <c r="H2087" s="6" t="n">
        <f>SUM(F2087,G2087)/2</f>
        <v>6847.5</v>
      </c>
    </row>
    <row r="2088" s="18" customFormat="1" ht="14.399999999999999" customHeight="1">
      <c r="A2088" s="10" t="s">
        <v>1411</v>
      </c>
      <c r="B2088" s="10" t="s">
        <v>1412</v>
      </c>
      <c r="C2088" s="10" t="n">
        <v>46</v>
      </c>
      <c r="D2088" s="10" t="n">
        <v>74</v>
      </c>
      <c r="E2088" s="6" t="n">
        <f>SUM(C2088,D2088)/2</f>
        <v>60</v>
      </c>
      <c r="F2088" s="18" t="n">
        <v>18</v>
      </c>
      <c r="G2088" s="18" t="n">
        <v>26</v>
      </c>
      <c r="H2088" s="6" t="n">
        <f>SUM(F2088,G2088)/2</f>
        <v>22</v>
      </c>
    </row>
    <row r="2089" s="18" customFormat="1" ht="14.399999999999999" customHeight="1">
      <c r="A2089" s="10" t="s">
        <v>6588</v>
      </c>
      <c r="B2089" s="10" t="s">
        <v>6589</v>
      </c>
      <c r="C2089" s="13" t="n">
        <v>11157</v>
      </c>
      <c r="D2089" s="13" t="n">
        <v>17821</v>
      </c>
      <c r="E2089" s="6" t="n">
        <f>SUM(C2089,D2089)/2</f>
        <v>14489</v>
      </c>
      <c r="F2089" s="12" t="n">
        <v>9081</v>
      </c>
      <c r="G2089" s="12" t="n">
        <v>13541</v>
      </c>
      <c r="H2089" s="6" t="n">
        <f>SUM(F2089,G2089)/2</f>
        <v>11311</v>
      </c>
    </row>
    <row r="2090" s="18" customFormat="1" ht="14.399999999999999" customHeight="1">
      <c r="A2090" s="10" t="s">
        <v>3541</v>
      </c>
      <c r="B2090" s="10" t="s">
        <v>3542</v>
      </c>
      <c r="C2090" s="13" t="n">
        <v>73829</v>
      </c>
      <c r="D2090" s="13" t="n">
        <v>117933</v>
      </c>
      <c r="E2090" s="6" t="n">
        <f>SUM(C2090,D2090)/2</f>
        <v>95881</v>
      </c>
      <c r="F2090" s="12" t="n">
        <v>18084</v>
      </c>
      <c r="G2090" s="12" t="n">
        <v>23150</v>
      </c>
      <c r="H2090" s="6" t="n">
        <f>SUM(F2090,G2090)/2</f>
        <v>20617</v>
      </c>
    </row>
    <row r="2091" s="18" customFormat="1" ht="14.399999999999999" customHeight="1">
      <c r="A2091" s="10" t="s">
        <v>6590</v>
      </c>
      <c r="B2091" s="10" t="s">
        <v>6591</v>
      </c>
      <c r="C2091" s="13" t="n">
        <v>34850</v>
      </c>
      <c r="D2091" s="13" t="n">
        <v>55670</v>
      </c>
      <c r="E2091" s="6" t="n">
        <f>SUM(C2091,D2091)/2</f>
        <v>45260</v>
      </c>
      <c r="F2091" s="12" t="n">
        <v>8369</v>
      </c>
      <c r="G2091" s="12" t="n">
        <v>12485</v>
      </c>
      <c r="H2091" s="6" t="n">
        <f>SUM(F2091,G2091)/2</f>
        <v>10427</v>
      </c>
    </row>
    <row r="2092" s="18" customFormat="1" ht="14.399999999999999" customHeight="1">
      <c r="A2092" s="10" t="s">
        <v>4953</v>
      </c>
      <c r="B2092" s="10" t="s">
        <v>4954</v>
      </c>
      <c r="C2092" s="13" t="n">
        <v>12073</v>
      </c>
      <c r="D2092" s="13" t="n">
        <v>19285</v>
      </c>
      <c r="E2092" s="6" t="n">
        <f>SUM(C2092,D2092)/2</f>
        <v>15679</v>
      </c>
      <c r="F2092" s="12" t="n">
        <v>5405</v>
      </c>
      <c r="G2092" s="12" t="n">
        <v>8278</v>
      </c>
      <c r="H2092" s="6" t="n">
        <f>SUM(F2092,G2092)/2</f>
        <v>6841.5</v>
      </c>
    </row>
    <row r="2093" s="18" customFormat="1" ht="14.399999999999999" customHeight="1">
      <c r="A2093" s="10" t="s">
        <v>2576</v>
      </c>
      <c r="B2093" s="10" t="s">
        <v>2577</v>
      </c>
      <c r="C2093" s="10" t="n">
        <v>4</v>
      </c>
      <c r="D2093" s="10" t="n">
        <v>6</v>
      </c>
      <c r="E2093" s="6" t="n">
        <f>SUM(C2093,D2093)/2</f>
        <v>5</v>
      </c>
      <c r="F2093" s="18" t="n">
        <v>1</v>
      </c>
      <c r="G2093" s="18" t="n">
        <v>1</v>
      </c>
      <c r="H2093" s="6" t="n">
        <f>SUM(F2093,G2093)/2</f>
        <v>1</v>
      </c>
    </row>
    <row r="2094" s="18" customFormat="1" ht="14.399999999999999" customHeight="1">
      <c r="A2094" s="10" t="s">
        <v>2228</v>
      </c>
      <c r="B2094" s="10" t="s">
        <v>2229</v>
      </c>
      <c r="C2094" s="10" t="n">
        <v>193</v>
      </c>
      <c r="D2094" s="10" t="n">
        <v>309</v>
      </c>
      <c r="E2094" s="6" t="n">
        <f>SUM(C2094,D2094)/2</f>
        <v>251</v>
      </c>
      <c r="F2094" s="18" t="n">
        <v>19</v>
      </c>
      <c r="G2094" s="18" t="n">
        <v>27</v>
      </c>
      <c r="H2094" s="6" t="n">
        <f>SUM(F2094,G2094)/2</f>
        <v>23</v>
      </c>
    </row>
    <row r="2095" s="18" customFormat="1" ht="14.399999999999999" customHeight="1">
      <c r="A2095" s="10" t="s">
        <v>5069</v>
      </c>
      <c r="B2095" s="10" t="s">
        <v>5070</v>
      </c>
      <c r="C2095" s="13" t="n">
        <v>12504</v>
      </c>
      <c r="D2095" s="13" t="n">
        <v>19974</v>
      </c>
      <c r="E2095" s="6" t="n">
        <f>SUM(C2095,D2095)/2</f>
        <v>16239</v>
      </c>
      <c r="F2095" s="12" t="n">
        <v>4682</v>
      </c>
      <c r="G2095" s="12" t="n">
        <v>5996</v>
      </c>
      <c r="H2095" s="6" t="n">
        <f>SUM(F2095,G2095)/2</f>
        <v>5339</v>
      </c>
    </row>
    <row r="2096" s="18" customFormat="1" ht="14.399999999999999" customHeight="1">
      <c r="A2096" s="10" t="s">
        <v>2947</v>
      </c>
      <c r="B2096" s="10" t="s">
        <v>2948</v>
      </c>
      <c r="C2096" s="10" t="n">
        <v>0</v>
      </c>
      <c r="D2096" s="10" t="n">
        <v>0</v>
      </c>
      <c r="E2096" s="6" t="n">
        <f>SUM(C2096,D2096)/2</f>
        <v>0</v>
      </c>
      <c r="F2096" s="18" t="n">
        <v>0</v>
      </c>
      <c r="G2096" s="18" t="n">
        <v>0</v>
      </c>
      <c r="H2096" s="6" t="n">
        <f>SUM(F2096,G2096)/2</f>
        <v>0</v>
      </c>
    </row>
    <row r="2097" s="18" customFormat="1" ht="14.399999999999999" customHeight="1">
      <c r="A2097" s="10" t="s">
        <v>6592</v>
      </c>
      <c r="B2097" s="10" t="s">
        <v>6593</v>
      </c>
      <c r="C2097" s="10"/>
      <c r="D2097" s="10"/>
      <c r="E2097" s="6" t="n">
        <f>SUM(C2097,D2097)/2</f>
        <v>0</v>
      </c>
      <c r="F2097" s="12" t="n">
        <v>9233</v>
      </c>
      <c r="G2097" s="12" t="n">
        <v>11019</v>
      </c>
      <c r="H2097" s="6" t="n">
        <f>SUM(F2097,G2097)/2</f>
        <v>10126</v>
      </c>
    </row>
    <row r="2098" s="18" customFormat="1" ht="14.399999999999999" customHeight="1">
      <c r="A2098" s="10" t="s">
        <v>6594</v>
      </c>
      <c r="B2098" s="10" t="s">
        <v>6595</v>
      </c>
      <c r="C2098" s="13" t="n">
        <v>36149</v>
      </c>
      <c r="D2098" s="13" t="n">
        <v>57743</v>
      </c>
      <c r="E2098" s="6" t="n">
        <f>SUM(C2098,D2098)/2</f>
        <v>46946</v>
      </c>
      <c r="F2098" s="12" t="n">
        <v>6304</v>
      </c>
      <c r="G2098" s="12" t="n">
        <v>9294</v>
      </c>
      <c r="H2098" s="6" t="n">
        <f>SUM(F2098,G2098)/2</f>
        <v>7799</v>
      </c>
    </row>
    <row r="2099" s="18" customFormat="1" ht="14.399999999999999" customHeight="1">
      <c r="A2099" s="10" t="s">
        <v>4905</v>
      </c>
      <c r="B2099" s="10" t="s">
        <v>4906</v>
      </c>
      <c r="C2099" s="13" t="n">
        <v>19155</v>
      </c>
      <c r="D2099" s="13" t="n">
        <v>30597</v>
      </c>
      <c r="E2099" s="6" t="n">
        <f>SUM(C2099,D2099)/2</f>
        <v>24876</v>
      </c>
      <c r="F2099" s="12" t="n">
        <v>4557</v>
      </c>
      <c r="G2099" s="12" t="n">
        <v>6428</v>
      </c>
      <c r="H2099" s="6" t="n">
        <f>SUM(F2099,G2099)/2</f>
        <v>5492.5</v>
      </c>
    </row>
    <row r="2100" s="18" customFormat="1" ht="14.399999999999999" customHeight="1">
      <c r="A2100" s="10" t="s">
        <v>2949</v>
      </c>
      <c r="B2100" s="10" t="s">
        <v>2950</v>
      </c>
      <c r="C2100" s="10" t="n">
        <v>0</v>
      </c>
      <c r="D2100" s="10" t="n">
        <v>0</v>
      </c>
      <c r="E2100" s="6" t="n">
        <f>SUM(C2100,D2100)/2</f>
        <v>0</v>
      </c>
      <c r="F2100" s="18" t="n">
        <v>0</v>
      </c>
      <c r="G2100" s="18" t="n">
        <v>0</v>
      </c>
      <c r="H2100" s="6" t="n">
        <f>SUM(F2100,G2100)/2</f>
        <v>0</v>
      </c>
    </row>
    <row r="2101" s="18" customFormat="1" ht="14.399999999999999" customHeight="1">
      <c r="A2101" s="10" t="s">
        <v>4445</v>
      </c>
      <c r="B2101" s="10" t="s">
        <v>4446</v>
      </c>
      <c r="C2101" s="13" t="n">
        <v>21814</v>
      </c>
      <c r="D2101" s="13" t="n">
        <v>34846</v>
      </c>
      <c r="E2101" s="6" t="n">
        <f>SUM(C2101,D2101)/2</f>
        <v>28330</v>
      </c>
      <c r="F2101" s="12" t="n">
        <v>8275</v>
      </c>
      <c r="G2101" s="12" t="n">
        <v>12258</v>
      </c>
      <c r="H2101" s="6" t="n">
        <f>SUM(F2101,G2101)/2</f>
        <v>10266.5</v>
      </c>
    </row>
    <row r="2102" s="18" customFormat="1" ht="14.399999999999999" customHeight="1">
      <c r="A2102" s="10" t="s">
        <v>4935</v>
      </c>
      <c r="B2102" s="10" t="s">
        <v>4936</v>
      </c>
      <c r="C2102" s="13" t="n">
        <v>11179</v>
      </c>
      <c r="D2102" s="13" t="n">
        <v>17857</v>
      </c>
      <c r="E2102" s="6" t="n">
        <f>SUM(C2102,D2102)/2</f>
        <v>14518</v>
      </c>
      <c r="F2102" s="12" t="n">
        <v>6644</v>
      </c>
      <c r="G2102" s="12" t="n">
        <v>8102</v>
      </c>
      <c r="H2102" s="6" t="n">
        <f>SUM(F2102,G2102)/2</f>
        <v>7373</v>
      </c>
    </row>
    <row r="2103" s="18" customFormat="1" ht="14.399999999999999" customHeight="1">
      <c r="A2103" s="10" t="s">
        <v>4795</v>
      </c>
      <c r="B2103" s="10" t="s">
        <v>4796</v>
      </c>
      <c r="C2103" s="13" t="n">
        <v>7552</v>
      </c>
      <c r="D2103" s="13" t="n">
        <v>12066</v>
      </c>
      <c r="E2103" s="6" t="n">
        <f>SUM(C2103,D2103)/2</f>
        <v>9809</v>
      </c>
      <c r="F2103" s="12" t="n">
        <v>8052</v>
      </c>
      <c r="G2103" s="12" t="n">
        <v>11397</v>
      </c>
      <c r="H2103" s="6" t="n">
        <f>SUM(F2103,G2103)/2</f>
        <v>9724.5</v>
      </c>
    </row>
    <row r="2104" s="18" customFormat="1" ht="14.399999999999999" customHeight="1">
      <c r="A2104" s="10" t="s">
        <v>682</v>
      </c>
      <c r="B2104" s="10" t="s">
        <v>683</v>
      </c>
      <c r="C2104" s="10" t="n">
        <v>493</v>
      </c>
      <c r="D2104" s="10" t="n">
        <v>785</v>
      </c>
      <c r="E2104" s="6" t="n">
        <f>SUM(C2104,D2104)/2</f>
        <v>639</v>
      </c>
      <c r="F2104" s="18" t="n">
        <v>9</v>
      </c>
      <c r="G2104" s="18" t="n">
        <v>14</v>
      </c>
      <c r="H2104" s="6" t="n">
        <f>SUM(F2104,G2104)/2</f>
        <v>11.5</v>
      </c>
    </row>
    <row r="2105" s="18" customFormat="1" ht="14.399999999999999" customHeight="1">
      <c r="A2105" s="10" t="s">
        <v>1296</v>
      </c>
      <c r="B2105" s="10" t="s">
        <v>1297</v>
      </c>
      <c r="C2105" s="13" t="n">
        <v>169840</v>
      </c>
      <c r="D2105" s="13" t="n">
        <v>271302</v>
      </c>
      <c r="E2105" s="6" t="n">
        <f>SUM(C2105,D2105)/2</f>
        <v>220571</v>
      </c>
      <c r="F2105" s="12" t="n">
        <v>20233</v>
      </c>
      <c r="G2105" s="12" t="n">
        <v>36819</v>
      </c>
      <c r="H2105" s="6" t="n">
        <f>SUM(F2105,G2105)/2</f>
        <v>28526</v>
      </c>
    </row>
    <row r="2106" s="18" customFormat="1" ht="14.399999999999999" customHeight="1">
      <c r="A2106" s="10" t="s">
        <v>3689</v>
      </c>
      <c r="B2106" s="10" t="s">
        <v>3690</v>
      </c>
      <c r="C2106" s="13" t="n">
        <v>84394</v>
      </c>
      <c r="D2106" s="13" t="n">
        <v>134812</v>
      </c>
      <c r="E2106" s="6" t="n">
        <f>SUM(C2106,D2106)/2</f>
        <v>109603</v>
      </c>
      <c r="F2106" s="12" t="n">
        <v>9345</v>
      </c>
      <c r="G2106" s="12" t="n">
        <v>13535</v>
      </c>
      <c r="H2106" s="6" t="n">
        <f>SUM(F2106,G2106)/2</f>
        <v>11440</v>
      </c>
    </row>
    <row r="2107" s="18" customFormat="1" ht="14.399999999999999" customHeight="1">
      <c r="A2107" s="10" t="s">
        <v>4911</v>
      </c>
      <c r="B2107" s="10" t="s">
        <v>4912</v>
      </c>
      <c r="C2107" s="13" t="n">
        <v>18579</v>
      </c>
      <c r="D2107" s="13" t="n">
        <v>29677</v>
      </c>
      <c r="E2107" s="6" t="n">
        <f>SUM(C2107,D2107)/2</f>
        <v>24128</v>
      </c>
      <c r="F2107" s="12" t="n">
        <v>4422</v>
      </c>
      <c r="G2107" s="12" t="n">
        <v>6704</v>
      </c>
      <c r="H2107" s="6" t="n">
        <f>SUM(F2107,G2107)/2</f>
        <v>5563</v>
      </c>
    </row>
    <row r="2108" s="18" customFormat="1" ht="14.399999999999999" customHeight="1">
      <c r="A2108" s="10" t="s">
        <v>2951</v>
      </c>
      <c r="B2108" s="10" t="s">
        <v>2952</v>
      </c>
      <c r="C2108" s="10" t="n">
        <v>0</v>
      </c>
      <c r="D2108" s="10" t="n">
        <v>0</v>
      </c>
      <c r="E2108" s="6" t="n">
        <f>SUM(C2108,D2108)/2</f>
        <v>0</v>
      </c>
      <c r="F2108" s="18" t="n">
        <v>0</v>
      </c>
      <c r="G2108" s="18" t="n">
        <v>0</v>
      </c>
      <c r="H2108" s="6" t="n">
        <f>SUM(F2108,G2108)/2</f>
        <v>0</v>
      </c>
    </row>
    <row r="2109" s="18" customFormat="1" ht="14.399999999999999" customHeight="1">
      <c r="A2109" s="10" t="s">
        <v>6596</v>
      </c>
      <c r="B2109" s="10" t="s">
        <v>6597</v>
      </c>
      <c r="C2109" s="13" t="n">
        <v>10786</v>
      </c>
      <c r="D2109" s="13" t="n">
        <v>17230</v>
      </c>
      <c r="E2109" s="6" t="n">
        <f>SUM(C2109,D2109)/2</f>
        <v>14008</v>
      </c>
      <c r="F2109" s="12" t="n">
        <v>4875</v>
      </c>
      <c r="G2109" s="12" t="n">
        <v>6704</v>
      </c>
      <c r="H2109" s="6" t="n">
        <f>SUM(F2109,G2109)/2</f>
        <v>5789.5</v>
      </c>
    </row>
    <row r="2110" s="18" customFormat="1" ht="14.399999999999999" customHeight="1">
      <c r="A2110" s="10" t="s">
        <v>1695</v>
      </c>
      <c r="B2110" s="10" t="s">
        <v>1696</v>
      </c>
      <c r="C2110" s="10" t="n">
        <v>83</v>
      </c>
      <c r="D2110" s="10" t="n">
        <v>133</v>
      </c>
      <c r="E2110" s="6" t="n">
        <f>SUM(C2110,D2110)/2</f>
        <v>108</v>
      </c>
      <c r="F2110" s="18" t="n">
        <v>11</v>
      </c>
      <c r="G2110" s="18" t="n">
        <v>12</v>
      </c>
      <c r="H2110" s="6" t="n">
        <f>SUM(F2110,G2110)/2</f>
        <v>11.5</v>
      </c>
    </row>
    <row r="2111" s="18" customFormat="1" ht="14.399999999999999" customHeight="1">
      <c r="A2111" s="10" t="s">
        <v>802</v>
      </c>
      <c r="B2111" s="10" t="s">
        <v>803</v>
      </c>
      <c r="C2111" s="13" t="n">
        <v>1659315</v>
      </c>
      <c r="D2111" s="13" t="n">
        <v>2650595</v>
      </c>
      <c r="E2111" s="6" t="n">
        <f>SUM(C2111,D2111)/2</f>
        <v>2154955</v>
      </c>
      <c r="F2111" s="12" t="n">
        <v>122831</v>
      </c>
      <c r="G2111" s="12" t="n">
        <v>230223</v>
      </c>
      <c r="H2111" s="6" t="n">
        <f>SUM(F2111,G2111)/2</f>
        <v>176527</v>
      </c>
    </row>
    <row r="2112" s="18" customFormat="1" ht="14.399999999999999" customHeight="1">
      <c r="A2112" s="10" t="s">
        <v>3725</v>
      </c>
      <c r="B2112" s="10" t="s">
        <v>3726</v>
      </c>
      <c r="C2112" s="13" t="n">
        <v>27086</v>
      </c>
      <c r="D2112" s="13" t="n">
        <v>43268</v>
      </c>
      <c r="E2112" s="6" t="n">
        <f>SUM(C2112,D2112)/2</f>
        <v>35177</v>
      </c>
      <c r="F2112" s="12" t="n">
        <v>24034</v>
      </c>
      <c r="G2112" s="12" t="n">
        <v>27087</v>
      </c>
      <c r="H2112" s="6" t="n">
        <f>SUM(F2112,G2112)/2</f>
        <v>25560.5</v>
      </c>
    </row>
    <row r="2113" s="18" customFormat="1" ht="14.399999999999999" customHeight="1">
      <c r="A2113" s="10" t="s">
        <v>1958</v>
      </c>
      <c r="B2113" s="10" t="s">
        <v>1959</v>
      </c>
      <c r="C2113" s="10" t="n">
        <v>3</v>
      </c>
      <c r="D2113" s="10" t="n">
        <v>3</v>
      </c>
      <c r="E2113" s="6" t="n">
        <f>SUM(C2113,D2113)/2</f>
        <v>3</v>
      </c>
      <c r="F2113" s="18" t="n">
        <v>11</v>
      </c>
      <c r="G2113" s="18" t="n">
        <v>16</v>
      </c>
      <c r="H2113" s="6" t="n">
        <f>SUM(F2113,G2113)/2</f>
        <v>13.5</v>
      </c>
    </row>
    <row r="2114" s="18" customFormat="1" ht="14.399999999999999" customHeight="1">
      <c r="A2114" s="10" t="s">
        <v>4817</v>
      </c>
      <c r="B2114" s="10" t="s">
        <v>4818</v>
      </c>
      <c r="C2114" s="13" t="n">
        <v>12486</v>
      </c>
      <c r="D2114" s="13" t="n">
        <v>19944</v>
      </c>
      <c r="E2114" s="6" t="n">
        <f>SUM(C2114,D2114)/2</f>
        <v>16215</v>
      </c>
      <c r="F2114" s="12" t="n">
        <v>6322</v>
      </c>
      <c r="G2114" s="12" t="n">
        <v>9934</v>
      </c>
      <c r="H2114" s="6" t="n">
        <f>SUM(F2114,G2114)/2</f>
        <v>8128</v>
      </c>
    </row>
    <row r="2115" s="18" customFormat="1" ht="14.399999999999999" customHeight="1">
      <c r="A2115" s="10" t="s">
        <v>1935</v>
      </c>
      <c r="B2115" s="10" t="s">
        <v>1936</v>
      </c>
      <c r="C2115" s="10" t="n">
        <v>8</v>
      </c>
      <c r="D2115" s="10" t="n">
        <v>12</v>
      </c>
      <c r="E2115" s="6" t="n">
        <f>SUM(C2115,D2115)/2</f>
        <v>10</v>
      </c>
      <c r="F2115" s="18" t="n">
        <v>10</v>
      </c>
      <c r="G2115" s="18" t="n">
        <v>15</v>
      </c>
      <c r="H2115" s="6" t="n">
        <f>SUM(F2115,G2115)/2</f>
        <v>12.5</v>
      </c>
    </row>
    <row r="2116" s="18" customFormat="1" ht="14.399999999999999" customHeight="1">
      <c r="A2116" s="10" t="s">
        <v>2618</v>
      </c>
      <c r="B2116" s="10" t="s">
        <v>2619</v>
      </c>
      <c r="C2116" s="10" t="n">
        <v>5</v>
      </c>
      <c r="D2116" s="10" t="n">
        <v>9</v>
      </c>
      <c r="E2116" s="6" t="n">
        <f>SUM(C2116,D2116)/2</f>
        <v>7</v>
      </c>
      <c r="F2116" s="18" t="n">
        <v>0</v>
      </c>
      <c r="G2116" s="18" t="n">
        <v>0</v>
      </c>
      <c r="H2116" s="6" t="n">
        <f>SUM(F2116,G2116)/2</f>
        <v>0</v>
      </c>
    </row>
    <row r="2117" s="18" customFormat="1" ht="14.399999999999999" customHeight="1">
      <c r="A2117" s="10" t="s">
        <v>1919</v>
      </c>
      <c r="B2117" s="10" t="s">
        <v>1920</v>
      </c>
      <c r="C2117" s="10" t="n">
        <v>28</v>
      </c>
      <c r="D2117" s="10" t="n">
        <v>44</v>
      </c>
      <c r="E2117" s="6" t="n">
        <f>SUM(C2117,D2117)/2</f>
        <v>36</v>
      </c>
      <c r="F2117" s="18" t="n">
        <v>6</v>
      </c>
      <c r="G2117" s="18" t="n">
        <v>9</v>
      </c>
      <c r="H2117" s="6" t="n">
        <f>SUM(F2117,G2117)/2</f>
        <v>7.5</v>
      </c>
    </row>
    <row r="2118" s="18" customFormat="1" ht="14.399999999999999" customHeight="1">
      <c r="A2118" s="10" t="s">
        <v>973</v>
      </c>
      <c r="B2118" s="10" t="s">
        <v>974</v>
      </c>
      <c r="C2118" s="13" t="n">
        <v>857980</v>
      </c>
      <c r="D2118" s="13" t="n">
        <v>1370536</v>
      </c>
      <c r="E2118" s="6" t="n">
        <f>SUM(C2118,D2118)/2</f>
        <v>1114258</v>
      </c>
      <c r="F2118" s="12" t="n">
        <v>32387</v>
      </c>
      <c r="G2118" s="12" t="n">
        <v>51378</v>
      </c>
      <c r="H2118" s="6" t="n">
        <f>SUM(F2118,G2118)/2</f>
        <v>41882.5</v>
      </c>
    </row>
    <row r="2119" s="18" customFormat="1" ht="14.399999999999999" customHeight="1">
      <c r="A2119" s="10" t="s">
        <v>2606</v>
      </c>
      <c r="B2119" s="10" t="s">
        <v>2607</v>
      </c>
      <c r="C2119" s="10" t="n">
        <v>3</v>
      </c>
      <c r="D2119" s="10" t="n">
        <v>5</v>
      </c>
      <c r="E2119" s="6" t="n">
        <f>SUM(C2119,D2119)/2</f>
        <v>4</v>
      </c>
      <c r="F2119" s="18" t="n">
        <v>1</v>
      </c>
      <c r="G2119" s="18" t="n">
        <v>1</v>
      </c>
      <c r="H2119" s="6" t="n">
        <f>SUM(F2119,G2119)/2</f>
        <v>1</v>
      </c>
    </row>
    <row r="2120" s="18" customFormat="1" ht="14.399999999999999" customHeight="1">
      <c r="A2120" s="10" t="s">
        <v>1115</v>
      </c>
      <c r="B2120" s="10" t="s">
        <v>1116</v>
      </c>
      <c r="C2120" s="10" t="n">
        <v>294</v>
      </c>
      <c r="D2120" s="10" t="n">
        <v>470</v>
      </c>
      <c r="E2120" s="6" t="n">
        <f>SUM(C2120,D2120)/2</f>
        <v>382</v>
      </c>
      <c r="F2120" s="18" t="n">
        <v>376</v>
      </c>
      <c r="G2120" s="18" t="n">
        <v>537</v>
      </c>
      <c r="H2120" s="6" t="n">
        <f>SUM(F2120,G2120)/2</f>
        <v>456.5</v>
      </c>
    </row>
    <row r="2121" s="18" customFormat="1" ht="14.399999999999999" customHeight="1">
      <c r="A2121" s="10" t="s">
        <v>6598</v>
      </c>
      <c r="B2121" s="10" t="s">
        <v>6599</v>
      </c>
      <c r="C2121" s="10" t="n">
        <v>1</v>
      </c>
      <c r="D2121" s="10" t="n">
        <v>1</v>
      </c>
      <c r="E2121" s="6" t="n">
        <f>SUM(C2121,D2121)/2</f>
        <v>1</v>
      </c>
      <c r="F2121" s="18" t="n">
        <v>0</v>
      </c>
      <c r="G2121" s="18" t="n">
        <v>0</v>
      </c>
      <c r="H2121" s="6" t="n">
        <f>SUM(F2121,G2121)/2</f>
        <v>0</v>
      </c>
    </row>
    <row r="2122" s="18" customFormat="1" ht="14.399999999999999" customHeight="1">
      <c r="A2122" s="10" t="s">
        <v>30</v>
      </c>
      <c r="B2122" s="10" t="s">
        <v>31</v>
      </c>
      <c r="C2122" s="13" t="n">
        <v>5237766</v>
      </c>
      <c r="D2122" s="13" t="n">
        <v>8366818</v>
      </c>
      <c r="E2122" s="6" t="n">
        <f>SUM(C2122,D2122)/2</f>
        <v>6802292</v>
      </c>
      <c r="F2122" s="13" t="n">
        <v>1354640</v>
      </c>
      <c r="G2122" s="12" t="n">
        <v>1895503</v>
      </c>
      <c r="H2122" s="6" t="n">
        <f>SUM(F2122,G2122)/2</f>
        <v>1625071.5</v>
      </c>
    </row>
    <row r="2123" s="18" customFormat="1" ht="14.399999999999999" customHeight="1">
      <c r="A2123" s="10" t="s">
        <v>1340</v>
      </c>
      <c r="B2123" s="10" t="s">
        <v>1341</v>
      </c>
      <c r="C2123" s="10" t="n">
        <v>168</v>
      </c>
      <c r="D2123" s="10" t="n">
        <v>270</v>
      </c>
      <c r="E2123" s="6" t="n">
        <f>SUM(C2123,D2123)/2</f>
        <v>219</v>
      </c>
      <c r="F2123" s="18" t="n">
        <v>24</v>
      </c>
      <c r="G2123" s="18" t="n">
        <v>36</v>
      </c>
      <c r="H2123" s="6" t="n">
        <f>SUM(F2123,G2123)/2</f>
        <v>30</v>
      </c>
    </row>
    <row r="2124" s="18" customFormat="1" ht="14.399999999999999" customHeight="1">
      <c r="A2124" s="10" t="s">
        <v>6600</v>
      </c>
      <c r="B2124" s="10" t="s">
        <v>6601</v>
      </c>
      <c r="C2124" s="10" t="n">
        <v>142</v>
      </c>
      <c r="D2124" s="10" t="n">
        <v>227</v>
      </c>
      <c r="E2124" s="6" t="n">
        <f>SUM(C2124,D2124)/2</f>
        <v>184.5</v>
      </c>
      <c r="F2124" s="18" t="n">
        <v>7</v>
      </c>
      <c r="G2124" s="18" t="n">
        <v>9</v>
      </c>
      <c r="H2124" s="6" t="n">
        <f>SUM(F2124,G2124)/2</f>
        <v>8</v>
      </c>
    </row>
    <row r="2125" s="18" customFormat="1" ht="14.399999999999999" customHeight="1">
      <c r="A2125" s="10" t="s">
        <v>4867</v>
      </c>
      <c r="B2125" s="10" t="s">
        <v>4868</v>
      </c>
      <c r="C2125" s="13" t="n">
        <v>11241</v>
      </c>
      <c r="D2125" s="13" t="n">
        <v>17957</v>
      </c>
      <c r="E2125" s="6" t="n">
        <f>SUM(C2125,D2125)/2</f>
        <v>14599</v>
      </c>
      <c r="F2125" s="12" t="n">
        <v>7303</v>
      </c>
      <c r="G2125" s="12" t="n">
        <v>8767</v>
      </c>
      <c r="H2125" s="6" t="n">
        <f>SUM(F2125,G2125)/2</f>
        <v>8035</v>
      </c>
    </row>
    <row r="2126" s="18" customFormat="1" ht="14.399999999999999" customHeight="1">
      <c r="A2126" s="10" t="s">
        <v>1996</v>
      </c>
      <c r="B2126" s="10" t="s">
        <v>1997</v>
      </c>
      <c r="C2126" s="10" t="n">
        <v>10</v>
      </c>
      <c r="D2126" s="10" t="n">
        <v>18</v>
      </c>
      <c r="E2126" s="6" t="n">
        <f>SUM(C2126,D2126)/2</f>
        <v>14</v>
      </c>
      <c r="F2126" s="18" t="n">
        <v>8</v>
      </c>
      <c r="G2126" s="18" t="n">
        <v>12</v>
      </c>
      <c r="H2126" s="6" t="n">
        <f>SUM(F2126,G2126)/2</f>
        <v>10</v>
      </c>
    </row>
    <row r="2127" s="18" customFormat="1" ht="14.399999999999999" customHeight="1">
      <c r="A2127" s="10" t="s">
        <v>1960</v>
      </c>
      <c r="B2127" s="10" t="s">
        <v>1961</v>
      </c>
      <c r="C2127" s="10" t="n">
        <v>6</v>
      </c>
      <c r="D2127" s="10" t="n">
        <v>8</v>
      </c>
      <c r="E2127" s="6" t="n">
        <f>SUM(C2127,D2127)/2</f>
        <v>7</v>
      </c>
      <c r="F2127" s="18" t="n">
        <v>10</v>
      </c>
      <c r="G2127" s="18" t="n">
        <v>15</v>
      </c>
      <c r="H2127" s="6" t="n">
        <f>SUM(F2127,G2127)/2</f>
        <v>12.5</v>
      </c>
    </row>
    <row r="2128" s="18" customFormat="1" ht="14.399999999999999" customHeight="1">
      <c r="A2128" s="10" t="s">
        <v>1998</v>
      </c>
      <c r="B2128" s="10" t="s">
        <v>1999</v>
      </c>
      <c r="C2128" s="10" t="n">
        <v>16</v>
      </c>
      <c r="D2128" s="10" t="n">
        <v>26</v>
      </c>
      <c r="E2128" s="6" t="n">
        <f>SUM(C2128,D2128)/2</f>
        <v>21</v>
      </c>
      <c r="F2128" s="18" t="n">
        <v>8</v>
      </c>
      <c r="G2128" s="18" t="n">
        <v>9</v>
      </c>
      <c r="H2128" s="6" t="n">
        <f>SUM(F2128,G2128)/2</f>
        <v>8.5</v>
      </c>
    </row>
    <row r="2129" s="18" customFormat="1" ht="14.399999999999999" customHeight="1">
      <c r="A2129" s="10" t="s">
        <v>2698</v>
      </c>
      <c r="B2129" s="10" t="s">
        <v>2699</v>
      </c>
      <c r="C2129" s="10" t="n">
        <v>0</v>
      </c>
      <c r="D2129" s="10" t="n">
        <v>0</v>
      </c>
      <c r="E2129" s="6" t="n">
        <f>SUM(C2129,D2129)/2</f>
        <v>0</v>
      </c>
      <c r="F2129" s="18" t="n">
        <v>1</v>
      </c>
      <c r="G2129" s="18" t="n">
        <v>1</v>
      </c>
      <c r="H2129" s="6" t="n">
        <f>SUM(F2129,G2129)/2</f>
        <v>1</v>
      </c>
    </row>
    <row r="2130" s="18" customFormat="1" ht="14.399999999999999" customHeight="1">
      <c r="A2130" s="10" t="s">
        <v>2380</v>
      </c>
      <c r="B2130" s="10" t="s">
        <v>2381</v>
      </c>
      <c r="C2130" s="10" t="n">
        <v>1</v>
      </c>
      <c r="D2130" s="10" t="n">
        <v>1</v>
      </c>
      <c r="E2130" s="6" t="n">
        <f>SUM(C2130,D2130)/2</f>
        <v>1</v>
      </c>
      <c r="F2130" s="18" t="n">
        <v>4</v>
      </c>
      <c r="G2130" s="18" t="n">
        <v>5</v>
      </c>
      <c r="H2130" s="6" t="n">
        <f>SUM(F2130,G2130)/2</f>
        <v>4.5</v>
      </c>
    </row>
    <row r="2131" s="18" customFormat="1" ht="14.399999999999999" customHeight="1">
      <c r="A2131" s="10" t="s">
        <v>4983</v>
      </c>
      <c r="B2131" s="10" t="s">
        <v>4984</v>
      </c>
      <c r="C2131" s="13" t="n">
        <v>8347</v>
      </c>
      <c r="D2131" s="13" t="n">
        <v>13331</v>
      </c>
      <c r="E2131" s="6" t="n">
        <f>SUM(C2131,D2131)/2</f>
        <v>10839</v>
      </c>
      <c r="F2131" s="12" t="n">
        <v>6420</v>
      </c>
      <c r="G2131" s="12" t="n">
        <v>8703</v>
      </c>
      <c r="H2131" s="6" t="n">
        <f>SUM(F2131,G2131)/2</f>
        <v>7561.5</v>
      </c>
    </row>
    <row r="2132" s="18" customFormat="1" ht="14.399999999999999" customHeight="1">
      <c r="A2132" s="10" t="s">
        <v>913</v>
      </c>
      <c r="B2132" s="10" t="s">
        <v>914</v>
      </c>
      <c r="C2132" s="13" t="n">
        <v>849975</v>
      </c>
      <c r="D2132" s="13" t="n">
        <v>1357753</v>
      </c>
      <c r="E2132" s="6" t="n">
        <f>SUM(C2132,D2132)/2</f>
        <v>1103864</v>
      </c>
      <c r="F2132" s="18" t="n">
        <v>87947</v>
      </c>
      <c r="G2132" s="18" t="n">
        <v>126366</v>
      </c>
      <c r="H2132" s="6" t="n">
        <f>SUM(F2132,G2132)/2</f>
        <v>107156.5</v>
      </c>
    </row>
    <row r="2133" s="18" customFormat="1" ht="14.399999999999999" customHeight="1">
      <c r="A2133" s="10" t="s">
        <v>6602</v>
      </c>
      <c r="B2133" s="10" t="s">
        <v>6603</v>
      </c>
      <c r="C2133" s="10" t="n">
        <v>0</v>
      </c>
      <c r="D2133" s="10" t="n">
        <v>0</v>
      </c>
      <c r="E2133" s="6" t="n">
        <f>SUM(C2133,D2133)/2</f>
        <v>0</v>
      </c>
      <c r="F2133" s="18" t="n">
        <v>4</v>
      </c>
      <c r="G2133" s="18" t="n">
        <v>6</v>
      </c>
      <c r="H2133" s="6" t="n">
        <f>SUM(F2133,G2133)/2</f>
        <v>5</v>
      </c>
    </row>
    <row r="2134" s="18" customFormat="1" ht="14.399999999999999" customHeight="1">
      <c r="A2134" s="10" t="s">
        <v>6604</v>
      </c>
      <c r="B2134" s="10" t="s">
        <v>6605</v>
      </c>
      <c r="C2134" s="13" t="n">
        <v>121138</v>
      </c>
      <c r="D2134" s="13" t="n">
        <v>193508</v>
      </c>
      <c r="E2134" s="6" t="n">
        <f>SUM(C2134,D2134)/2</f>
        <v>157323</v>
      </c>
      <c r="F2134" s="12" t="n">
        <v>23691</v>
      </c>
      <c r="G2134" s="12" t="n">
        <v>32951</v>
      </c>
      <c r="H2134" s="6" t="n">
        <f>SUM(F2134,G2134)/2</f>
        <v>28321</v>
      </c>
    </row>
    <row r="2135" s="18" customFormat="1" ht="14.399999999999999" customHeight="1">
      <c r="A2135" s="10" t="s">
        <v>1811</v>
      </c>
      <c r="B2135" s="10" t="s">
        <v>1812</v>
      </c>
      <c r="C2135" s="10" t="n">
        <v>34</v>
      </c>
      <c r="D2135" s="10" t="n">
        <v>52</v>
      </c>
      <c r="E2135" s="6" t="n">
        <f>SUM(C2135,D2135)/2</f>
        <v>43</v>
      </c>
      <c r="F2135" s="18" t="n">
        <v>10</v>
      </c>
      <c r="G2135" s="18" t="n">
        <v>15</v>
      </c>
      <c r="H2135" s="6" t="n">
        <f>SUM(F2135,G2135)/2</f>
        <v>12.5</v>
      </c>
    </row>
    <row r="2136" s="18" customFormat="1" ht="14.399999999999999" customHeight="1">
      <c r="A2136" s="10" t="s">
        <v>5330</v>
      </c>
      <c r="B2136" s="10" t="s">
        <v>5331</v>
      </c>
      <c r="C2136" s="10" t="n">
        <v>513</v>
      </c>
      <c r="D2136" s="10" t="n">
        <v>819</v>
      </c>
      <c r="E2136" s="6" t="n">
        <f>SUM(C2136,D2136)/2</f>
        <v>666</v>
      </c>
      <c r="F2136" s="18" t="n">
        <v>311</v>
      </c>
      <c r="G2136" s="18" t="n">
        <v>435</v>
      </c>
      <c r="H2136" s="6" t="n">
        <f>SUM(F2136,G2136)/2</f>
        <v>373</v>
      </c>
    </row>
    <row r="2137" s="18" customFormat="1" ht="14.399999999999999" customHeight="1">
      <c r="A2137" s="10" t="s">
        <v>6606</v>
      </c>
      <c r="B2137" s="10" t="s">
        <v>6607</v>
      </c>
      <c r="C2137" s="13" t="n">
        <v>3337</v>
      </c>
      <c r="D2137" s="13" t="n">
        <v>5331</v>
      </c>
      <c r="E2137" s="6" t="n">
        <f>SUM(C2137,D2137)/2</f>
        <v>4334</v>
      </c>
      <c r="F2137" s="18" t="n">
        <v>947</v>
      </c>
      <c r="G2137" s="12" t="n">
        <v>1142</v>
      </c>
      <c r="H2137" s="6" t="n">
        <f>SUM(F2137,G2137)/2</f>
        <v>1044.5</v>
      </c>
    </row>
    <row r="2138" s="18" customFormat="1" ht="14.399999999999999" customHeight="1">
      <c r="A2138" s="10" t="s">
        <v>6608</v>
      </c>
      <c r="B2138" s="10" t="s">
        <v>6609</v>
      </c>
      <c r="C2138" s="10" t="n">
        <v>126</v>
      </c>
      <c r="D2138" s="10" t="n">
        <v>202</v>
      </c>
      <c r="E2138" s="6" t="n">
        <f>SUM(C2138,D2138)/2</f>
        <v>164</v>
      </c>
      <c r="F2138" s="18" t="n">
        <v>11</v>
      </c>
      <c r="G2138" s="18" t="n">
        <v>23</v>
      </c>
      <c r="H2138" s="6" t="n">
        <f>SUM(F2138,G2138)/2</f>
        <v>17</v>
      </c>
    </row>
    <row r="2139" s="18" customFormat="1" ht="14.399999999999999" customHeight="1">
      <c r="A2139" s="10" t="s">
        <v>5197</v>
      </c>
      <c r="B2139" s="10" t="s">
        <v>5198</v>
      </c>
      <c r="C2139" s="13" t="n">
        <v>4129</v>
      </c>
      <c r="D2139" s="13" t="n">
        <v>6598</v>
      </c>
      <c r="E2139" s="6" t="n">
        <f>SUM(C2139,D2139)/2</f>
        <v>5363.5</v>
      </c>
      <c r="F2139" s="12" t="n">
        <v>3906</v>
      </c>
      <c r="G2139" s="12" t="n">
        <v>5867</v>
      </c>
      <c r="H2139" s="6" t="n">
        <f>SUM(F2139,G2139)/2</f>
        <v>4886.5</v>
      </c>
    </row>
    <row r="2140" s="18" customFormat="1" ht="14.399999999999999" customHeight="1">
      <c r="A2140" s="10" t="s">
        <v>6610</v>
      </c>
      <c r="B2140" s="10" t="s">
        <v>6611</v>
      </c>
      <c r="C2140" s="13" t="n">
        <v>13051</v>
      </c>
      <c r="D2140" s="13" t="n">
        <v>20851</v>
      </c>
      <c r="E2140" s="6" t="n">
        <f>SUM(C2140,D2140)/2</f>
        <v>16951</v>
      </c>
      <c r="F2140" s="12" t="n">
        <v>3530</v>
      </c>
      <c r="G2140" s="12" t="n">
        <v>5282</v>
      </c>
      <c r="H2140" s="6" t="n">
        <f>SUM(F2140,G2140)/2</f>
        <v>4406</v>
      </c>
    </row>
    <row r="2141" s="18" customFormat="1" ht="14.399999999999999" customHeight="1">
      <c r="A2141" s="10" t="s">
        <v>2953</v>
      </c>
      <c r="B2141" s="10" t="s">
        <v>2954</v>
      </c>
      <c r="C2141" s="10" t="n">
        <v>0</v>
      </c>
      <c r="D2141" s="10" t="n">
        <v>0</v>
      </c>
      <c r="E2141" s="6" t="n">
        <f>SUM(C2141,D2141)/2</f>
        <v>0</v>
      </c>
      <c r="F2141" s="18" t="n">
        <v>0</v>
      </c>
      <c r="G2141" s="18" t="n">
        <v>0</v>
      </c>
      <c r="H2141" s="6" t="n">
        <f>SUM(F2141,G2141)/2</f>
        <v>0</v>
      </c>
    </row>
    <row r="2142" s="18" customFormat="1" ht="14.399999999999999" customHeight="1">
      <c r="A2142" s="10" t="s">
        <v>3775</v>
      </c>
      <c r="B2142" s="10" t="s">
        <v>3776</v>
      </c>
      <c r="C2142" s="13" t="n">
        <v>67992</v>
      </c>
      <c r="D2142" s="13" t="n">
        <v>108611</v>
      </c>
      <c r="E2142" s="6" t="n">
        <f>SUM(C2142,D2142)/2</f>
        <v>88301.5</v>
      </c>
      <c r="F2142" s="12" t="n">
        <v>9655</v>
      </c>
      <c r="G2142" s="12" t="n">
        <v>15006</v>
      </c>
      <c r="H2142" s="6" t="n">
        <f>SUM(F2142,G2142)/2</f>
        <v>12330.5</v>
      </c>
    </row>
    <row r="2143" s="18" customFormat="1" ht="14.399999999999999" customHeight="1">
      <c r="A2143" s="10" t="s">
        <v>3599</v>
      </c>
      <c r="B2143" s="10" t="s">
        <v>3600</v>
      </c>
      <c r="C2143" s="13" t="n">
        <v>92572</v>
      </c>
      <c r="D2143" s="13" t="n">
        <v>147876</v>
      </c>
      <c r="E2143" s="6" t="n">
        <f>SUM(C2143,D2143)/2</f>
        <v>120224</v>
      </c>
      <c r="F2143" s="12" t="n">
        <v>9810</v>
      </c>
      <c r="G2143" s="12" t="n">
        <v>14527</v>
      </c>
      <c r="H2143" s="6" t="n">
        <f>SUM(F2143,G2143)/2</f>
        <v>12168.5</v>
      </c>
    </row>
    <row r="2144" s="18" customFormat="1" ht="14.399999999999999" customHeight="1">
      <c r="A2144" s="10" t="s">
        <v>4859</v>
      </c>
      <c r="B2144" s="10" t="s">
        <v>4860</v>
      </c>
      <c r="C2144" s="13" t="n">
        <v>14391</v>
      </c>
      <c r="D2144" s="13" t="n">
        <v>22987</v>
      </c>
      <c r="E2144" s="6" t="n">
        <f>SUM(C2144,D2144)/2</f>
        <v>18689</v>
      </c>
      <c r="F2144" s="12" t="n">
        <v>6417</v>
      </c>
      <c r="G2144" s="12" t="n">
        <v>8041</v>
      </c>
      <c r="H2144" s="6" t="n">
        <f>SUM(F2144,G2144)/2</f>
        <v>7229</v>
      </c>
    </row>
    <row r="2145" s="18" customFormat="1" ht="14.399999999999999" customHeight="1">
      <c r="A2145" s="10" t="s">
        <v>3047</v>
      </c>
      <c r="B2145" s="10" t="s">
        <v>3048</v>
      </c>
      <c r="C2145" s="13" t="n">
        <v>216086</v>
      </c>
      <c r="D2145" s="13" t="n">
        <v>345176</v>
      </c>
      <c r="E2145" s="6" t="n">
        <f>SUM(C2145,D2145)/2</f>
        <v>280631</v>
      </c>
      <c r="F2145" s="12" t="n">
        <v>7520</v>
      </c>
      <c r="G2145" s="12" t="n">
        <v>15727</v>
      </c>
      <c r="H2145" s="6" t="n">
        <f>SUM(F2145,G2145)/2</f>
        <v>11623.5</v>
      </c>
    </row>
    <row r="2146" s="18" customFormat="1" ht="14.399999999999999" customHeight="1">
      <c r="A2146" s="10" t="s">
        <v>768</v>
      </c>
      <c r="B2146" s="10" t="s">
        <v>769</v>
      </c>
      <c r="C2146" s="13" t="n">
        <v>888744</v>
      </c>
      <c r="D2146" s="13" t="n">
        <v>1419683</v>
      </c>
      <c r="E2146" s="6" t="n">
        <f>SUM(C2146,D2146)/2</f>
        <v>1154213.5</v>
      </c>
      <c r="F2146" s="12" t="n">
        <v>434603</v>
      </c>
      <c r="G2146" s="12" t="n">
        <v>539643</v>
      </c>
      <c r="H2146" s="6" t="n">
        <f>SUM(F2146,G2146)/2</f>
        <v>487123</v>
      </c>
    </row>
    <row r="2147" s="18" customFormat="1" ht="14.399999999999999" customHeight="1">
      <c r="A2147" s="10" t="s">
        <v>5259</v>
      </c>
      <c r="B2147" s="10" t="s">
        <v>5260</v>
      </c>
      <c r="C2147" s="13" t="n">
        <v>4012</v>
      </c>
      <c r="D2147" s="13" t="n">
        <v>6408</v>
      </c>
      <c r="E2147" s="6" t="n">
        <f>SUM(C2147,D2147)/2</f>
        <v>5210</v>
      </c>
      <c r="F2147" s="18" t="n">
        <v>102</v>
      </c>
      <c r="G2147" s="18" t="n">
        <v>113</v>
      </c>
      <c r="H2147" s="6" t="n">
        <f>SUM(F2147,G2147)/2</f>
        <v>107.5</v>
      </c>
    </row>
    <row r="2148" s="18" customFormat="1" ht="14.399999999999999" customHeight="1">
      <c r="A2148" s="10" t="s">
        <v>5179</v>
      </c>
      <c r="B2148" s="10" t="s">
        <v>5180</v>
      </c>
      <c r="C2148" s="13" t="n">
        <v>4281</v>
      </c>
      <c r="D2148" s="13" t="n">
        <v>6837</v>
      </c>
      <c r="E2148" s="6" t="n">
        <f>SUM(C2148,D2148)/2</f>
        <v>5559</v>
      </c>
      <c r="F2148" s="12" t="n">
        <v>4504</v>
      </c>
      <c r="G2148" s="12" t="n">
        <v>6482</v>
      </c>
      <c r="H2148" s="6" t="n">
        <f>SUM(F2148,G2148)/2</f>
        <v>5493</v>
      </c>
    </row>
    <row r="2149" s="18" customFormat="1" ht="14.399999999999999" customHeight="1">
      <c r="A2149" s="10" t="s">
        <v>14</v>
      </c>
      <c r="B2149" s="10" t="s">
        <v>15</v>
      </c>
      <c r="C2149" s="13" t="n">
        <v>25568836</v>
      </c>
      <c r="D2149" s="13" t="n">
        <v>40843726</v>
      </c>
      <c r="E2149" s="6" t="n">
        <f>SUM(C2149,D2149)/2</f>
        <v>33206281</v>
      </c>
      <c r="F2149" s="12" t="n">
        <v>759504</v>
      </c>
      <c r="G2149" s="12" t="n">
        <v>1283304</v>
      </c>
      <c r="H2149" s="6" t="n">
        <f>SUM(F2149,G2149)/2</f>
        <v>1021404</v>
      </c>
    </row>
    <row r="2150" s="18" customFormat="1" ht="14.399999999999999" customHeight="1">
      <c r="A2150" s="10" t="s">
        <v>3515</v>
      </c>
      <c r="B2150" s="10" t="s">
        <v>3516</v>
      </c>
      <c r="C2150" s="13" t="n">
        <v>92129</v>
      </c>
      <c r="D2150" s="13" t="n">
        <v>147167</v>
      </c>
      <c r="E2150" s="6" t="n">
        <f>SUM(C2150,D2150)/2</f>
        <v>119648</v>
      </c>
      <c r="F2150" s="12" t="n">
        <v>14594</v>
      </c>
      <c r="G2150" s="12" t="n">
        <v>18022</v>
      </c>
      <c r="H2150" s="6" t="n">
        <f>SUM(F2150,G2150)/2</f>
        <v>16308</v>
      </c>
    </row>
    <row r="2151" s="18" customFormat="1" ht="14.399999999999999" customHeight="1">
      <c r="A2151" s="10" t="s">
        <v>6612</v>
      </c>
      <c r="B2151" s="10" t="s">
        <v>6613</v>
      </c>
      <c r="C2151" s="13" t="n">
        <v>31686</v>
      </c>
      <c r="D2151" s="13" t="n">
        <v>50616</v>
      </c>
      <c r="E2151" s="6" t="n">
        <f>SUM(C2151,D2151)/2</f>
        <v>41151</v>
      </c>
      <c r="F2151" s="12" t="n">
        <v>52439</v>
      </c>
      <c r="G2151" s="12" t="n">
        <v>74119</v>
      </c>
      <c r="H2151" s="6" t="n">
        <f>SUM(F2151,G2151)/2</f>
        <v>63279</v>
      </c>
    </row>
    <row r="2152" s="18" customFormat="1" ht="14.399999999999999" customHeight="1">
      <c r="A2152" s="10" t="s">
        <v>3341</v>
      </c>
      <c r="B2152" s="10" t="s">
        <v>3342</v>
      </c>
      <c r="C2152" s="13" t="n">
        <v>42101</v>
      </c>
      <c r="D2152" s="13" t="n">
        <v>67253</v>
      </c>
      <c r="E2152" s="6" t="n">
        <f>SUM(C2152,D2152)/2</f>
        <v>54677</v>
      </c>
      <c r="F2152" s="12" t="n">
        <v>30981</v>
      </c>
      <c r="G2152" s="12" t="n">
        <v>45586</v>
      </c>
      <c r="H2152" s="6" t="n">
        <f>SUM(F2152,G2152)/2</f>
        <v>38283.5</v>
      </c>
    </row>
    <row r="2153" s="18" customFormat="1" ht="14.399999999999999" customHeight="1">
      <c r="A2153" s="10" t="s">
        <v>5504</v>
      </c>
      <c r="B2153" s="10" t="s">
        <v>5505</v>
      </c>
      <c r="C2153" s="10" t="n">
        <v>463</v>
      </c>
      <c r="D2153" s="10" t="n">
        <v>739</v>
      </c>
      <c r="E2153" s="6" t="n">
        <f>SUM(C2153,D2153)/2</f>
        <v>601</v>
      </c>
      <c r="F2153" s="18" t="n">
        <v>0</v>
      </c>
      <c r="G2153" s="18" t="n">
        <v>0</v>
      </c>
      <c r="H2153" s="6" t="n">
        <f>SUM(F2153,G2153)/2</f>
        <v>0</v>
      </c>
    </row>
    <row r="2154" s="18" customFormat="1" ht="14.399999999999999" customHeight="1">
      <c r="A2154" s="10" t="s">
        <v>1152</v>
      </c>
      <c r="B2154" s="10" t="s">
        <v>1153</v>
      </c>
      <c r="C2154" s="10" t="n">
        <v>307</v>
      </c>
      <c r="D2154" s="10" t="n">
        <v>490</v>
      </c>
      <c r="E2154" s="6" t="n">
        <f>SUM(C2154,D2154)/2</f>
        <v>398.5</v>
      </c>
      <c r="F2154" s="18" t="n">
        <v>183</v>
      </c>
      <c r="G2154" s="18" t="n">
        <v>275</v>
      </c>
      <c r="H2154" s="6" t="n">
        <f>SUM(F2154,G2154)/2</f>
        <v>229</v>
      </c>
    </row>
    <row r="2155" s="18" customFormat="1" ht="14.399999999999999" customHeight="1">
      <c r="A2155" s="10" t="s">
        <v>1751</v>
      </c>
      <c r="B2155" s="10" t="s">
        <v>1752</v>
      </c>
      <c r="C2155" s="10" t="n">
        <v>1</v>
      </c>
      <c r="D2155" s="10" t="n">
        <v>1</v>
      </c>
      <c r="E2155" s="6" t="n">
        <f>SUM(C2155,D2155)/2</f>
        <v>1</v>
      </c>
      <c r="F2155" s="18" t="n">
        <v>24</v>
      </c>
      <c r="G2155" s="18" t="n">
        <v>29</v>
      </c>
      <c r="H2155" s="6" t="n">
        <f>SUM(F2155,G2155)/2</f>
        <v>26.5</v>
      </c>
    </row>
    <row r="2156" s="18" customFormat="1" ht="14.399999999999999" customHeight="1">
      <c r="A2156" s="10" t="s">
        <v>6614</v>
      </c>
      <c r="B2156" s="10" t="s">
        <v>6615</v>
      </c>
      <c r="C2156" s="13" t="n">
        <v>3104</v>
      </c>
      <c r="D2156" s="13" t="n">
        <v>4960</v>
      </c>
      <c r="E2156" s="6" t="n">
        <f>SUM(C2156,D2156)/2</f>
        <v>4032</v>
      </c>
      <c r="F2156" s="18" t="n">
        <v>1997</v>
      </c>
      <c r="G2156" s="18" t="n">
        <v>4019</v>
      </c>
      <c r="H2156" s="6" t="n">
        <f>SUM(F2156,G2156)/2</f>
        <v>3008</v>
      </c>
    </row>
    <row r="2157" s="18" customFormat="1" ht="14.399999999999999" customHeight="1">
      <c r="A2157" s="10" t="s">
        <v>2514</v>
      </c>
      <c r="B2157" s="10" t="s">
        <v>2515</v>
      </c>
      <c r="C2157" s="10" t="n">
        <v>10</v>
      </c>
      <c r="D2157" s="10" t="n">
        <v>18</v>
      </c>
      <c r="E2157" s="6" t="n">
        <f>SUM(C2157,D2157)/2</f>
        <v>14</v>
      </c>
      <c r="F2157" s="18" t="n">
        <v>0</v>
      </c>
      <c r="G2157" s="18" t="n">
        <v>0</v>
      </c>
      <c r="H2157" s="6" t="n">
        <f>SUM(F2157,G2157)/2</f>
        <v>0</v>
      </c>
    </row>
    <row r="2158" s="18" customFormat="1" ht="14.399999999999999" customHeight="1">
      <c r="A2158" s="10" t="s">
        <v>2590</v>
      </c>
      <c r="B2158" s="10" t="s">
        <v>2591</v>
      </c>
      <c r="C2158" s="10" t="n">
        <v>0</v>
      </c>
      <c r="D2158" s="10" t="n">
        <v>0</v>
      </c>
      <c r="E2158" s="6" t="n">
        <f>SUM(C2158,D2158)/2</f>
        <v>0</v>
      </c>
      <c r="F2158" s="18" t="n">
        <v>2</v>
      </c>
      <c r="G2158" s="18" t="n">
        <v>2</v>
      </c>
      <c r="H2158" s="6" t="n">
        <f>SUM(F2158,G2158)/2</f>
        <v>2</v>
      </c>
    </row>
    <row r="2159" s="18" customFormat="1" ht="14.399999999999999" customHeight="1">
      <c r="A2159" s="10" t="s">
        <v>2454</v>
      </c>
      <c r="B2159" s="10" t="s">
        <v>2455</v>
      </c>
      <c r="C2159" s="10" t="n">
        <v>6</v>
      </c>
      <c r="D2159" s="10" t="n">
        <v>10</v>
      </c>
      <c r="E2159" s="6" t="n">
        <f>SUM(C2159,D2159)/2</f>
        <v>8</v>
      </c>
      <c r="F2159" s="18" t="n">
        <v>2</v>
      </c>
      <c r="G2159" s="18" t="n">
        <v>2</v>
      </c>
      <c r="H2159" s="6" t="n">
        <f>SUM(F2159,G2159)/2</f>
        <v>2</v>
      </c>
    </row>
    <row r="2160" s="18" customFormat="1" ht="14.399999999999999" customHeight="1">
      <c r="A2160" s="10" t="s">
        <v>1927</v>
      </c>
      <c r="B2160" s="10" t="s">
        <v>1928</v>
      </c>
      <c r="C2160" s="10" t="n">
        <v>3</v>
      </c>
      <c r="D2160" s="10" t="n">
        <v>5</v>
      </c>
      <c r="E2160" s="6" t="n">
        <f>SUM(C2160,D2160)/2</f>
        <v>4</v>
      </c>
      <c r="F2160" s="18" t="n">
        <v>10</v>
      </c>
      <c r="G2160" s="18" t="n">
        <v>18</v>
      </c>
      <c r="H2160" s="6" t="n">
        <f>SUM(F2160,G2160)/2</f>
        <v>14</v>
      </c>
    </row>
    <row r="2161" s="18" customFormat="1" ht="14.399999999999999" customHeight="1">
      <c r="A2161" s="10" t="s">
        <v>5271</v>
      </c>
      <c r="B2161" s="10" t="s">
        <v>5272</v>
      </c>
      <c r="C2161" s="10" t="n">
        <v>856</v>
      </c>
      <c r="D2161" s="13" t="n">
        <v>1368</v>
      </c>
      <c r="E2161" s="6" t="n">
        <f>SUM(C2161,D2161)/2</f>
        <v>1112</v>
      </c>
      <c r="F2161" s="18" t="n">
        <v>705</v>
      </c>
      <c r="G2161" s="12" t="n">
        <v>1050</v>
      </c>
      <c r="H2161" s="6" t="n">
        <f>SUM(F2161,G2161)/2</f>
        <v>877.5</v>
      </c>
    </row>
    <row r="2162" s="18" customFormat="1" ht="14.399999999999999" customHeight="1">
      <c r="A2162" s="10" t="s">
        <v>1641</v>
      </c>
      <c r="B2162" s="10" t="s">
        <v>1642</v>
      </c>
      <c r="C2162" s="10" t="n">
        <v>26</v>
      </c>
      <c r="D2162" s="10" t="n">
        <v>40</v>
      </c>
      <c r="E2162" s="6" t="n">
        <f>SUM(C2162,D2162)/2</f>
        <v>33</v>
      </c>
      <c r="F2162" s="18" t="n">
        <v>31</v>
      </c>
      <c r="G2162" s="18" t="n">
        <v>44</v>
      </c>
      <c r="H2162" s="6" t="n">
        <f>SUM(F2162,G2162)/2</f>
        <v>37.5</v>
      </c>
    </row>
    <row r="2163" s="18" customFormat="1" ht="14.399999999999999" customHeight="1">
      <c r="A2163" s="10" t="s">
        <v>6616</v>
      </c>
      <c r="B2163" s="10" t="s">
        <v>6617</v>
      </c>
      <c r="C2163" s="10" t="n">
        <v>1</v>
      </c>
      <c r="D2163" s="10" t="n">
        <v>1</v>
      </c>
      <c r="E2163" s="6" t="n">
        <f>SUM(C2163,D2163)/2</f>
        <v>1</v>
      </c>
      <c r="F2163" s="18" t="n">
        <v>8</v>
      </c>
      <c r="G2163" s="18" t="n">
        <v>13</v>
      </c>
      <c r="H2163" s="6" t="n">
        <f>SUM(F2163,G2163)/2</f>
        <v>10.5</v>
      </c>
    </row>
    <row r="2164" s="18" customFormat="1" ht="14.399999999999999" customHeight="1">
      <c r="A2164" s="10" t="s">
        <v>2138</v>
      </c>
      <c r="B2164" s="10" t="s">
        <v>2139</v>
      </c>
      <c r="C2164" s="10" t="n">
        <v>5</v>
      </c>
      <c r="D2164" s="10" t="n">
        <v>7</v>
      </c>
      <c r="E2164" s="6" t="n">
        <f>SUM(C2164,D2164)/2</f>
        <v>6</v>
      </c>
      <c r="F2164" s="18" t="n">
        <v>6</v>
      </c>
      <c r="G2164" s="18" t="n">
        <v>8</v>
      </c>
      <c r="H2164" s="6" t="n">
        <f>SUM(F2164,G2164)/2</f>
        <v>7</v>
      </c>
    </row>
    <row r="2165" s="18" customFormat="1" ht="14.399999999999999" customHeight="1">
      <c r="A2165" s="10" t="s">
        <v>26</v>
      </c>
      <c r="B2165" s="10" t="s">
        <v>27</v>
      </c>
      <c r="C2165" s="13" t="n">
        <v>10447085</v>
      </c>
      <c r="D2165" s="13" t="n">
        <v>16688201</v>
      </c>
      <c r="E2165" s="6" t="n">
        <f>SUM(C2165,D2165)/2</f>
        <v>13567643</v>
      </c>
      <c r="F2165" s="12" t="n">
        <v>223668</v>
      </c>
      <c r="G2165" s="12" t="n">
        <v>318745</v>
      </c>
      <c r="H2165" s="6" t="n">
        <f>SUM(F2165,G2165)/2</f>
        <v>271206.5</v>
      </c>
    </row>
    <row r="2166" s="18" customFormat="1" ht="14.399999999999999" customHeight="1">
      <c r="A2166" s="10" t="s">
        <v>8</v>
      </c>
      <c r="B2166" s="10" t="s">
        <v>9</v>
      </c>
      <c r="C2166" s="13" t="n">
        <v>20313897</v>
      </c>
      <c r="D2166" s="13" t="n">
        <v>32449471</v>
      </c>
      <c r="E2166" s="6" t="n">
        <f>SUM(C2166,D2166)/2</f>
        <v>26381684</v>
      </c>
      <c r="F2166" s="13" t="n">
        <v>5056295</v>
      </c>
      <c r="G2166" s="12" t="n">
        <v>6526100</v>
      </c>
      <c r="H2166" s="6" t="n">
        <f>SUM(F2166,G2166)/2</f>
        <v>5791197.5</v>
      </c>
    </row>
    <row r="2167" s="18" customFormat="1" ht="14.399999999999999" customHeight="1">
      <c r="A2167" s="10" t="s">
        <v>86</v>
      </c>
      <c r="B2167" s="10" t="s">
        <v>87</v>
      </c>
      <c r="C2167" s="13" t="n">
        <v>118494</v>
      </c>
      <c r="D2167" s="13" t="n">
        <v>189280</v>
      </c>
      <c r="E2167" s="6" t="n">
        <f>SUM(C2167,D2167)/2</f>
        <v>153887</v>
      </c>
      <c r="F2167" s="12" t="n">
        <v>11699</v>
      </c>
      <c r="G2167" s="12" t="n">
        <v>18514</v>
      </c>
      <c r="H2167" s="6" t="n">
        <f>SUM(F2167,G2167)/2</f>
        <v>15106.5</v>
      </c>
    </row>
    <row r="2168" s="18" customFormat="1" ht="14.399999999999999" customHeight="1">
      <c r="A2168" s="10" t="s">
        <v>2955</v>
      </c>
      <c r="B2168" s="10" t="s">
        <v>2956</v>
      </c>
      <c r="C2168" s="10" t="n">
        <v>0</v>
      </c>
      <c r="D2168" s="10" t="n">
        <v>0</v>
      </c>
      <c r="E2168" s="6" t="n">
        <f>SUM(C2168,D2168)/2</f>
        <v>0</v>
      </c>
      <c r="F2168" s="18" t="n">
        <v>0</v>
      </c>
      <c r="G2168" s="18" t="n">
        <v>0</v>
      </c>
      <c r="H2168" s="6" t="n">
        <f>SUM(F2168,G2168)/2</f>
        <v>0</v>
      </c>
    </row>
    <row r="2169" s="18" customFormat="1" ht="14.399999999999999" customHeight="1">
      <c r="A2169" s="10" t="s">
        <v>3617</v>
      </c>
      <c r="B2169" s="10" t="s">
        <v>3618</v>
      </c>
      <c r="C2169" s="13" t="n">
        <v>58105</v>
      </c>
      <c r="D2169" s="13" t="n">
        <v>92815</v>
      </c>
      <c r="E2169" s="6" t="n">
        <f>SUM(C2169,D2169)/2</f>
        <v>75460</v>
      </c>
      <c r="F2169" s="12" t="n">
        <v>18115</v>
      </c>
      <c r="G2169" s="12" t="n">
        <v>23730</v>
      </c>
      <c r="H2169" s="6" t="n">
        <f>SUM(F2169,G2169)/2</f>
        <v>20922.5</v>
      </c>
    </row>
    <row r="2170" s="18" customFormat="1" ht="14.399999999999999" customHeight="1">
      <c r="A2170" s="10" t="s">
        <v>6618</v>
      </c>
      <c r="B2170" s="10" t="s">
        <v>6619</v>
      </c>
      <c r="C2170" s="10" t="n">
        <v>343</v>
      </c>
      <c r="D2170" s="10" t="n">
        <v>551</v>
      </c>
      <c r="E2170" s="6" t="n">
        <f>SUM(C2170,D2170)/2</f>
        <v>447</v>
      </c>
      <c r="F2170" s="18" t="n">
        <v>51</v>
      </c>
      <c r="G2170" s="18" t="n">
        <v>71</v>
      </c>
      <c r="H2170" s="6" t="n">
        <f>SUM(F2170,G2170)/2</f>
        <v>61</v>
      </c>
    </row>
    <row r="2171" s="18" customFormat="1" ht="14.399999999999999" customHeight="1">
      <c r="A2171" s="10" t="s">
        <v>931</v>
      </c>
      <c r="B2171" s="10" t="s">
        <v>932</v>
      </c>
      <c r="C2171" s="13" t="n">
        <v>502671</v>
      </c>
      <c r="D2171" s="13" t="n">
        <v>802969</v>
      </c>
      <c r="E2171" s="6" t="n">
        <f>SUM(C2171,D2171)/2</f>
        <v>652820</v>
      </c>
      <c r="F2171" s="12" t="n">
        <v>157203</v>
      </c>
      <c r="G2171" s="12" t="n">
        <v>224970</v>
      </c>
      <c r="H2171" s="6" t="n">
        <f>SUM(F2171,G2171)/2</f>
        <v>191086.5</v>
      </c>
    </row>
    <row r="2172" s="18" customFormat="1" ht="14.399999999999999" customHeight="1">
      <c r="A2172" s="10" t="s">
        <v>1789</v>
      </c>
      <c r="B2172" s="10" t="s">
        <v>1790</v>
      </c>
      <c r="C2172" s="10" t="n">
        <v>1</v>
      </c>
      <c r="D2172" s="10" t="n">
        <v>1</v>
      </c>
      <c r="E2172" s="6" t="n">
        <f>SUM(C2172,D2172)/2</f>
        <v>1</v>
      </c>
      <c r="F2172" s="18" t="n">
        <v>18</v>
      </c>
      <c r="G2172" s="18" t="n">
        <v>28</v>
      </c>
      <c r="H2172" s="6" t="n">
        <f>SUM(F2172,G2172)/2</f>
        <v>23</v>
      </c>
    </row>
    <row r="2173" s="18" customFormat="1" ht="14.399999999999999" customHeight="1">
      <c r="A2173" s="10" t="s">
        <v>6620</v>
      </c>
      <c r="B2173" s="10" t="s">
        <v>6621</v>
      </c>
      <c r="C2173" s="13" t="n">
        <v>100169</v>
      </c>
      <c r="D2173" s="13" t="n">
        <v>160013</v>
      </c>
      <c r="E2173" s="6" t="n">
        <f>SUM(C2173,D2173)/2</f>
        <v>130091</v>
      </c>
      <c r="F2173" s="12" t="n">
        <v>4049</v>
      </c>
      <c r="G2173" s="12" t="n">
        <v>11000</v>
      </c>
      <c r="H2173" s="6" t="n">
        <f>SUM(F2173,G2173)/2</f>
        <v>7524.5</v>
      </c>
    </row>
    <row r="2174" s="18" customFormat="1" ht="14.399999999999999" customHeight="1">
      <c r="A2174" s="10" t="s">
        <v>3945</v>
      </c>
      <c r="B2174" s="10" t="s">
        <v>3946</v>
      </c>
      <c r="C2174" s="13" t="n">
        <v>8266</v>
      </c>
      <c r="D2174" s="13" t="n">
        <v>13200</v>
      </c>
      <c r="E2174" s="6" t="n">
        <f>SUM(C2174,D2174)/2</f>
        <v>10733</v>
      </c>
      <c r="F2174" s="12" t="n">
        <v>18800</v>
      </c>
      <c r="G2174" s="12" t="n">
        <v>28378</v>
      </c>
      <c r="H2174" s="6" t="n">
        <f>SUM(F2174,G2174)/2</f>
        <v>23589</v>
      </c>
    </row>
    <row r="2175" s="18" customFormat="1" ht="14.399999999999999" customHeight="1">
      <c r="A2175" s="10" t="s">
        <v>2160</v>
      </c>
      <c r="B2175" s="10" t="s">
        <v>2161</v>
      </c>
      <c r="C2175" s="13" t="n">
        <v>83046</v>
      </c>
      <c r="D2175" s="13" t="n">
        <v>132662</v>
      </c>
      <c r="E2175" s="6" t="n">
        <f>SUM(C2175,D2175)/2</f>
        <v>107854</v>
      </c>
      <c r="F2175" s="12" t="n">
        <v>65498</v>
      </c>
      <c r="G2175" s="12" t="n">
        <v>102268</v>
      </c>
      <c r="H2175" s="6" t="n">
        <f>SUM(F2175,G2175)/2</f>
        <v>83883</v>
      </c>
    </row>
    <row r="2176" s="18" customFormat="1" ht="14.399999999999999" customHeight="1">
      <c r="A2176" s="10" t="s">
        <v>5464</v>
      </c>
      <c r="B2176" s="10" t="s">
        <v>5465</v>
      </c>
      <c r="C2176" s="13" t="n">
        <v>197467</v>
      </c>
      <c r="D2176" s="13" t="n">
        <v>315433</v>
      </c>
      <c r="E2176" s="6" t="n">
        <f>SUM(C2176,D2176)/2</f>
        <v>256450</v>
      </c>
      <c r="F2176" s="12" t="n">
        <v>31960</v>
      </c>
      <c r="G2176" s="12" t="n">
        <v>46113</v>
      </c>
      <c r="H2176" s="6" t="n">
        <f>SUM(F2176,G2176)/2</f>
        <v>39036.5</v>
      </c>
    </row>
    <row r="2177" s="18" customFormat="1" ht="14.399999999999999" customHeight="1">
      <c r="A2177" s="10" t="s">
        <v>3827</v>
      </c>
      <c r="B2177" s="10" t="s">
        <v>3828</v>
      </c>
      <c r="C2177" s="13" t="n">
        <v>65930</v>
      </c>
      <c r="D2177" s="13" t="n">
        <v>105316</v>
      </c>
      <c r="E2177" s="6" t="n">
        <f>SUM(C2177,D2177)/2</f>
        <v>85623</v>
      </c>
      <c r="F2177" s="12" t="n">
        <v>8801</v>
      </c>
      <c r="G2177" s="12" t="n">
        <v>13085</v>
      </c>
      <c r="H2177" s="6" t="n">
        <f>SUM(F2177,G2177)/2</f>
        <v>10943</v>
      </c>
    </row>
    <row r="2178" s="18" customFormat="1" ht="14.399999999999999" customHeight="1">
      <c r="A2178" s="10" t="s">
        <v>6622</v>
      </c>
      <c r="B2178" s="10" t="s">
        <v>6623</v>
      </c>
      <c r="C2178" s="13" t="n">
        <v>12603</v>
      </c>
      <c r="D2178" s="13" t="n">
        <v>20131</v>
      </c>
      <c r="E2178" s="6" t="n">
        <f>SUM(C2178,D2178)/2</f>
        <v>16367</v>
      </c>
      <c r="F2178" s="12" t="n">
        <v>7443</v>
      </c>
      <c r="G2178" s="12" t="n">
        <v>12182</v>
      </c>
      <c r="H2178" s="6" t="n">
        <f>SUM(F2178,G2178)/2</f>
        <v>9812.5</v>
      </c>
    </row>
    <row r="2179" s="18" customFormat="1" ht="14.399999999999999" customHeight="1">
      <c r="A2179" s="10" t="s">
        <v>1159</v>
      </c>
      <c r="B2179" s="10" t="s">
        <v>1160</v>
      </c>
      <c r="C2179" s="13" t="n">
        <v>181856</v>
      </c>
      <c r="D2179" s="13" t="n">
        <v>290496</v>
      </c>
      <c r="E2179" s="6" t="n">
        <f>SUM(C2179,D2179)/2</f>
        <v>236176</v>
      </c>
      <c r="F2179" s="12" t="n">
        <v>72897</v>
      </c>
      <c r="G2179" s="12" t="n">
        <v>95743</v>
      </c>
      <c r="H2179" s="6" t="n">
        <f>SUM(F2179,G2179)/2</f>
        <v>84320</v>
      </c>
    </row>
    <row r="2180" s="18" customFormat="1" ht="14.399999999999999" customHeight="1">
      <c r="A2180" s="10" t="s">
        <v>6624</v>
      </c>
      <c r="B2180" s="10" t="s">
        <v>6625</v>
      </c>
      <c r="C2180" s="13" t="n">
        <v>89147</v>
      </c>
      <c r="D2180" s="13" t="n">
        <v>142403</v>
      </c>
      <c r="E2180" s="6" t="n">
        <f>SUM(C2180,D2180)/2</f>
        <v>115775</v>
      </c>
      <c r="F2180" s="12" t="n">
        <v>30470</v>
      </c>
      <c r="G2180" s="12" t="n">
        <v>45492</v>
      </c>
      <c r="H2180" s="6" t="n">
        <f>SUM(F2180,G2180)/2</f>
        <v>37981</v>
      </c>
    </row>
    <row r="2181" s="18" customFormat="1" ht="14.399999999999999" customHeight="1">
      <c r="A2181" s="10" t="s">
        <v>3383</v>
      </c>
      <c r="B2181" s="10" t="s">
        <v>3384</v>
      </c>
      <c r="C2181" s="13" t="n">
        <v>86042</v>
      </c>
      <c r="D2181" s="13" t="n">
        <v>137444</v>
      </c>
      <c r="E2181" s="6" t="n">
        <f>SUM(C2181,D2181)/2</f>
        <v>111743</v>
      </c>
      <c r="F2181" s="12" t="n">
        <v>12887</v>
      </c>
      <c r="G2181" s="12" t="n">
        <v>34266</v>
      </c>
      <c r="H2181" s="6" t="n">
        <f>SUM(F2181,G2181)/2</f>
        <v>23576.5</v>
      </c>
    </row>
    <row r="2182" s="18" customFormat="1" ht="14.399999999999999" customHeight="1">
      <c r="A2182" s="10" t="s">
        <v>2190</v>
      </c>
      <c r="B2182" s="10" t="s">
        <v>2191</v>
      </c>
      <c r="C2182" s="13" t="n">
        <v>199490</v>
      </c>
      <c r="D2182" s="13" t="n">
        <v>318664</v>
      </c>
      <c r="E2182" s="6" t="n">
        <f>SUM(C2182,D2182)/2</f>
        <v>259077</v>
      </c>
      <c r="F2182" s="12" t="n">
        <v>38783</v>
      </c>
      <c r="G2182" s="12" t="n">
        <v>67165</v>
      </c>
      <c r="H2182" s="6" t="n">
        <f>SUM(F2182,G2182)/2</f>
        <v>52974</v>
      </c>
    </row>
    <row r="2183" s="18" customFormat="1" ht="14.399999999999999" customHeight="1">
      <c r="A2183" s="10" t="s">
        <v>4805</v>
      </c>
      <c r="B2183" s="10" t="s">
        <v>4806</v>
      </c>
      <c r="C2183" s="13" t="n">
        <v>7062</v>
      </c>
      <c r="D2183" s="13" t="n">
        <v>11280</v>
      </c>
      <c r="E2183" s="6" t="n">
        <f>SUM(C2183,D2183)/2</f>
        <v>9171</v>
      </c>
      <c r="F2183" s="12" t="n">
        <v>7928</v>
      </c>
      <c r="G2183" s="12" t="n">
        <v>11592</v>
      </c>
      <c r="H2183" s="6" t="n">
        <f>SUM(F2183,G2183)/2</f>
        <v>9760</v>
      </c>
    </row>
    <row r="2184" s="18" customFormat="1" ht="14.399999999999999" customHeight="1">
      <c r="A2184" s="10" t="s">
        <v>4351</v>
      </c>
      <c r="B2184" s="10" t="s">
        <v>4352</v>
      </c>
      <c r="C2184" s="13" t="n">
        <v>18580</v>
      </c>
      <c r="D2184" s="13" t="n">
        <v>29682</v>
      </c>
      <c r="E2184" s="6" t="n">
        <f>SUM(C2184,D2184)/2</f>
        <v>24131</v>
      </c>
      <c r="F2184" s="12" t="n">
        <v>9306</v>
      </c>
      <c r="G2184" s="12" t="n">
        <v>15452</v>
      </c>
      <c r="H2184" s="6" t="n">
        <f>SUM(F2184,G2184)/2</f>
        <v>12379</v>
      </c>
    </row>
    <row r="2185" s="18" customFormat="1" ht="14.399999999999999" customHeight="1">
      <c r="A2185" s="10" t="s">
        <v>4611</v>
      </c>
      <c r="B2185" s="10" t="s">
        <v>4612</v>
      </c>
      <c r="C2185" s="13" t="n">
        <v>12582</v>
      </c>
      <c r="D2185" s="13" t="n">
        <v>20098</v>
      </c>
      <c r="E2185" s="6" t="n">
        <f>SUM(C2185,D2185)/2</f>
        <v>16340</v>
      </c>
      <c r="F2185" s="12" t="n">
        <v>8961</v>
      </c>
      <c r="G2185" s="12" t="n">
        <v>12187</v>
      </c>
      <c r="H2185" s="6" t="n">
        <f>SUM(F2185,G2185)/2</f>
        <v>10574</v>
      </c>
    </row>
    <row r="2186" s="18" customFormat="1" ht="14.399999999999999" customHeight="1">
      <c r="A2186" s="10" t="s">
        <v>3057</v>
      </c>
      <c r="B2186" s="10" t="s">
        <v>3058</v>
      </c>
      <c r="C2186" s="13" t="n">
        <v>116330</v>
      </c>
      <c r="D2186" s="13" t="n">
        <v>185825</v>
      </c>
      <c r="E2186" s="6" t="n">
        <f>SUM(C2186,D2186)/2</f>
        <v>151077.5</v>
      </c>
      <c r="F2186" s="12" t="n">
        <v>21938</v>
      </c>
      <c r="G2186" s="12" t="n">
        <v>55371</v>
      </c>
      <c r="H2186" s="6" t="n">
        <f>SUM(F2186,G2186)/2</f>
        <v>38654.5</v>
      </c>
    </row>
    <row r="2187" s="18" customFormat="1" ht="14.399999999999999" customHeight="1">
      <c r="A2187" s="10" t="s">
        <v>1518</v>
      </c>
      <c r="B2187" s="10" t="s">
        <v>1519</v>
      </c>
      <c r="C2187" s="13" t="n">
        <v>193453</v>
      </c>
      <c r="D2187" s="13" t="n">
        <v>309023</v>
      </c>
      <c r="E2187" s="6" t="n">
        <f>SUM(C2187,D2187)/2</f>
        <v>251238</v>
      </c>
      <c r="F2187" s="12" t="n">
        <v>63806</v>
      </c>
      <c r="G2187" s="12" t="n">
        <v>99456</v>
      </c>
      <c r="H2187" s="6" t="n">
        <f>SUM(F2187,G2187)/2</f>
        <v>81631</v>
      </c>
    </row>
    <row r="2188" s="18" customFormat="1" ht="14.399999999999999" customHeight="1">
      <c r="A2188" s="10" t="s">
        <v>1476</v>
      </c>
      <c r="B2188" s="10" t="s">
        <v>1477</v>
      </c>
      <c r="C2188" s="13" t="n">
        <v>288049</v>
      </c>
      <c r="D2188" s="13" t="n">
        <v>460129</v>
      </c>
      <c r="E2188" s="6" t="n">
        <f>SUM(C2188,D2188)/2</f>
        <v>374089</v>
      </c>
      <c r="F2188" s="12" t="n">
        <v>55333</v>
      </c>
      <c r="G2188" s="12" t="n">
        <v>84364</v>
      </c>
      <c r="H2188" s="6" t="n">
        <f>SUM(F2188,G2188)/2</f>
        <v>69848.5</v>
      </c>
    </row>
    <row r="2189" s="18" customFormat="1" ht="14.399999999999999" customHeight="1">
      <c r="A2189" s="10" t="s">
        <v>1233</v>
      </c>
      <c r="B2189" s="10" t="s">
        <v>1234</v>
      </c>
      <c r="C2189" s="13" t="n">
        <v>130727</v>
      </c>
      <c r="D2189" s="13" t="n">
        <v>208823</v>
      </c>
      <c r="E2189" s="6" t="n">
        <f>SUM(C2189,D2189)/2</f>
        <v>169775</v>
      </c>
      <c r="F2189" s="12" t="n">
        <v>44383</v>
      </c>
      <c r="G2189" s="12" t="n">
        <v>57964</v>
      </c>
      <c r="H2189" s="6" t="n">
        <f>SUM(F2189,G2189)/2</f>
        <v>51173.5</v>
      </c>
    </row>
    <row r="2190" s="18" customFormat="1" ht="14.399999999999999" customHeight="1">
      <c r="A2190" s="10" t="s">
        <v>1431</v>
      </c>
      <c r="B2190" s="10" t="s">
        <v>1432</v>
      </c>
      <c r="C2190" s="10" t="n">
        <v>47</v>
      </c>
      <c r="D2190" s="10" t="n">
        <v>77</v>
      </c>
      <c r="E2190" s="6" t="n">
        <f>SUM(C2190,D2190)/2</f>
        <v>62</v>
      </c>
      <c r="F2190" s="18" t="n">
        <v>6</v>
      </c>
      <c r="G2190" s="18" t="n">
        <v>8</v>
      </c>
      <c r="H2190" s="6" t="n">
        <f>SUM(F2190,G2190)/2</f>
        <v>7</v>
      </c>
    </row>
    <row r="2191" s="18" customFormat="1" ht="14.399999999999999" customHeight="1">
      <c r="A2191" s="10" t="s">
        <v>1713</v>
      </c>
      <c r="B2191" s="10" t="s">
        <v>1714</v>
      </c>
      <c r="C2191" s="10" t="n">
        <v>96</v>
      </c>
      <c r="D2191" s="10" t="n">
        <v>154</v>
      </c>
      <c r="E2191" s="6" t="n">
        <f>SUM(C2191,D2191)/2</f>
        <v>125</v>
      </c>
      <c r="F2191" s="18" t="n">
        <v>4</v>
      </c>
      <c r="G2191" s="18" t="n">
        <v>6</v>
      </c>
      <c r="H2191" s="6" t="n">
        <f>SUM(F2191,G2191)/2</f>
        <v>5</v>
      </c>
    </row>
    <row r="2192" s="18" customFormat="1" ht="14.399999999999999" customHeight="1">
      <c r="A2192" s="10" t="s">
        <v>1859</v>
      </c>
      <c r="B2192" s="10" t="s">
        <v>1860</v>
      </c>
      <c r="C2192" s="10" t="n">
        <v>22</v>
      </c>
      <c r="D2192" s="10" t="n">
        <v>32</v>
      </c>
      <c r="E2192" s="6" t="n">
        <f>SUM(C2192,D2192)/2</f>
        <v>27</v>
      </c>
      <c r="F2192" s="18" t="n">
        <v>11</v>
      </c>
      <c r="G2192" s="18" t="n">
        <v>16</v>
      </c>
      <c r="H2192" s="6" t="n">
        <f>SUM(F2192,G2192)/2</f>
        <v>13.5</v>
      </c>
    </row>
    <row r="2193" s="18" customFormat="1" ht="14.399999999999999" customHeight="1">
      <c r="A2193" s="10" t="s">
        <v>4129</v>
      </c>
      <c r="B2193" s="10" t="s">
        <v>4130</v>
      </c>
      <c r="C2193" s="13" t="n">
        <v>32749</v>
      </c>
      <c r="D2193" s="13" t="n">
        <v>52311</v>
      </c>
      <c r="E2193" s="6" t="n">
        <f>SUM(C2193,D2193)/2</f>
        <v>42530</v>
      </c>
      <c r="F2193" s="12" t="n">
        <v>10517</v>
      </c>
      <c r="G2193" s="12" t="n">
        <v>14603</v>
      </c>
      <c r="H2193" s="6" t="n">
        <f>SUM(F2193,G2193)/2</f>
        <v>12560</v>
      </c>
    </row>
    <row r="2194" s="18" customFormat="1" ht="14.399999999999999" customHeight="1">
      <c r="A2194" s="10" t="s">
        <v>4545</v>
      </c>
      <c r="B2194" s="10" t="s">
        <v>4546</v>
      </c>
      <c r="C2194" s="13" t="n">
        <v>27801</v>
      </c>
      <c r="D2194" s="13" t="n">
        <v>44411</v>
      </c>
      <c r="E2194" s="6" t="n">
        <f>SUM(C2194,D2194)/2</f>
        <v>36106</v>
      </c>
      <c r="F2194" s="12" t="n">
        <v>5818</v>
      </c>
      <c r="G2194" s="12" t="n">
        <v>8381</v>
      </c>
      <c r="H2194" s="6" t="n">
        <f>SUM(F2194,G2194)/2</f>
        <v>7099.5</v>
      </c>
    </row>
    <row r="2195" s="18" customFormat="1" ht="14.399999999999999" customHeight="1">
      <c r="A2195" s="10" t="s">
        <v>4695</v>
      </c>
      <c r="B2195" s="10" t="s">
        <v>4696</v>
      </c>
      <c r="C2195" s="13" t="n">
        <v>22871</v>
      </c>
      <c r="D2195" s="13" t="n">
        <v>36535</v>
      </c>
      <c r="E2195" s="6" t="n">
        <f>SUM(C2195,D2195)/2</f>
        <v>29703</v>
      </c>
      <c r="F2195" s="12" t="n">
        <v>5304</v>
      </c>
      <c r="G2195" s="12" t="n">
        <v>7856</v>
      </c>
      <c r="H2195" s="6" t="n">
        <f>SUM(F2195,G2195)/2</f>
        <v>6580</v>
      </c>
    </row>
    <row r="2196" s="18" customFormat="1" ht="14.399999999999999" customHeight="1">
      <c r="A2196" s="10" t="s">
        <v>6626</v>
      </c>
      <c r="B2196" s="10" t="s">
        <v>6627</v>
      </c>
      <c r="C2196" s="10" t="n">
        <v>184</v>
      </c>
      <c r="D2196" s="10" t="n">
        <v>292</v>
      </c>
      <c r="E2196" s="6" t="n">
        <f>SUM(C2196,D2196)/2</f>
        <v>238</v>
      </c>
      <c r="F2196" s="18" t="n">
        <v>40</v>
      </c>
      <c r="G2196" s="18" t="n">
        <v>64</v>
      </c>
      <c r="H2196" s="6" t="n">
        <f>SUM(F2196,G2196)/2</f>
        <v>52</v>
      </c>
    </row>
    <row r="2197" s="18" customFormat="1" ht="14.399999999999999" customHeight="1">
      <c r="A2197" s="10" t="s">
        <v>1486</v>
      </c>
      <c r="B2197" s="10" t="s">
        <v>1487</v>
      </c>
      <c r="C2197" s="10" t="n">
        <v>67</v>
      </c>
      <c r="D2197" s="10" t="n">
        <v>107</v>
      </c>
      <c r="E2197" s="6" t="n">
        <f>SUM(C2197,D2197)/2</f>
        <v>87</v>
      </c>
      <c r="F2197" s="18" t="n">
        <v>0</v>
      </c>
      <c r="G2197" s="18" t="n">
        <v>0</v>
      </c>
      <c r="H2197" s="6" t="n">
        <f>SUM(F2197,G2197)/2</f>
        <v>0</v>
      </c>
    </row>
    <row r="2198" s="18" customFormat="1" ht="14.399999999999999" customHeight="1">
      <c r="A2198" s="10" t="s">
        <v>2957</v>
      </c>
      <c r="B2198" s="10" t="s">
        <v>2958</v>
      </c>
      <c r="C2198" s="10" t="n">
        <v>0</v>
      </c>
      <c r="D2198" s="10" t="n">
        <v>0</v>
      </c>
      <c r="E2198" s="6" t="n">
        <f>SUM(C2198,D2198)/2</f>
        <v>0</v>
      </c>
      <c r="F2198" s="18" t="n">
        <v>0</v>
      </c>
      <c r="G2198" s="18" t="n">
        <v>0</v>
      </c>
      <c r="H2198" s="6" t="n">
        <f>SUM(F2198,G2198)/2</f>
        <v>0</v>
      </c>
    </row>
    <row r="2199" s="18" customFormat="1" ht="14.399999999999999" customHeight="1">
      <c r="A2199" s="10" t="s">
        <v>3503</v>
      </c>
      <c r="B2199" s="10" t="s">
        <v>3504</v>
      </c>
      <c r="C2199" s="13" t="n">
        <v>84317</v>
      </c>
      <c r="D2199" s="13" t="n">
        <v>134687</v>
      </c>
      <c r="E2199" s="6" t="n">
        <f>SUM(C2199,D2199)/2</f>
        <v>109502</v>
      </c>
      <c r="F2199" s="12" t="n">
        <v>14192</v>
      </c>
      <c r="G2199" s="12" t="n">
        <v>23500</v>
      </c>
      <c r="H2199" s="6" t="n">
        <f>SUM(F2199,G2199)/2</f>
        <v>18846</v>
      </c>
    </row>
    <row r="2200" s="18" customFormat="1" ht="14.399999999999999" customHeight="1">
      <c r="A2200" s="10" t="s">
        <v>6628</v>
      </c>
      <c r="B2200" s="10" t="s">
        <v>6629</v>
      </c>
      <c r="C2200" s="13" t="n">
        <v>105139</v>
      </c>
      <c r="D2200" s="13" t="n">
        <v>167947</v>
      </c>
      <c r="E2200" s="6" t="n">
        <f>SUM(C2200,D2200)/2</f>
        <v>136543</v>
      </c>
      <c r="F2200" s="12" t="n">
        <v>11626</v>
      </c>
      <c r="G2200" s="12" t="n">
        <v>28219</v>
      </c>
      <c r="H2200" s="6" t="n">
        <f>SUM(F2200,G2200)/2</f>
        <v>19922.5</v>
      </c>
    </row>
    <row r="2201" s="18" customFormat="1" ht="14.399999999999999" customHeight="1">
      <c r="A2201" s="10" t="s">
        <v>4683</v>
      </c>
      <c r="B2201" s="10" t="s">
        <v>4684</v>
      </c>
      <c r="C2201" s="13" t="n">
        <v>12571</v>
      </c>
      <c r="D2201" s="13" t="n">
        <v>20081</v>
      </c>
      <c r="E2201" s="6" t="n">
        <f>SUM(C2201,D2201)/2</f>
        <v>16326</v>
      </c>
      <c r="F2201" s="12" t="n">
        <v>8067</v>
      </c>
      <c r="G2201" s="12" t="n">
        <v>11074</v>
      </c>
      <c r="H2201" s="6" t="n">
        <f>SUM(F2201,G2201)/2</f>
        <v>9570.5</v>
      </c>
    </row>
    <row r="2202" s="18" customFormat="1" ht="14.399999999999999" customHeight="1">
      <c r="A2202" s="10" t="s">
        <v>3217</v>
      </c>
      <c r="B2202" s="10" t="s">
        <v>3218</v>
      </c>
      <c r="C2202" s="13" t="n">
        <v>172216</v>
      </c>
      <c r="D2202" s="13" t="n">
        <v>275098</v>
      </c>
      <c r="E2202" s="6" t="n">
        <f>SUM(C2202,D2202)/2</f>
        <v>223657</v>
      </c>
      <c r="F2202" s="12" t="n">
        <v>9274</v>
      </c>
      <c r="G2202" s="12" t="n">
        <v>12299</v>
      </c>
      <c r="H2202" s="6" t="n">
        <f>SUM(F2202,G2202)/2</f>
        <v>10786.5</v>
      </c>
    </row>
    <row r="2203" s="18" customFormat="1" ht="14.399999999999999" customHeight="1">
      <c r="A2203" s="10" t="s">
        <v>5324</v>
      </c>
      <c r="B2203" s="10" t="s">
        <v>5325</v>
      </c>
      <c r="C2203" s="13" t="n">
        <v>528350</v>
      </c>
      <c r="D2203" s="13" t="n">
        <v>843992</v>
      </c>
      <c r="E2203" s="6" t="n">
        <f>SUM(C2203,D2203)/2</f>
        <v>686171</v>
      </c>
      <c r="F2203" s="12" t="n">
        <v>27430</v>
      </c>
      <c r="G2203" s="12" t="n">
        <v>52283</v>
      </c>
      <c r="H2203" s="6" t="n">
        <f>SUM(F2203,G2203)/2</f>
        <v>39856.5</v>
      </c>
    </row>
    <row r="2204" s="18" customFormat="1" ht="14.399999999999999" customHeight="1">
      <c r="A2204" s="10" t="s">
        <v>4035</v>
      </c>
      <c r="B2204" s="10" t="s">
        <v>4036</v>
      </c>
      <c r="C2204" s="13" t="n">
        <v>43453</v>
      </c>
      <c r="D2204" s="13" t="n">
        <v>69411</v>
      </c>
      <c r="E2204" s="6" t="n">
        <f>SUM(C2204,D2204)/2</f>
        <v>56432</v>
      </c>
      <c r="F2204" s="12" t="n">
        <v>9441</v>
      </c>
      <c r="G2204" s="12" t="n">
        <v>15130</v>
      </c>
      <c r="H2204" s="6" t="n">
        <f>SUM(F2204,G2204)/2</f>
        <v>12285.5</v>
      </c>
    </row>
    <row r="2205" s="18" customFormat="1" ht="14.399999999999999" customHeight="1">
      <c r="A2205" s="10" t="s">
        <v>875</v>
      </c>
      <c r="B2205" s="10" t="s">
        <v>876</v>
      </c>
      <c r="C2205" s="13" t="n">
        <v>611237</v>
      </c>
      <c r="D2205" s="13" t="n">
        <v>976393</v>
      </c>
      <c r="E2205" s="6" t="n">
        <f>SUM(C2205,D2205)/2</f>
        <v>793815</v>
      </c>
      <c r="F2205" s="12" t="n">
        <v>145757</v>
      </c>
      <c r="G2205" s="12" t="n">
        <v>354150</v>
      </c>
      <c r="H2205" s="6" t="n">
        <f>SUM(F2205,G2205)/2</f>
        <v>249953.5</v>
      </c>
    </row>
    <row r="2206" s="18" customFormat="1" ht="14.399999999999999" customHeight="1">
      <c r="A2206" s="10" t="s">
        <v>2959</v>
      </c>
      <c r="B2206" s="10" t="s">
        <v>2960</v>
      </c>
      <c r="C2206" s="10" t="n">
        <v>0</v>
      </c>
      <c r="D2206" s="10" t="n">
        <v>0</v>
      </c>
      <c r="E2206" s="6" t="n">
        <f>SUM(C2206,D2206)/2</f>
        <v>0</v>
      </c>
      <c r="F2206" s="18" t="n">
        <v>0</v>
      </c>
      <c r="G2206" s="18" t="n">
        <v>0</v>
      </c>
      <c r="H2206" s="6" t="n">
        <f>SUM(F2206,G2206)/2</f>
        <v>0</v>
      </c>
    </row>
    <row r="2207" s="18" customFormat="1" ht="14.399999999999999" customHeight="1">
      <c r="A2207" s="10" t="s">
        <v>6630</v>
      </c>
      <c r="B2207" s="10" t="s">
        <v>6631</v>
      </c>
      <c r="C2207" s="10" t="n">
        <v>1</v>
      </c>
      <c r="D2207" s="10" t="n">
        <v>1</v>
      </c>
      <c r="E2207" s="6" t="n">
        <f>SUM(C2207,D2207)/2</f>
        <v>1</v>
      </c>
      <c r="F2207" s="18" t="n">
        <v>1</v>
      </c>
      <c r="G2207" s="18" t="n">
        <v>1</v>
      </c>
      <c r="H2207" s="6" t="n">
        <f>SUM(F2207,G2207)/2</f>
        <v>1</v>
      </c>
    </row>
    <row r="2208" s="18" customFormat="1" ht="14.399999999999999" customHeight="1">
      <c r="A2208" s="10" t="s">
        <v>917</v>
      </c>
      <c r="B2208" s="10" t="s">
        <v>918</v>
      </c>
      <c r="C2208" s="13" t="n">
        <v>728962</v>
      </c>
      <c r="D2208" s="13" t="n">
        <v>1164444</v>
      </c>
      <c r="E2208" s="6" t="n">
        <f>SUM(C2208,D2208)/2</f>
        <v>946703</v>
      </c>
      <c r="F2208" s="12" t="n">
        <v>111247</v>
      </c>
      <c r="G2208" s="12" t="n">
        <v>163532</v>
      </c>
      <c r="H2208" s="6" t="n">
        <f>SUM(F2208,G2208)/2</f>
        <v>137389.5</v>
      </c>
    </row>
    <row r="2209" s="18" customFormat="1" ht="14.399999999999999" customHeight="1">
      <c r="A2209" s="10" t="s">
        <v>6632</v>
      </c>
      <c r="B2209" s="10" t="s">
        <v>6633</v>
      </c>
      <c r="C2209" s="10" t="n">
        <v>203</v>
      </c>
      <c r="D2209" s="10" t="n">
        <v>323</v>
      </c>
      <c r="E2209" s="6" t="n">
        <f>SUM(C2209,D2209)/2</f>
        <v>263</v>
      </c>
      <c r="F2209" s="18" t="n">
        <v>20</v>
      </c>
      <c r="G2209" s="18" t="n">
        <v>27</v>
      </c>
      <c r="H2209" s="6" t="n">
        <f>SUM(F2209,G2209)/2</f>
        <v>23.5</v>
      </c>
    </row>
    <row r="2210" s="18" customFormat="1" ht="14.399999999999999" customHeight="1">
      <c r="A2210" s="10" t="s">
        <v>626</v>
      </c>
      <c r="B2210" s="10" t="s">
        <v>627</v>
      </c>
      <c r="C2210" s="10" t="n">
        <v>615</v>
      </c>
      <c r="D2210" s="10" t="n">
        <v>983</v>
      </c>
      <c r="E2210" s="6" t="n">
        <f>SUM(C2210,D2210)/2</f>
        <v>799</v>
      </c>
      <c r="F2210" s="18" t="n">
        <v>444</v>
      </c>
      <c r="G2210" s="18" t="n">
        <v>526</v>
      </c>
      <c r="H2210" s="6" t="n">
        <f>SUM(F2210,G2210)/2</f>
        <v>485</v>
      </c>
    </row>
    <row r="2211" s="18" customFormat="1" ht="14.399999999999999" customHeight="1">
      <c r="A2211" s="10" t="s">
        <v>3215</v>
      </c>
      <c r="B2211" s="10" t="s">
        <v>3216</v>
      </c>
      <c r="C2211" s="13" t="n">
        <v>112723</v>
      </c>
      <c r="D2211" s="13" t="n">
        <v>180065</v>
      </c>
      <c r="E2211" s="6" t="n">
        <f>SUM(C2211,D2211)/2</f>
        <v>146394</v>
      </c>
      <c r="F2211" s="12" t="n">
        <v>24907</v>
      </c>
      <c r="G2211" s="12" t="n">
        <v>29671</v>
      </c>
      <c r="H2211" s="6" t="n">
        <f>SUM(F2211,G2211)/2</f>
        <v>27289</v>
      </c>
    </row>
    <row r="2212" s="18" customFormat="1" ht="14.399999999999999" customHeight="1">
      <c r="A2212" s="10" t="s">
        <v>4139</v>
      </c>
      <c r="B2212" s="10" t="s">
        <v>4140</v>
      </c>
      <c r="C2212" s="13" t="n">
        <v>33234</v>
      </c>
      <c r="D2212" s="13" t="n">
        <v>53088</v>
      </c>
      <c r="E2212" s="6" t="n">
        <f>SUM(C2212,D2212)/2</f>
        <v>43161</v>
      </c>
      <c r="F2212" s="12" t="n">
        <v>9335</v>
      </c>
      <c r="G2212" s="12" t="n">
        <v>15021</v>
      </c>
      <c r="H2212" s="6" t="n">
        <f>SUM(F2212,G2212)/2</f>
        <v>12178</v>
      </c>
    </row>
    <row r="2213" s="18" customFormat="1" ht="14.399999999999999" customHeight="1">
      <c r="A2213" s="10" t="s">
        <v>5181</v>
      </c>
      <c r="B2213" s="10" t="s">
        <v>5182</v>
      </c>
      <c r="C2213" s="13" t="n">
        <v>8485</v>
      </c>
      <c r="D2213" s="13" t="n">
        <v>13555</v>
      </c>
      <c r="E2213" s="6" t="n">
        <f>SUM(C2213,D2213)/2</f>
        <v>11020</v>
      </c>
      <c r="F2213" s="12" t="n">
        <v>3503</v>
      </c>
      <c r="G2213" s="12" t="n">
        <v>5053</v>
      </c>
      <c r="H2213" s="6" t="n">
        <f>SUM(F2213,G2213)/2</f>
        <v>4278</v>
      </c>
    </row>
    <row r="2214" s="18" customFormat="1" ht="14.399999999999999" customHeight="1">
      <c r="A2214" s="10" t="s">
        <v>5195</v>
      </c>
      <c r="B2214" s="10" t="s">
        <v>5196</v>
      </c>
      <c r="C2214" s="13" t="n">
        <v>14270</v>
      </c>
      <c r="D2214" s="13" t="n">
        <v>22794</v>
      </c>
      <c r="E2214" s="6" t="n">
        <f>SUM(C2214,D2214)/2</f>
        <v>18532</v>
      </c>
      <c r="F2214" s="18" t="n">
        <v>1321</v>
      </c>
      <c r="G2214" s="18" t="n">
        <v>2984</v>
      </c>
      <c r="H2214" s="6" t="n">
        <f>SUM(F2214,G2214)/2</f>
        <v>2152.5</v>
      </c>
    </row>
    <row r="2215" s="18" customFormat="1" ht="14.399999999999999" customHeight="1">
      <c r="A2215" s="10" t="s">
        <v>208</v>
      </c>
      <c r="B2215" s="10" t="s">
        <v>209</v>
      </c>
      <c r="C2215" s="13" t="n">
        <v>283337</v>
      </c>
      <c r="D2215" s="13" t="n">
        <v>452603</v>
      </c>
      <c r="E2215" s="6" t="n">
        <f>SUM(C2215,D2215)/2</f>
        <v>367970</v>
      </c>
      <c r="F2215" s="12" t="n">
        <v>45766</v>
      </c>
      <c r="G2215" s="12" t="n">
        <v>62431</v>
      </c>
      <c r="H2215" s="6" t="n">
        <f>SUM(F2215,G2215)/2</f>
        <v>54098.5</v>
      </c>
    </row>
    <row r="2216" s="18" customFormat="1" ht="14.399999999999999" customHeight="1">
      <c r="A2216" s="10" t="s">
        <v>4875</v>
      </c>
      <c r="B2216" s="10" t="s">
        <v>4876</v>
      </c>
      <c r="C2216" s="13" t="n">
        <v>19214</v>
      </c>
      <c r="D2216" s="13" t="n">
        <v>30692</v>
      </c>
      <c r="E2216" s="6" t="n">
        <f>SUM(C2216,D2216)/2</f>
        <v>24953</v>
      </c>
      <c r="F2216" s="12" t="n">
        <v>5017</v>
      </c>
      <c r="G2216" s="12" t="n">
        <v>6505</v>
      </c>
      <c r="H2216" s="6" t="n">
        <f>SUM(F2216,G2216)/2</f>
        <v>5761</v>
      </c>
    </row>
    <row r="2217" s="18" customFormat="1" ht="14.399999999999999" customHeight="1">
      <c r="A2217" s="10" t="s">
        <v>2716</v>
      </c>
      <c r="B2217" s="10" t="s">
        <v>2717</v>
      </c>
      <c r="C2217" s="10" t="n">
        <v>3</v>
      </c>
      <c r="D2217" s="10" t="n">
        <v>5</v>
      </c>
      <c r="E2217" s="6" t="n">
        <f>SUM(C2217,D2217)/2</f>
        <v>4</v>
      </c>
      <c r="F2217" s="18" t="n">
        <v>0</v>
      </c>
      <c r="G2217" s="18" t="n">
        <v>0</v>
      </c>
      <c r="H2217" s="6" t="n">
        <f>SUM(F2217,G2217)/2</f>
        <v>0</v>
      </c>
    </row>
    <row r="2218" s="18" customFormat="1" ht="14.399999999999999" customHeight="1">
      <c r="A2218" s="10" t="s">
        <v>1409</v>
      </c>
      <c r="B2218" s="10" t="s">
        <v>1410</v>
      </c>
      <c r="C2218" s="10" t="n">
        <v>0</v>
      </c>
      <c r="D2218" s="10" t="n">
        <v>0</v>
      </c>
      <c r="E2218" s="6" t="n">
        <f>SUM(C2218,D2218)/2</f>
        <v>0</v>
      </c>
      <c r="F2218" s="18" t="n">
        <v>0</v>
      </c>
      <c r="G2218" s="18" t="n">
        <v>0</v>
      </c>
      <c r="H2218" s="6" t="n">
        <f>SUM(F2218,G2218)/2</f>
        <v>0</v>
      </c>
    </row>
    <row r="2219" s="18" customFormat="1" ht="14.399999999999999" customHeight="1">
      <c r="A2219" s="10" t="s">
        <v>6634</v>
      </c>
      <c r="B2219" s="10" t="s">
        <v>6635</v>
      </c>
      <c r="C2219" s="10" t="n">
        <v>1</v>
      </c>
      <c r="D2219" s="10" t="n">
        <v>1</v>
      </c>
      <c r="E2219" s="6" t="n">
        <f>SUM(C2219,D2219)/2</f>
        <v>1</v>
      </c>
      <c r="F2219" s="18" t="n">
        <v>1</v>
      </c>
      <c r="G2219" s="18" t="n">
        <v>1</v>
      </c>
      <c r="H2219" s="6" t="n">
        <f>SUM(F2219,G2219)/2</f>
        <v>1</v>
      </c>
    </row>
    <row r="2220" s="18" customFormat="1" ht="14.399999999999999" customHeight="1">
      <c r="A2220" s="10" t="s">
        <v>6636</v>
      </c>
      <c r="B2220" s="10" t="s">
        <v>6637</v>
      </c>
      <c r="C2220" s="13" t="n">
        <v>46960</v>
      </c>
      <c r="D2220" s="13" t="n">
        <v>75012</v>
      </c>
      <c r="E2220" s="6" t="n">
        <f>SUM(C2220,D2220)/2</f>
        <v>60986</v>
      </c>
      <c r="F2220" s="12" t="n">
        <v>4365</v>
      </c>
      <c r="G2220" s="12" t="n">
        <v>6452</v>
      </c>
      <c r="H2220" s="6" t="n">
        <f>SUM(F2220,G2220)/2</f>
        <v>5408.5</v>
      </c>
    </row>
    <row r="2221" s="18" customFormat="1" ht="14.399999999999999" customHeight="1">
      <c r="A2221" s="10" t="s">
        <v>2556</v>
      </c>
      <c r="B2221" s="10" t="s">
        <v>2557</v>
      </c>
      <c r="C2221" s="10" t="n">
        <v>8</v>
      </c>
      <c r="D2221" s="10" t="n">
        <v>14</v>
      </c>
      <c r="E2221" s="6" t="n">
        <f>SUM(C2221,D2221)/2</f>
        <v>11</v>
      </c>
      <c r="F2221" s="18" t="n">
        <v>0</v>
      </c>
      <c r="G2221" s="18" t="n">
        <v>0</v>
      </c>
      <c r="H2221" s="6" t="n">
        <f>SUM(F2221,G2221)/2</f>
        <v>0</v>
      </c>
    </row>
    <row r="2222" s="18" customFormat="1" ht="14.399999999999999" customHeight="1">
      <c r="A2222" s="10" t="s">
        <v>6638</v>
      </c>
      <c r="B2222" s="10" t="s">
        <v>6639</v>
      </c>
      <c r="C2222" s="13" t="n">
        <v>20071</v>
      </c>
      <c r="D2222" s="13" t="n">
        <v>32061</v>
      </c>
      <c r="E2222" s="6" t="n">
        <f>SUM(C2222,D2222)/2</f>
        <v>26066</v>
      </c>
      <c r="F2222" s="12" t="n">
        <v>9645</v>
      </c>
      <c r="G2222" s="12" t="n">
        <v>12326</v>
      </c>
      <c r="H2222" s="6" t="n">
        <f>SUM(F2222,G2222)/2</f>
        <v>10985.5</v>
      </c>
    </row>
    <row r="2223" s="18" customFormat="1" ht="14.399999999999999" customHeight="1">
      <c r="A2223" s="10" t="s">
        <v>6640</v>
      </c>
      <c r="B2223" s="10" t="s">
        <v>6641</v>
      </c>
      <c r="C2223" s="13" t="n">
        <v>21513</v>
      </c>
      <c r="D2223" s="13" t="n">
        <v>34367</v>
      </c>
      <c r="E2223" s="6" t="n">
        <f>SUM(C2223,D2223)/2</f>
        <v>27940</v>
      </c>
      <c r="F2223" s="12" t="n">
        <v>5650</v>
      </c>
      <c r="G2223" s="12" t="n">
        <v>9001</v>
      </c>
      <c r="H2223" s="6" t="n">
        <f>SUM(F2223,G2223)/2</f>
        <v>7325.5</v>
      </c>
    </row>
    <row r="2224" s="18" customFormat="1" ht="14.399999999999999" customHeight="1">
      <c r="A2224" s="10" t="s">
        <v>6642</v>
      </c>
      <c r="B2224" s="10" t="s">
        <v>6643</v>
      </c>
      <c r="C2224" s="10" t="n">
        <v>2</v>
      </c>
      <c r="D2224" s="10" t="n">
        <v>2</v>
      </c>
      <c r="E2224" s="6" t="n">
        <f>SUM(C2224,D2224)/2</f>
        <v>2</v>
      </c>
      <c r="F2224" s="18" t="n">
        <v>2</v>
      </c>
      <c r="G2224" s="18" t="n">
        <v>3</v>
      </c>
      <c r="H2224" s="6" t="n">
        <f>SUM(F2224,G2224)/2</f>
        <v>2.5</v>
      </c>
    </row>
    <row r="2225" s="18" customFormat="1" ht="14.399999999999999" customHeight="1">
      <c r="A2225" s="10" t="s">
        <v>2630</v>
      </c>
      <c r="B2225" s="10" t="s">
        <v>2631</v>
      </c>
      <c r="C2225" s="10" t="n">
        <v>5</v>
      </c>
      <c r="D2225" s="10" t="n">
        <v>7</v>
      </c>
      <c r="E2225" s="6" t="n">
        <f>SUM(C2225,D2225)/2</f>
        <v>6</v>
      </c>
      <c r="F2225" s="18" t="n">
        <v>0</v>
      </c>
      <c r="G2225" s="18" t="n">
        <v>0</v>
      </c>
      <c r="H2225" s="6" t="n">
        <f>SUM(F2225,G2225)/2</f>
        <v>0</v>
      </c>
    </row>
    <row r="2226" s="18" customFormat="1" ht="14.399999999999999" customHeight="1">
      <c r="A2226" s="10" t="s">
        <v>1697</v>
      </c>
      <c r="B2226" s="10" t="s">
        <v>1698</v>
      </c>
      <c r="C2226" s="10" t="n">
        <v>37</v>
      </c>
      <c r="D2226" s="10" t="n">
        <v>61</v>
      </c>
      <c r="E2226" s="6" t="n">
        <f>SUM(C2226,D2226)/2</f>
        <v>49</v>
      </c>
      <c r="F2226" s="18" t="n">
        <v>20</v>
      </c>
      <c r="G2226" s="18" t="n">
        <v>28</v>
      </c>
      <c r="H2226" s="6" t="n">
        <f>SUM(F2226,G2226)/2</f>
        <v>24</v>
      </c>
    </row>
    <row r="2227" s="18" customFormat="1" ht="14.399999999999999" customHeight="1">
      <c r="A2227" s="10" t="s">
        <v>1284</v>
      </c>
      <c r="B2227" s="10" t="s">
        <v>1285</v>
      </c>
      <c r="C2227" s="10" t="n">
        <v>211</v>
      </c>
      <c r="D2227" s="10" t="n">
        <v>335</v>
      </c>
      <c r="E2227" s="6" t="n">
        <f>SUM(C2227,D2227)/2</f>
        <v>273</v>
      </c>
      <c r="F2227" s="18" t="n">
        <v>46</v>
      </c>
      <c r="G2227" s="18" t="n">
        <v>68</v>
      </c>
      <c r="H2227" s="6" t="n">
        <f>SUM(F2227,G2227)/2</f>
        <v>57</v>
      </c>
    </row>
    <row r="2228" s="18" customFormat="1" ht="14.399999999999999" customHeight="1">
      <c r="A2228" s="10" t="s">
        <v>4939</v>
      </c>
      <c r="B2228" s="10" t="s">
        <v>4940</v>
      </c>
      <c r="C2228" s="13" t="n">
        <v>19124</v>
      </c>
      <c r="D2228" s="13" t="n">
        <v>30548</v>
      </c>
      <c r="E2228" s="6" t="n">
        <f>SUM(C2228,D2228)/2</f>
        <v>24836</v>
      </c>
      <c r="F2228" s="12" t="n">
        <v>4234</v>
      </c>
      <c r="G2228" s="12" t="n">
        <v>6018</v>
      </c>
      <c r="H2228" s="6" t="n">
        <f>SUM(F2228,G2228)/2</f>
        <v>5126</v>
      </c>
    </row>
    <row r="2229" s="18" customFormat="1" ht="14.399999999999999" customHeight="1">
      <c r="A2229" s="10" t="s">
        <v>2014</v>
      </c>
      <c r="B2229" s="10" t="s">
        <v>2015</v>
      </c>
      <c r="C2229" s="10" t="n">
        <v>10</v>
      </c>
      <c r="D2229" s="10" t="n">
        <v>16</v>
      </c>
      <c r="E2229" s="6" t="n">
        <f>SUM(C2229,D2229)/2</f>
        <v>13</v>
      </c>
      <c r="F2229" s="18" t="n">
        <v>7</v>
      </c>
      <c r="G2229" s="18" t="n">
        <v>12</v>
      </c>
      <c r="H2229" s="6" t="n">
        <f>SUM(F2229,G2229)/2</f>
        <v>9.5</v>
      </c>
    </row>
    <row r="2230" s="18" customFormat="1" ht="14.399999999999999" customHeight="1">
      <c r="A2230" s="10" t="s">
        <v>3807</v>
      </c>
      <c r="B2230" s="10" t="s">
        <v>3808</v>
      </c>
      <c r="C2230" s="13" t="n">
        <v>68606</v>
      </c>
      <c r="D2230" s="13" t="n">
        <v>109590</v>
      </c>
      <c r="E2230" s="6" t="n">
        <f>SUM(C2230,D2230)/2</f>
        <v>89098</v>
      </c>
      <c r="F2230" s="12" t="n">
        <v>9066</v>
      </c>
      <c r="G2230" s="12" t="n">
        <v>12826</v>
      </c>
      <c r="H2230" s="6" t="n">
        <f>SUM(F2230,G2230)/2</f>
        <v>10946</v>
      </c>
    </row>
    <row r="2231" s="18" customFormat="1" ht="14.399999999999999" customHeight="1">
      <c r="A2231" s="10" t="s">
        <v>4029</v>
      </c>
      <c r="B2231" s="10" t="s">
        <v>4030</v>
      </c>
      <c r="C2231" s="13" t="n">
        <v>42734</v>
      </c>
      <c r="D2231" s="13" t="n">
        <v>68264</v>
      </c>
      <c r="E2231" s="6" t="n">
        <f>SUM(C2231,D2231)/2</f>
        <v>55499</v>
      </c>
      <c r="F2231" s="12" t="n">
        <v>9654</v>
      </c>
      <c r="G2231" s="12" t="n">
        <v>15598</v>
      </c>
      <c r="H2231" s="6" t="n">
        <f>SUM(F2231,G2231)/2</f>
        <v>12626</v>
      </c>
    </row>
    <row r="2232" s="18" customFormat="1" ht="14.399999999999999" customHeight="1">
      <c r="A2232" s="10" t="s">
        <v>6644</v>
      </c>
      <c r="B2232" s="10" t="s">
        <v>6645</v>
      </c>
      <c r="C2232" s="10" t="n">
        <v>69</v>
      </c>
      <c r="D2232" s="10" t="n">
        <v>111</v>
      </c>
      <c r="E2232" s="6" t="n">
        <f>SUM(C2232,D2232)/2</f>
        <v>90</v>
      </c>
      <c r="F2232" s="18" t="n">
        <v>18</v>
      </c>
      <c r="G2232" s="18" t="n">
        <v>25</v>
      </c>
      <c r="H2232" s="6" t="n">
        <f>SUM(F2232,G2232)/2</f>
        <v>21.5</v>
      </c>
    </row>
    <row r="2233" s="18" customFormat="1" ht="14.399999999999999" customHeight="1">
      <c r="A2233" s="10" t="s">
        <v>4397</v>
      </c>
      <c r="B2233" s="10" t="s">
        <v>4398</v>
      </c>
      <c r="C2233" s="13" t="n">
        <v>16465</v>
      </c>
      <c r="D2233" s="13" t="n">
        <v>26299</v>
      </c>
      <c r="E2233" s="6" t="n">
        <f>SUM(C2233,D2233)/2</f>
        <v>21382</v>
      </c>
      <c r="F2233" s="12" t="n">
        <v>9663</v>
      </c>
      <c r="G2233" s="12" t="n">
        <v>14873</v>
      </c>
      <c r="H2233" s="6" t="n">
        <f>SUM(F2233,G2233)/2</f>
        <v>12268</v>
      </c>
    </row>
    <row r="2234" s="18" customFormat="1" ht="14.399999999999999" customHeight="1">
      <c r="A2234" s="10" t="s">
        <v>1238</v>
      </c>
      <c r="B2234" s="10" t="s">
        <v>1239</v>
      </c>
      <c r="C2234" s="13" t="n">
        <v>53163</v>
      </c>
      <c r="D2234" s="13" t="n">
        <v>84923</v>
      </c>
      <c r="E2234" s="6" t="n">
        <f>SUM(C2234,D2234)/2</f>
        <v>69043</v>
      </c>
      <c r="F2234" s="12" t="n">
        <v>56915</v>
      </c>
      <c r="G2234" s="12" t="n">
        <v>86019</v>
      </c>
      <c r="H2234" s="6" t="n">
        <f>SUM(F2234,G2234)/2</f>
        <v>71467</v>
      </c>
    </row>
    <row r="2235" s="18" customFormat="1" ht="14.399999999999999" customHeight="1">
      <c r="A2235" s="10" t="s">
        <v>2961</v>
      </c>
      <c r="B2235" s="10" t="s">
        <v>2962</v>
      </c>
      <c r="C2235" s="10" t="n">
        <v>0</v>
      </c>
      <c r="D2235" s="10" t="n">
        <v>0</v>
      </c>
      <c r="E2235" s="6" t="n">
        <f>SUM(C2235,D2235)/2</f>
        <v>0</v>
      </c>
      <c r="F2235" s="18" t="n">
        <v>0</v>
      </c>
      <c r="G2235" s="18" t="n">
        <v>0</v>
      </c>
      <c r="H2235" s="6" t="n">
        <f>SUM(F2235,G2235)/2</f>
        <v>0</v>
      </c>
    </row>
    <row r="2236" s="18" customFormat="1" ht="14.399999999999999" customHeight="1">
      <c r="A2236" s="10" t="s">
        <v>2620</v>
      </c>
      <c r="B2236" s="10" t="s">
        <v>2621</v>
      </c>
      <c r="C2236" s="10" t="n">
        <v>5</v>
      </c>
      <c r="D2236" s="10" t="n">
        <v>9</v>
      </c>
      <c r="E2236" s="6" t="n">
        <f>SUM(C2236,D2236)/2</f>
        <v>7</v>
      </c>
      <c r="F2236" s="18" t="n">
        <v>0</v>
      </c>
      <c r="G2236" s="18" t="n">
        <v>0</v>
      </c>
      <c r="H2236" s="6" t="n">
        <f>SUM(F2236,G2236)/2</f>
        <v>0</v>
      </c>
    </row>
    <row r="2237" s="18" customFormat="1" ht="14.399999999999999" customHeight="1">
      <c r="A2237" s="10" t="s">
        <v>4135</v>
      </c>
      <c r="B2237" s="10" t="s">
        <v>4136</v>
      </c>
      <c r="C2237" s="13" t="n">
        <v>45475</v>
      </c>
      <c r="D2237" s="13" t="n">
        <v>72643</v>
      </c>
      <c r="E2237" s="6" t="n">
        <f>SUM(C2237,D2237)/2</f>
        <v>59059</v>
      </c>
      <c r="F2237" s="12" t="n">
        <v>7905</v>
      </c>
      <c r="G2237" s="12" t="n">
        <v>9835</v>
      </c>
      <c r="H2237" s="6" t="n">
        <f>SUM(F2237,G2237)/2</f>
        <v>8870</v>
      </c>
    </row>
    <row r="2238" s="18" customFormat="1" ht="14.399999999999999" customHeight="1">
      <c r="A2238" s="10" t="s">
        <v>6646</v>
      </c>
      <c r="B2238" s="10" t="s">
        <v>6647</v>
      </c>
      <c r="C2238" s="10" t="n">
        <v>0</v>
      </c>
      <c r="D2238" s="10" t="n">
        <v>0</v>
      </c>
      <c r="E2238" s="6" t="n">
        <f>SUM(C2238,D2238)/2</f>
        <v>0</v>
      </c>
      <c r="F2238" s="18" t="n">
        <v>2</v>
      </c>
      <c r="G2238" s="18" t="n">
        <v>2</v>
      </c>
      <c r="H2238" s="6" t="n">
        <f>SUM(F2238,G2238)/2</f>
        <v>2</v>
      </c>
    </row>
    <row r="2239" s="18" customFormat="1" ht="14.399999999999999" customHeight="1">
      <c r="A2239" s="10" t="s">
        <v>3819</v>
      </c>
      <c r="B2239" s="10" t="s">
        <v>3820</v>
      </c>
      <c r="C2239" s="13" t="n">
        <v>34153</v>
      </c>
      <c r="D2239" s="13" t="n">
        <v>54555</v>
      </c>
      <c r="E2239" s="6" t="n">
        <f>SUM(C2239,D2239)/2</f>
        <v>44354</v>
      </c>
      <c r="F2239" s="12" t="n">
        <v>17589</v>
      </c>
      <c r="G2239" s="12" t="n">
        <v>22491</v>
      </c>
      <c r="H2239" s="6" t="n">
        <f>SUM(F2239,G2239)/2</f>
        <v>20040</v>
      </c>
    </row>
    <row r="2240" s="18" customFormat="1" ht="14.399999999999999" customHeight="1">
      <c r="A2240" s="10" t="s">
        <v>1901</v>
      </c>
      <c r="B2240" s="10" t="s">
        <v>1902</v>
      </c>
      <c r="C2240" s="10" t="n">
        <v>4</v>
      </c>
      <c r="D2240" s="10" t="n">
        <v>4</v>
      </c>
      <c r="E2240" s="6" t="n">
        <f>SUM(C2240,D2240)/2</f>
        <v>4</v>
      </c>
      <c r="F2240" s="18" t="n">
        <v>14</v>
      </c>
      <c r="G2240" s="18" t="n">
        <v>18</v>
      </c>
      <c r="H2240" s="6" t="n">
        <f>SUM(F2240,G2240)/2</f>
        <v>16</v>
      </c>
    </row>
    <row r="2241" s="18" customFormat="1" ht="14.399999999999999" customHeight="1">
      <c r="A2241" s="10" t="s">
        <v>6648</v>
      </c>
      <c r="B2241" s="10" t="s">
        <v>6649</v>
      </c>
      <c r="C2241" s="13" t="n">
        <v>89751</v>
      </c>
      <c r="D2241" s="13" t="n">
        <v>143369</v>
      </c>
      <c r="E2241" s="6" t="n">
        <f>SUM(C2241,D2241)/2</f>
        <v>116560</v>
      </c>
      <c r="F2241" s="12" t="n">
        <v>22460</v>
      </c>
      <c r="G2241" s="12" t="n">
        <v>28636</v>
      </c>
      <c r="H2241" s="6" t="n">
        <f>SUM(F2241,G2241)/2</f>
        <v>25548</v>
      </c>
    </row>
    <row r="2242" s="18" customFormat="1" ht="14.399999999999999" customHeight="1">
      <c r="A2242" s="10" t="s">
        <v>100</v>
      </c>
      <c r="B2242" s="10" t="s">
        <v>101</v>
      </c>
      <c r="C2242" s="13" t="n">
        <v>64049</v>
      </c>
      <c r="D2242" s="13" t="n">
        <v>102311</v>
      </c>
      <c r="E2242" s="6" t="n">
        <f>SUM(C2242,D2242)/2</f>
        <v>83180</v>
      </c>
      <c r="F2242" s="12" t="n">
        <v>4402</v>
      </c>
      <c r="G2242" s="12" t="n">
        <v>7102</v>
      </c>
      <c r="H2242" s="6" t="n">
        <f>SUM(F2242,G2242)/2</f>
        <v>5752</v>
      </c>
    </row>
    <row r="2243" s="18" customFormat="1" ht="14.399999999999999" customHeight="1">
      <c r="A2243" s="10" t="s">
        <v>6650</v>
      </c>
      <c r="B2243" s="10" t="s">
        <v>6651</v>
      </c>
      <c r="C2243" s="13" t="n">
        <v>24120</v>
      </c>
      <c r="D2243" s="13" t="n">
        <v>38530</v>
      </c>
      <c r="E2243" s="6" t="n">
        <f>SUM(C2243,D2243)/2</f>
        <v>31325</v>
      </c>
      <c r="F2243" s="12" t="n">
        <v>6672</v>
      </c>
      <c r="G2243" s="12" t="n">
        <v>9271</v>
      </c>
      <c r="H2243" s="6" t="n">
        <f>SUM(F2243,G2243)/2</f>
        <v>7971.5</v>
      </c>
    </row>
    <row r="2244" s="18" customFormat="1" ht="14.399999999999999" customHeight="1">
      <c r="A2244" s="10" t="s">
        <v>6652</v>
      </c>
      <c r="B2244" s="10" t="s">
        <v>6653</v>
      </c>
      <c r="C2244" s="13" t="n">
        <v>17429</v>
      </c>
      <c r="D2244" s="13" t="n">
        <v>27843</v>
      </c>
      <c r="E2244" s="6" t="n">
        <f>SUM(C2244,D2244)/2</f>
        <v>22636</v>
      </c>
      <c r="F2244" s="12" t="n">
        <v>5952</v>
      </c>
      <c r="G2244" s="12" t="n">
        <v>7865</v>
      </c>
      <c r="H2244" s="6" t="n">
        <f>SUM(F2244,G2244)/2</f>
        <v>6908.5</v>
      </c>
    </row>
    <row r="2245" s="18" customFormat="1" ht="14.399999999999999" customHeight="1">
      <c r="A2245" s="10" t="s">
        <v>3303</v>
      </c>
      <c r="B2245" s="10" t="s">
        <v>3304</v>
      </c>
      <c r="C2245" s="13" t="n">
        <v>14431</v>
      </c>
      <c r="D2245" s="13" t="n">
        <v>23051</v>
      </c>
      <c r="E2245" s="6" t="n">
        <f>SUM(C2245,D2245)/2</f>
        <v>18741</v>
      </c>
      <c r="F2245" s="12" t="n">
        <v>42712</v>
      </c>
      <c r="G2245" s="12" t="n">
        <v>55596</v>
      </c>
      <c r="H2245" s="6" t="n">
        <f>SUM(F2245,G2245)/2</f>
        <v>49154</v>
      </c>
    </row>
    <row r="2246" s="18" customFormat="1" ht="14.399999999999999" customHeight="1">
      <c r="A2246" s="10" t="s">
        <v>3799</v>
      </c>
      <c r="B2246" s="10" t="s">
        <v>3800</v>
      </c>
      <c r="C2246" s="13" t="n">
        <v>28382</v>
      </c>
      <c r="D2246" s="13" t="n">
        <v>45334</v>
      </c>
      <c r="E2246" s="6" t="n">
        <f>SUM(C2246,D2246)/2</f>
        <v>36858</v>
      </c>
      <c r="F2246" s="12" t="n">
        <v>17918</v>
      </c>
      <c r="G2246" s="12" t="n">
        <v>26599</v>
      </c>
      <c r="H2246" s="6" t="n">
        <f>SUM(F2246,G2246)/2</f>
        <v>22258.5</v>
      </c>
    </row>
    <row r="2247" s="18" customFormat="1" ht="14.399999999999999" customHeight="1">
      <c r="A2247" s="10" t="s">
        <v>4627</v>
      </c>
      <c r="B2247" s="10" t="s">
        <v>4628</v>
      </c>
      <c r="C2247" s="13" t="n">
        <v>13624</v>
      </c>
      <c r="D2247" s="13" t="n">
        <v>21760</v>
      </c>
      <c r="E2247" s="6" t="n">
        <f>SUM(C2247,D2247)/2</f>
        <v>17692</v>
      </c>
      <c r="F2247" s="12" t="n">
        <v>8230</v>
      </c>
      <c r="G2247" s="12" t="n">
        <v>11933</v>
      </c>
      <c r="H2247" s="6" t="n">
        <f>SUM(F2247,G2247)/2</f>
        <v>10081.5</v>
      </c>
    </row>
    <row r="2248" s="18" customFormat="1" ht="14.399999999999999" customHeight="1">
      <c r="A2248" s="10" t="s">
        <v>4421</v>
      </c>
      <c r="B2248" s="10" t="s">
        <v>4422</v>
      </c>
      <c r="C2248" s="13" t="n">
        <v>30141</v>
      </c>
      <c r="D2248" s="13" t="n">
        <v>48149</v>
      </c>
      <c r="E2248" s="6" t="n">
        <f>SUM(C2248,D2248)/2</f>
        <v>39145</v>
      </c>
      <c r="F2248" s="12" t="n">
        <v>6449</v>
      </c>
      <c r="G2248" s="12" t="n">
        <v>9818</v>
      </c>
      <c r="H2248" s="6" t="n">
        <f>SUM(F2248,G2248)/2</f>
        <v>8133.5</v>
      </c>
    </row>
    <row r="2249" s="18" customFormat="1" ht="14.399999999999999" customHeight="1">
      <c r="A2249" s="10" t="s">
        <v>4433</v>
      </c>
      <c r="B2249" s="10" t="s">
        <v>4434</v>
      </c>
      <c r="C2249" s="13" t="n">
        <v>38469</v>
      </c>
      <c r="D2249" s="13" t="n">
        <v>61453</v>
      </c>
      <c r="E2249" s="6" t="n">
        <f>SUM(C2249,D2249)/2</f>
        <v>49961</v>
      </c>
      <c r="F2249" s="12" t="n">
        <v>4474</v>
      </c>
      <c r="G2249" s="12" t="n">
        <v>7060</v>
      </c>
      <c r="H2249" s="6" t="n">
        <f>SUM(F2249,G2249)/2</f>
        <v>5767</v>
      </c>
    </row>
    <row r="2250" s="18" customFormat="1" ht="14.399999999999999" customHeight="1">
      <c r="A2250" s="10" t="s">
        <v>6654</v>
      </c>
      <c r="B2250" s="10" t="s">
        <v>6655</v>
      </c>
      <c r="C2250" s="13" t="n">
        <v>21369</v>
      </c>
      <c r="D2250" s="13" t="n">
        <v>34135</v>
      </c>
      <c r="E2250" s="6" t="n">
        <f>SUM(C2250,D2250)/2</f>
        <v>27752</v>
      </c>
      <c r="F2250" s="12" t="n">
        <v>3948</v>
      </c>
      <c r="G2250" s="12" t="n">
        <v>5719</v>
      </c>
      <c r="H2250" s="6" t="n">
        <f>SUM(F2250,G2250)/2</f>
        <v>4833.5</v>
      </c>
    </row>
    <row r="2251" s="18" customFormat="1" ht="14.399999999999999" customHeight="1">
      <c r="A2251" s="10" t="s">
        <v>5067</v>
      </c>
      <c r="B2251" s="10" t="s">
        <v>5068</v>
      </c>
      <c r="C2251" s="13" t="n">
        <v>7107</v>
      </c>
      <c r="D2251" s="13" t="n">
        <v>11351</v>
      </c>
      <c r="E2251" s="6" t="n">
        <f>SUM(C2251,D2251)/2</f>
        <v>9229</v>
      </c>
      <c r="F2251" s="12" t="n">
        <v>5446</v>
      </c>
      <c r="G2251" s="12" t="n">
        <v>8270</v>
      </c>
      <c r="H2251" s="6" t="n">
        <f>SUM(F2251,G2251)/2</f>
        <v>6858</v>
      </c>
    </row>
    <row r="2252" s="18" customFormat="1" ht="14.399999999999999" customHeight="1">
      <c r="A2252" s="10" t="s">
        <v>3695</v>
      </c>
      <c r="B2252" s="10" t="s">
        <v>3696</v>
      </c>
      <c r="C2252" s="13" t="n">
        <v>22307</v>
      </c>
      <c r="D2252" s="13" t="n">
        <v>35632</v>
      </c>
      <c r="E2252" s="6" t="n">
        <f>SUM(C2252,D2252)/2</f>
        <v>28969.5</v>
      </c>
      <c r="F2252" s="12" t="n">
        <v>22147</v>
      </c>
      <c r="G2252" s="12" t="n">
        <v>34286</v>
      </c>
      <c r="H2252" s="6" t="n">
        <f>SUM(F2252,G2252)/2</f>
        <v>28216.5</v>
      </c>
    </row>
    <row r="2253" s="18" customFormat="1" ht="14.399999999999999" customHeight="1">
      <c r="A2253" s="10" t="s">
        <v>6656</v>
      </c>
      <c r="B2253" s="10" t="s">
        <v>6657</v>
      </c>
      <c r="C2253" s="13" t="n">
        <v>11084</v>
      </c>
      <c r="D2253" s="13" t="n">
        <v>17706</v>
      </c>
      <c r="E2253" s="6" t="n">
        <f>SUM(C2253,D2253)/2</f>
        <v>14395</v>
      </c>
      <c r="F2253" s="12" t="n">
        <v>37721</v>
      </c>
      <c r="G2253" s="12" t="n">
        <v>48303</v>
      </c>
      <c r="H2253" s="6" t="n">
        <f>SUM(F2253,G2253)/2</f>
        <v>43012</v>
      </c>
    </row>
    <row r="2254" s="18" customFormat="1" ht="14.399999999999999" customHeight="1">
      <c r="A2254" s="10" t="s">
        <v>3711</v>
      </c>
      <c r="B2254" s="10" t="s">
        <v>3712</v>
      </c>
      <c r="C2254" s="13" t="n">
        <v>46354</v>
      </c>
      <c r="D2254" s="13" t="n">
        <v>74048</v>
      </c>
      <c r="E2254" s="6" t="n">
        <f>SUM(C2254,D2254)/2</f>
        <v>60201</v>
      </c>
      <c r="F2254" s="12" t="n">
        <v>17203</v>
      </c>
      <c r="G2254" s="12" t="n">
        <v>24286</v>
      </c>
      <c r="H2254" s="6" t="n">
        <f>SUM(F2254,G2254)/2</f>
        <v>20744.5</v>
      </c>
    </row>
    <row r="2255" s="18" customFormat="1" ht="14.399999999999999" customHeight="1">
      <c r="A2255" s="10" t="s">
        <v>816</v>
      </c>
      <c r="B2255" s="10" t="s">
        <v>817</v>
      </c>
      <c r="C2255" s="13" t="n">
        <v>884401</v>
      </c>
      <c r="D2255" s="13" t="n">
        <v>1412745</v>
      </c>
      <c r="E2255" s="6" t="n">
        <f>SUM(C2255,D2255)/2</f>
        <v>1148573</v>
      </c>
      <c r="F2255" s="12" t="n">
        <v>278573</v>
      </c>
      <c r="G2255" s="12" t="n">
        <v>362008</v>
      </c>
      <c r="H2255" s="6" t="n">
        <f>SUM(F2255,G2255)/2</f>
        <v>320290.5</v>
      </c>
    </row>
    <row r="2256" s="18" customFormat="1" ht="14.399999999999999" customHeight="1">
      <c r="A2256" s="10" t="s">
        <v>3069</v>
      </c>
      <c r="B2256" s="10" t="s">
        <v>3070</v>
      </c>
      <c r="C2256" s="13" t="n">
        <v>66432</v>
      </c>
      <c r="D2256" s="13" t="n">
        <v>106116</v>
      </c>
      <c r="E2256" s="6" t="n">
        <f>SUM(C2256,D2256)/2</f>
        <v>86274</v>
      </c>
      <c r="F2256" s="12" t="n">
        <v>41642</v>
      </c>
      <c r="G2256" s="12" t="n">
        <v>59625</v>
      </c>
      <c r="H2256" s="6" t="n">
        <f>SUM(F2256,G2256)/2</f>
        <v>50633.5</v>
      </c>
    </row>
    <row r="2257" s="18" customFormat="1" ht="14.399999999999999" customHeight="1">
      <c r="A2257" s="10" t="s">
        <v>6658</v>
      </c>
      <c r="B2257" s="10" t="s">
        <v>6659</v>
      </c>
      <c r="C2257" s="13" t="n">
        <v>145378</v>
      </c>
      <c r="D2257" s="13" t="n">
        <v>232230</v>
      </c>
      <c r="E2257" s="6" t="n">
        <f>SUM(C2257,D2257)/2</f>
        <v>188804</v>
      </c>
      <c r="F2257" s="12" t="n">
        <v>30313</v>
      </c>
      <c r="G2257" s="12" t="n">
        <v>43317</v>
      </c>
      <c r="H2257" s="6" t="n">
        <f>SUM(F2257,G2257)/2</f>
        <v>36815</v>
      </c>
    </row>
    <row r="2258" s="18" customFormat="1" ht="14.399999999999999" customHeight="1">
      <c r="A2258" s="10" t="s">
        <v>6660</v>
      </c>
      <c r="B2258" s="10" t="s">
        <v>6661</v>
      </c>
      <c r="C2258" s="13" t="n">
        <v>17526</v>
      </c>
      <c r="D2258" s="13" t="n">
        <v>27998</v>
      </c>
      <c r="E2258" s="6" t="n">
        <f>SUM(C2258,D2258)/2</f>
        <v>22762</v>
      </c>
      <c r="F2258" s="12" t="n">
        <v>11466</v>
      </c>
      <c r="G2258" s="12" t="n">
        <v>16746</v>
      </c>
      <c r="H2258" s="6" t="n">
        <f>SUM(F2258,G2258)/2</f>
        <v>14106</v>
      </c>
    </row>
    <row r="2259" s="18" customFormat="1" ht="14.399999999999999" customHeight="1">
      <c r="A2259" s="10" t="s">
        <v>2314</v>
      </c>
      <c r="B2259" s="10" t="s">
        <v>2315</v>
      </c>
      <c r="C2259" s="10" t="n">
        <v>4</v>
      </c>
      <c r="D2259" s="10" t="n">
        <v>6</v>
      </c>
      <c r="E2259" s="6" t="n">
        <f>SUM(C2259,D2259)/2</f>
        <v>5</v>
      </c>
      <c r="F2259" s="18" t="n">
        <v>4</v>
      </c>
      <c r="G2259" s="18" t="n">
        <v>5</v>
      </c>
      <c r="H2259" s="6" t="n">
        <f>SUM(F2259,G2259)/2</f>
        <v>4.5</v>
      </c>
    </row>
    <row r="2260" s="18" customFormat="1" ht="14.399999999999999" customHeight="1">
      <c r="A2260" s="10" t="s">
        <v>2326</v>
      </c>
      <c r="B2260" s="10" t="s">
        <v>2327</v>
      </c>
      <c r="C2260" s="13" t="n">
        <v>228138</v>
      </c>
      <c r="D2260" s="13" t="n">
        <v>364426</v>
      </c>
      <c r="E2260" s="6" t="n">
        <f>SUM(C2260,D2260)/2</f>
        <v>296282</v>
      </c>
      <c r="F2260" s="12" t="n">
        <v>4230</v>
      </c>
      <c r="G2260" s="12" t="n">
        <v>20392</v>
      </c>
      <c r="H2260" s="6" t="n">
        <f>SUM(F2260,G2260)/2</f>
        <v>12311</v>
      </c>
    </row>
    <row r="2261" s="18" customFormat="1" ht="14.399999999999999" customHeight="1">
      <c r="A2261" s="10" t="s">
        <v>1231</v>
      </c>
      <c r="B2261" s="10" t="s">
        <v>1232</v>
      </c>
      <c r="C2261" s="10" t="n">
        <v>320</v>
      </c>
      <c r="D2261" s="10" t="n">
        <v>510</v>
      </c>
      <c r="E2261" s="6" t="n">
        <f>SUM(C2261,D2261)/2</f>
        <v>415</v>
      </c>
      <c r="F2261" s="18" t="n">
        <v>80</v>
      </c>
      <c r="G2261" s="18" t="n">
        <v>91</v>
      </c>
      <c r="H2261" s="6" t="n">
        <f>SUM(F2261,G2261)/2</f>
        <v>85.5</v>
      </c>
    </row>
    <row r="2262" s="18" customFormat="1" ht="14.399999999999999" customHeight="1">
      <c r="A2262" s="10" t="s">
        <v>5185</v>
      </c>
      <c r="B2262" s="10" t="s">
        <v>5186</v>
      </c>
      <c r="C2262" s="13" t="n">
        <v>4809</v>
      </c>
      <c r="D2262" s="13" t="n">
        <v>7683</v>
      </c>
      <c r="E2262" s="6" t="n">
        <f>SUM(C2262,D2262)/2</f>
        <v>6246</v>
      </c>
      <c r="F2262" s="12" t="n">
        <v>4251</v>
      </c>
      <c r="G2262" s="12" t="n">
        <v>6169</v>
      </c>
      <c r="H2262" s="6" t="n">
        <f>SUM(F2262,G2262)/2</f>
        <v>5210</v>
      </c>
    </row>
    <row r="2263" s="18" customFormat="1" ht="14.399999999999999" customHeight="1">
      <c r="A2263" s="10" t="s">
        <v>3313</v>
      </c>
      <c r="B2263" s="10" t="s">
        <v>3314</v>
      </c>
      <c r="C2263" s="13" t="n">
        <v>103081</v>
      </c>
      <c r="D2263" s="13" t="n">
        <v>164663</v>
      </c>
      <c r="E2263" s="6" t="n">
        <f>SUM(C2263,D2263)/2</f>
        <v>133872</v>
      </c>
      <c r="F2263" s="12" t="n">
        <v>19944</v>
      </c>
      <c r="G2263" s="12" t="n">
        <v>27400</v>
      </c>
      <c r="H2263" s="6" t="n">
        <f>SUM(F2263,G2263)/2</f>
        <v>23672</v>
      </c>
    </row>
    <row r="2264" s="18" customFormat="1" ht="14.399999999999999" customHeight="1">
      <c r="A2264" s="10" t="s">
        <v>4781</v>
      </c>
      <c r="B2264" s="10" t="s">
        <v>4782</v>
      </c>
      <c r="C2264" s="13" t="n">
        <v>9819</v>
      </c>
      <c r="D2264" s="13" t="n">
        <v>15683</v>
      </c>
      <c r="E2264" s="6" t="n">
        <f>SUM(C2264,D2264)/2</f>
        <v>12751</v>
      </c>
      <c r="F2264" s="12" t="n">
        <v>7675</v>
      </c>
      <c r="G2264" s="12" t="n">
        <v>10829</v>
      </c>
      <c r="H2264" s="6" t="n">
        <f>SUM(F2264,G2264)/2</f>
        <v>9252</v>
      </c>
    </row>
    <row r="2265" s="18" customFormat="1" ht="14.399999999999999" customHeight="1">
      <c r="A2265" s="10" t="s">
        <v>6662</v>
      </c>
      <c r="B2265" s="10" t="s">
        <v>6663</v>
      </c>
      <c r="C2265" s="13" t="n">
        <v>19606</v>
      </c>
      <c r="D2265" s="13" t="n">
        <v>31320</v>
      </c>
      <c r="E2265" s="6" t="n">
        <f>SUM(C2265,D2265)/2</f>
        <v>25463</v>
      </c>
      <c r="F2265" s="12" t="n">
        <v>5257</v>
      </c>
      <c r="G2265" s="12" t="n">
        <v>6394</v>
      </c>
      <c r="H2265" s="6" t="n">
        <f>SUM(F2265,G2265)/2</f>
        <v>5825.5</v>
      </c>
    </row>
    <row r="2266" s="18" customFormat="1" ht="14.399999999999999" customHeight="1">
      <c r="A2266" s="10" t="s">
        <v>2254</v>
      </c>
      <c r="B2266" s="10" t="s">
        <v>2255</v>
      </c>
      <c r="C2266" s="10" t="n">
        <v>0</v>
      </c>
      <c r="D2266" s="10" t="n">
        <v>0</v>
      </c>
      <c r="E2266" s="6" t="n">
        <f>SUM(C2266,D2266)/2</f>
        <v>0</v>
      </c>
      <c r="F2266" s="18" t="n">
        <v>3</v>
      </c>
      <c r="G2266" s="18" t="n">
        <v>10</v>
      </c>
      <c r="H2266" s="6" t="n">
        <f>SUM(F2266,G2266)/2</f>
        <v>6.5</v>
      </c>
    </row>
    <row r="2267" s="18" customFormat="1" ht="14.399999999999999" customHeight="1">
      <c r="A2267" s="10" t="s">
        <v>3453</v>
      </c>
      <c r="B2267" s="10" t="s">
        <v>3454</v>
      </c>
      <c r="C2267" s="13" t="n">
        <v>54016</v>
      </c>
      <c r="D2267" s="13" t="n">
        <v>86284</v>
      </c>
      <c r="E2267" s="6" t="n">
        <f>SUM(C2267,D2267)/2</f>
        <v>70150</v>
      </c>
      <c r="F2267" s="12" t="n">
        <v>22880</v>
      </c>
      <c r="G2267" s="12" t="n">
        <v>36334</v>
      </c>
      <c r="H2267" s="6" t="n">
        <f>SUM(F2267,G2267)/2</f>
        <v>29607</v>
      </c>
    </row>
    <row r="2268" s="18" customFormat="1" ht="14.399999999999999" customHeight="1">
      <c r="A2268" s="10" t="s">
        <v>88</v>
      </c>
      <c r="B2268" s="10" t="s">
        <v>89</v>
      </c>
      <c r="C2268" s="13" t="n">
        <v>76904</v>
      </c>
      <c r="D2268" s="13" t="n">
        <v>122846</v>
      </c>
      <c r="E2268" s="6" t="n">
        <f>SUM(C2268,D2268)/2</f>
        <v>99875</v>
      </c>
      <c r="F2268" s="12" t="n">
        <v>14692</v>
      </c>
      <c r="G2268" s="12" t="n">
        <v>22674</v>
      </c>
      <c r="H2268" s="6" t="n">
        <f>SUM(F2268,G2268)/2</f>
        <v>18683</v>
      </c>
    </row>
    <row r="2269" s="18" customFormat="1" ht="14.399999999999999" customHeight="1">
      <c r="A2269" s="10" t="s">
        <v>2278</v>
      </c>
      <c r="B2269" s="10" t="s">
        <v>2279</v>
      </c>
      <c r="C2269" s="13" t="n">
        <v>94933</v>
      </c>
      <c r="D2269" s="13" t="n">
        <v>151647</v>
      </c>
      <c r="E2269" s="6" t="n">
        <f>SUM(C2269,D2269)/2</f>
        <v>123290</v>
      </c>
      <c r="F2269" s="12" t="n">
        <v>98090</v>
      </c>
      <c r="G2269" s="12" t="n">
        <v>152658</v>
      </c>
      <c r="H2269" s="6" t="n">
        <f>SUM(F2269,G2269)/2</f>
        <v>125374</v>
      </c>
    </row>
    <row r="2270" s="18" customFormat="1" ht="14.399999999999999" customHeight="1">
      <c r="A2270" s="10" t="s">
        <v>6664</v>
      </c>
      <c r="B2270" s="10" t="s">
        <v>6665</v>
      </c>
      <c r="C2270" s="13" t="n">
        <v>7697</v>
      </c>
      <c r="D2270" s="13" t="n">
        <v>12297</v>
      </c>
      <c r="E2270" s="6" t="n">
        <f>SUM(C2270,D2270)/2</f>
        <v>9997</v>
      </c>
      <c r="F2270" s="12" t="n">
        <v>8818</v>
      </c>
      <c r="G2270" s="12" t="n">
        <v>12915</v>
      </c>
      <c r="H2270" s="6" t="n">
        <f>SUM(F2270,G2270)/2</f>
        <v>10866.5</v>
      </c>
    </row>
    <row r="2271" s="18" customFormat="1" ht="14.399999999999999" customHeight="1">
      <c r="A2271" s="10" t="s">
        <v>6666</v>
      </c>
      <c r="B2271" s="10" t="s">
        <v>237</v>
      </c>
      <c r="C2271" s="13" t="n">
        <v>16240</v>
      </c>
      <c r="D2271" s="13" t="n">
        <v>25940</v>
      </c>
      <c r="E2271" s="6" t="n">
        <f>SUM(C2271,D2271)/2</f>
        <v>21090</v>
      </c>
      <c r="F2271" s="18" t="n">
        <v>3039</v>
      </c>
      <c r="G2271" s="18" t="n">
        <v>4760</v>
      </c>
      <c r="H2271" s="6" t="n">
        <f>SUM(F2271,G2271)/2</f>
        <v>3899.5</v>
      </c>
    </row>
    <row r="2272" s="18" customFormat="1" ht="14.399999999999999" customHeight="1">
      <c r="A2272" s="10" t="s">
        <v>2700</v>
      </c>
      <c r="B2272" s="10" t="s">
        <v>2701</v>
      </c>
      <c r="C2272" s="10" t="n">
        <v>0</v>
      </c>
      <c r="D2272" s="10" t="n">
        <v>0</v>
      </c>
      <c r="E2272" s="6" t="n">
        <f>SUM(C2272,D2272)/2</f>
        <v>0</v>
      </c>
      <c r="F2272" s="18" t="n">
        <v>1</v>
      </c>
      <c r="G2272" s="18" t="n">
        <v>1</v>
      </c>
      <c r="H2272" s="6" t="n">
        <f>SUM(F2272,G2272)/2</f>
        <v>1</v>
      </c>
    </row>
    <row r="2273" s="18" customFormat="1" ht="14.399999999999999" customHeight="1">
      <c r="A2273" s="10" t="s">
        <v>1246</v>
      </c>
      <c r="B2273" s="10" t="s">
        <v>1247</v>
      </c>
      <c r="C2273" s="13" t="n">
        <v>136627</v>
      </c>
      <c r="D2273" s="13" t="n">
        <v>218249</v>
      </c>
      <c r="E2273" s="6" t="n">
        <f>SUM(C2273,D2273)/2</f>
        <v>177438</v>
      </c>
      <c r="F2273" s="12" t="n">
        <v>39126</v>
      </c>
      <c r="G2273" s="12" t="n">
        <v>54570</v>
      </c>
      <c r="H2273" s="6" t="n">
        <f>SUM(F2273,G2273)/2</f>
        <v>46848</v>
      </c>
    </row>
    <row r="2274" s="18" customFormat="1" ht="14.399999999999999" customHeight="1">
      <c r="A2274" s="10" t="s">
        <v>2032</v>
      </c>
      <c r="B2274" s="10" t="s">
        <v>2033</v>
      </c>
      <c r="C2274" s="10" t="n">
        <v>20</v>
      </c>
      <c r="D2274" s="10" t="n">
        <v>32</v>
      </c>
      <c r="E2274" s="6" t="n">
        <f>SUM(C2274,D2274)/2</f>
        <v>26</v>
      </c>
      <c r="F2274" s="18" t="n">
        <v>5</v>
      </c>
      <c r="G2274" s="18" t="n">
        <v>7</v>
      </c>
      <c r="H2274" s="6" t="n">
        <f>SUM(F2274,G2274)/2</f>
        <v>6</v>
      </c>
    </row>
    <row r="2275" s="18" customFormat="1" ht="14.399999999999999" customHeight="1">
      <c r="A2275" s="10" t="s">
        <v>4231</v>
      </c>
      <c r="B2275" s="10" t="s">
        <v>4232</v>
      </c>
      <c r="C2275" s="13" t="n">
        <v>34874</v>
      </c>
      <c r="D2275" s="13" t="n">
        <v>55708</v>
      </c>
      <c r="E2275" s="6" t="n">
        <f>SUM(C2275,D2275)/2</f>
        <v>45291</v>
      </c>
      <c r="F2275" s="12" t="n">
        <v>9064</v>
      </c>
      <c r="G2275" s="12" t="n">
        <v>10860</v>
      </c>
      <c r="H2275" s="6" t="n">
        <f>SUM(F2275,G2275)/2</f>
        <v>9962</v>
      </c>
    </row>
    <row r="2276" s="18" customFormat="1" ht="14.399999999999999" customHeight="1">
      <c r="A2276" s="10" t="s">
        <v>2815</v>
      </c>
      <c r="B2276" s="10" t="s">
        <v>2816</v>
      </c>
      <c r="C2276" s="10" t="n">
        <v>1</v>
      </c>
      <c r="D2276" s="10" t="n">
        <v>1</v>
      </c>
      <c r="E2276" s="6" t="n">
        <f>SUM(C2276,D2276)/2</f>
        <v>1</v>
      </c>
      <c r="F2276" s="18" t="n">
        <v>0</v>
      </c>
      <c r="G2276" s="18" t="n">
        <v>0</v>
      </c>
      <c r="H2276" s="6" t="n">
        <f>SUM(F2276,G2276)/2</f>
        <v>0</v>
      </c>
    </row>
    <row r="2277" s="18" customFormat="1" ht="14.399999999999999" customHeight="1">
      <c r="A2277" s="10" t="s">
        <v>2370</v>
      </c>
      <c r="B2277" s="10" t="s">
        <v>2371</v>
      </c>
      <c r="C2277" s="10" t="n">
        <v>2</v>
      </c>
      <c r="D2277" s="10" t="n">
        <v>2</v>
      </c>
      <c r="E2277" s="6" t="n">
        <f>SUM(C2277,D2277)/2</f>
        <v>2</v>
      </c>
      <c r="F2277" s="18" t="n">
        <v>4</v>
      </c>
      <c r="G2277" s="18" t="n">
        <v>5</v>
      </c>
      <c r="H2277" s="6" t="n">
        <f>SUM(F2277,G2277)/2</f>
        <v>4.5</v>
      </c>
    </row>
    <row r="2278" s="18" customFormat="1" ht="14.399999999999999" customHeight="1">
      <c r="A2278" s="10" t="s">
        <v>4931</v>
      </c>
      <c r="B2278" s="10" t="s">
        <v>4932</v>
      </c>
      <c r="C2278" s="13" t="n">
        <v>9532</v>
      </c>
      <c r="D2278" s="13" t="n">
        <v>15224</v>
      </c>
      <c r="E2278" s="6" t="n">
        <f>SUM(C2278,D2278)/2</f>
        <v>12378</v>
      </c>
      <c r="F2278" s="12" t="n">
        <v>6242</v>
      </c>
      <c r="G2278" s="12" t="n">
        <v>9473</v>
      </c>
      <c r="H2278" s="6" t="n">
        <f>SUM(F2278,G2278)/2</f>
        <v>7857.5</v>
      </c>
    </row>
    <row r="2279" s="18" customFormat="1" ht="14.399999999999999" customHeight="1">
      <c r="A2279" s="10" t="s">
        <v>4133</v>
      </c>
      <c r="B2279" s="10" t="s">
        <v>4134</v>
      </c>
      <c r="C2279" s="13" t="n">
        <v>23243</v>
      </c>
      <c r="D2279" s="13" t="n">
        <v>37129</v>
      </c>
      <c r="E2279" s="6" t="n">
        <f>SUM(C2279,D2279)/2</f>
        <v>30186</v>
      </c>
      <c r="F2279" s="12" t="n">
        <v>12131</v>
      </c>
      <c r="G2279" s="12" t="n">
        <v>18128</v>
      </c>
      <c r="H2279" s="6" t="n">
        <f>SUM(F2279,G2279)/2</f>
        <v>15129.5</v>
      </c>
    </row>
    <row r="2280" s="18" customFormat="1" ht="14.399999999999999" customHeight="1">
      <c r="A2280" s="10" t="s">
        <v>4907</v>
      </c>
      <c r="B2280" s="10" t="s">
        <v>4908</v>
      </c>
      <c r="C2280" s="13" t="n">
        <v>4645</v>
      </c>
      <c r="D2280" s="13" t="n">
        <v>7421</v>
      </c>
      <c r="E2280" s="6" t="n">
        <f>SUM(C2280,D2280)/2</f>
        <v>6033</v>
      </c>
      <c r="F2280" s="12" t="n">
        <v>7802</v>
      </c>
      <c r="G2280" s="12" t="n">
        <v>11191</v>
      </c>
      <c r="H2280" s="6" t="n">
        <f>SUM(F2280,G2280)/2</f>
        <v>9496.5</v>
      </c>
    </row>
    <row r="2281" s="18" customFormat="1" ht="14.399999999999999" customHeight="1">
      <c r="A2281" s="10" t="s">
        <v>64</v>
      </c>
      <c r="B2281" s="10" t="s">
        <v>65</v>
      </c>
      <c r="C2281" s="13" t="n">
        <v>2171415</v>
      </c>
      <c r="D2281" s="13" t="n">
        <v>3468627</v>
      </c>
      <c r="E2281" s="6" t="n">
        <f>SUM(C2281,D2281)/2</f>
        <v>2820021</v>
      </c>
      <c r="F2281" s="12" t="n">
        <v>773503</v>
      </c>
      <c r="G2281" s="12" t="n">
        <v>1121845</v>
      </c>
      <c r="H2281" s="6" t="n">
        <f>SUM(F2281,G2281)/2</f>
        <v>947674</v>
      </c>
    </row>
    <row r="2282" s="18" customFormat="1" ht="14.399999999999999" customHeight="1">
      <c r="A2282" s="10" t="s">
        <v>2817</v>
      </c>
      <c r="B2282" s="10" t="s">
        <v>2818</v>
      </c>
      <c r="C2282" s="10" t="n">
        <v>1</v>
      </c>
      <c r="D2282" s="10" t="n">
        <v>1</v>
      </c>
      <c r="E2282" s="6" t="n">
        <f>SUM(C2282,D2282)/2</f>
        <v>1</v>
      </c>
      <c r="F2282" s="18" t="n">
        <v>0</v>
      </c>
      <c r="G2282" s="18" t="n">
        <v>0</v>
      </c>
      <c r="H2282" s="6" t="n">
        <f>SUM(F2282,G2282)/2</f>
        <v>0</v>
      </c>
    </row>
    <row r="2283" s="18" customFormat="1" ht="14.399999999999999" customHeight="1">
      <c r="A2283" s="10" t="s">
        <v>4409</v>
      </c>
      <c r="B2283" s="10" t="s">
        <v>4410</v>
      </c>
      <c r="C2283" s="13" t="n">
        <v>1823</v>
      </c>
      <c r="D2283" s="13" t="n">
        <v>2911</v>
      </c>
      <c r="E2283" s="6" t="n">
        <f>SUM(C2283,D2283)/2</f>
        <v>2367</v>
      </c>
      <c r="F2283" s="12" t="n">
        <v>12676</v>
      </c>
      <c r="G2283" s="12" t="n">
        <v>19485</v>
      </c>
      <c r="H2283" s="6" t="n">
        <f>SUM(F2283,G2283)/2</f>
        <v>16080.5</v>
      </c>
    </row>
    <row r="2284" s="18" customFormat="1" ht="14.399999999999999" customHeight="1">
      <c r="A2284" s="10" t="s">
        <v>6667</v>
      </c>
      <c r="B2284" s="10" t="s">
        <v>6668</v>
      </c>
      <c r="C2284" s="10" t="n">
        <v>2</v>
      </c>
      <c r="D2284" s="10" t="n">
        <v>2</v>
      </c>
      <c r="E2284" s="6" t="n">
        <f>SUM(C2284,D2284)/2</f>
        <v>2</v>
      </c>
      <c r="F2284" s="18" t="n">
        <v>0</v>
      </c>
      <c r="G2284" s="18" t="n">
        <v>0</v>
      </c>
      <c r="H2284" s="6" t="n">
        <f>SUM(F2284,G2284)/2</f>
        <v>0</v>
      </c>
    </row>
    <row r="2285" s="18" customFormat="1" ht="14.399999999999999" customHeight="1">
      <c r="A2285" s="10" t="s">
        <v>2963</v>
      </c>
      <c r="B2285" s="10" t="s">
        <v>2964</v>
      </c>
      <c r="C2285" s="10" t="n">
        <v>0</v>
      </c>
      <c r="D2285" s="10" t="n">
        <v>0</v>
      </c>
      <c r="E2285" s="6" t="n">
        <f>SUM(C2285,D2285)/2</f>
        <v>0</v>
      </c>
      <c r="F2285" s="18" t="n">
        <v>0</v>
      </c>
      <c r="G2285" s="18" t="n">
        <v>0</v>
      </c>
      <c r="H2285" s="6" t="n">
        <f>SUM(F2285,G2285)/2</f>
        <v>0</v>
      </c>
    </row>
    <row r="2286" s="18" customFormat="1" ht="14.399999999999999" customHeight="1">
      <c r="A2286" s="10" t="s">
        <v>6669</v>
      </c>
      <c r="B2286" s="10" t="s">
        <v>6670</v>
      </c>
      <c r="C2286" s="10" t="n">
        <v>221</v>
      </c>
      <c r="D2286" s="10" t="n">
        <v>351</v>
      </c>
      <c r="E2286" s="6" t="n">
        <f>SUM(C2286,D2286)/2</f>
        <v>286</v>
      </c>
      <c r="F2286" s="18" t="n">
        <v>8</v>
      </c>
      <c r="G2286" s="18" t="n">
        <v>12</v>
      </c>
      <c r="H2286" s="6" t="n">
        <f>SUM(F2286,G2286)/2</f>
        <v>10</v>
      </c>
    </row>
    <row r="2287" s="18" customFormat="1" ht="14.399999999999999" customHeight="1">
      <c r="A2287" s="10" t="s">
        <v>1775</v>
      </c>
      <c r="B2287" s="10" t="s">
        <v>1776</v>
      </c>
      <c r="C2287" s="10" t="n">
        <v>86</v>
      </c>
      <c r="D2287" s="10" t="n">
        <v>140</v>
      </c>
      <c r="E2287" s="6" t="n">
        <f>SUM(C2287,D2287)/2</f>
        <v>113</v>
      </c>
      <c r="F2287" s="18" t="n">
        <v>0</v>
      </c>
      <c r="G2287" s="18" t="n">
        <v>0</v>
      </c>
      <c r="H2287" s="6" t="n">
        <f>SUM(F2287,G2287)/2</f>
        <v>0</v>
      </c>
    </row>
    <row r="2288" s="18" customFormat="1" ht="14.399999999999999" customHeight="1">
      <c r="A2288" s="10" t="s">
        <v>2360</v>
      </c>
      <c r="B2288" s="10" t="s">
        <v>2361</v>
      </c>
      <c r="C2288" s="10" t="n">
        <v>0</v>
      </c>
      <c r="D2288" s="10" t="n">
        <v>0</v>
      </c>
      <c r="E2288" s="6" t="n">
        <f>SUM(C2288,D2288)/2</f>
        <v>0</v>
      </c>
      <c r="F2288" s="18" t="n">
        <v>4</v>
      </c>
      <c r="G2288" s="18" t="n">
        <v>6</v>
      </c>
      <c r="H2288" s="6" t="n">
        <f>SUM(F2288,G2288)/2</f>
        <v>5</v>
      </c>
    </row>
    <row r="2289" s="18" customFormat="1" ht="14.399999999999999" customHeight="1">
      <c r="A2289" s="10" t="s">
        <v>3575</v>
      </c>
      <c r="B2289" s="10" t="s">
        <v>3576</v>
      </c>
      <c r="C2289" s="13" t="n">
        <v>46265</v>
      </c>
      <c r="D2289" s="13" t="n">
        <v>73901</v>
      </c>
      <c r="E2289" s="6" t="n">
        <f>SUM(C2289,D2289)/2</f>
        <v>60083</v>
      </c>
      <c r="F2289" s="12" t="n">
        <v>23843</v>
      </c>
      <c r="G2289" s="12" t="n">
        <v>28568</v>
      </c>
      <c r="H2289" s="6" t="n">
        <f>SUM(F2289,G2289)/2</f>
        <v>26205.5</v>
      </c>
    </row>
    <row r="2290" s="18" customFormat="1" ht="14.399999999999999" customHeight="1">
      <c r="A2290" s="10" t="s">
        <v>5274</v>
      </c>
      <c r="B2290" s="10" t="s">
        <v>5275</v>
      </c>
      <c r="C2290" s="13" t="n">
        <v>668440</v>
      </c>
      <c r="D2290" s="13" t="n">
        <v>1067764</v>
      </c>
      <c r="E2290" s="6" t="n">
        <f>SUM(C2290,D2290)/2</f>
        <v>868102</v>
      </c>
      <c r="F2290" s="12" t="n">
        <v>29153</v>
      </c>
      <c r="G2290" s="12" t="n">
        <v>71062</v>
      </c>
      <c r="H2290" s="6" t="n">
        <f>SUM(F2290,G2290)/2</f>
        <v>50107.5</v>
      </c>
    </row>
    <row r="2291" s="18" customFormat="1" ht="14.399999999999999" customHeight="1">
      <c r="A2291" s="10" t="s">
        <v>750</v>
      </c>
      <c r="B2291" s="10" t="s">
        <v>751</v>
      </c>
      <c r="C2291" s="13" t="n">
        <v>2808812</v>
      </c>
      <c r="D2291" s="13" t="n">
        <v>4486806</v>
      </c>
      <c r="E2291" s="6" t="n">
        <f>SUM(C2291,D2291)/2</f>
        <v>3647809</v>
      </c>
      <c r="F2291" s="12" t="n">
        <v>71377</v>
      </c>
      <c r="G2291" s="12" t="n">
        <v>181105</v>
      </c>
      <c r="H2291" s="6" t="n">
        <f>SUM(F2291,G2291)/2</f>
        <v>126241</v>
      </c>
    </row>
    <row r="2292" s="18" customFormat="1" ht="14.399999999999999" customHeight="1">
      <c r="A2292" s="10" t="s">
        <v>726</v>
      </c>
      <c r="B2292" s="10" t="s">
        <v>727</v>
      </c>
      <c r="C2292" s="13" t="n">
        <v>2252244</v>
      </c>
      <c r="D2292" s="13" t="n">
        <v>3597738</v>
      </c>
      <c r="E2292" s="6" t="n">
        <f>SUM(C2292,D2292)/2</f>
        <v>2924991</v>
      </c>
      <c r="F2292" s="12" t="n">
        <v>219572</v>
      </c>
      <c r="G2292" s="12" t="n">
        <v>814365</v>
      </c>
      <c r="H2292" s="6" t="n">
        <f>SUM(F2292,G2292)/2</f>
        <v>516968.5</v>
      </c>
    </row>
    <row r="2293" s="18" customFormat="1" ht="14.399999999999999" customHeight="1">
      <c r="A2293" s="10" t="s">
        <v>4835</v>
      </c>
      <c r="B2293" s="10" t="s">
        <v>4836</v>
      </c>
      <c r="C2293" s="13" t="n">
        <v>24101</v>
      </c>
      <c r="D2293" s="13" t="n">
        <v>38499</v>
      </c>
      <c r="E2293" s="6" t="n">
        <f>SUM(C2293,D2293)/2</f>
        <v>31300</v>
      </c>
      <c r="F2293" s="12" t="n">
        <v>4050</v>
      </c>
      <c r="G2293" s="12" t="n">
        <v>5622</v>
      </c>
      <c r="H2293" s="6" t="n">
        <f>SUM(F2293,G2293)/2</f>
        <v>4836</v>
      </c>
    </row>
    <row r="2294" s="18" customFormat="1" ht="14.399999999999999" customHeight="1">
      <c r="A2294" s="10" t="s">
        <v>6671</v>
      </c>
      <c r="B2294" s="10" t="s">
        <v>6672</v>
      </c>
      <c r="C2294" s="10" t="n">
        <v>6</v>
      </c>
      <c r="D2294" s="10" t="n">
        <v>8</v>
      </c>
      <c r="E2294" s="6" t="n">
        <f>SUM(C2294,D2294)/2</f>
        <v>7</v>
      </c>
      <c r="F2294" s="18" t="n">
        <v>3</v>
      </c>
      <c r="G2294" s="18" t="n">
        <v>4</v>
      </c>
      <c r="H2294" s="6" t="n">
        <f>SUM(F2294,G2294)/2</f>
        <v>3.5</v>
      </c>
    </row>
    <row r="2295" s="18" customFormat="1" ht="14.399999999999999" customHeight="1">
      <c r="A2295" s="10" t="s">
        <v>780</v>
      </c>
      <c r="B2295" s="10" t="s">
        <v>781</v>
      </c>
      <c r="C2295" s="13" t="n">
        <v>857925</v>
      </c>
      <c r="D2295" s="13" t="n">
        <v>1370451</v>
      </c>
      <c r="E2295" s="6" t="n">
        <f>SUM(C2295,D2295)/2</f>
        <v>1114188</v>
      </c>
      <c r="F2295" s="12" t="n">
        <v>385138</v>
      </c>
      <c r="G2295" s="12" t="n">
        <v>518953</v>
      </c>
      <c r="H2295" s="6" t="n">
        <f>SUM(F2295,G2295)/2</f>
        <v>452045.5</v>
      </c>
    </row>
    <row r="2296" s="18" customFormat="1" ht="14.399999999999999" customHeight="1">
      <c r="A2296" s="10" t="s">
        <v>6673</v>
      </c>
      <c r="B2296" s="10" t="s">
        <v>6674</v>
      </c>
      <c r="C2296" s="13" t="n">
        <v>19617</v>
      </c>
      <c r="D2296" s="13" t="n">
        <v>31335</v>
      </c>
      <c r="E2296" s="6" t="n">
        <f>SUM(C2296,D2296)/2</f>
        <v>25476</v>
      </c>
      <c r="F2296" s="12" t="n">
        <v>6307</v>
      </c>
      <c r="G2296" s="12" t="n">
        <v>9128</v>
      </c>
      <c r="H2296" s="6" t="n">
        <f>SUM(F2296,G2296)/2</f>
        <v>7717.5</v>
      </c>
    </row>
    <row r="2297" s="18" customFormat="1" ht="14.399999999999999" customHeight="1">
      <c r="A2297" s="10" t="s">
        <v>200</v>
      </c>
      <c r="B2297" s="10" t="s">
        <v>201</v>
      </c>
      <c r="C2297" s="10"/>
      <c r="D2297" s="10"/>
      <c r="E2297" s="6" t="n">
        <f>SUM(C2297,D2297)/2</f>
        <v>0</v>
      </c>
      <c r="F2297" s="13" t="n">
        <v>4305895</v>
      </c>
      <c r="G2297" s="12" t="n">
        <v>5887551</v>
      </c>
      <c r="H2297" s="6" t="n">
        <f>SUM(F2297,G2297)/2</f>
        <v>5096723</v>
      </c>
    </row>
    <row r="2298" s="18" customFormat="1" ht="14.399999999999999" customHeight="1">
      <c r="A2298" s="10" t="s">
        <v>4535</v>
      </c>
      <c r="B2298" s="10" t="s">
        <v>4536</v>
      </c>
      <c r="C2298" s="13" t="n">
        <v>14695</v>
      </c>
      <c r="D2298" s="13" t="n">
        <v>23473</v>
      </c>
      <c r="E2298" s="6" t="n">
        <f>SUM(C2298,D2298)/2</f>
        <v>19084</v>
      </c>
      <c r="F2298" s="12" t="n">
        <v>8645</v>
      </c>
      <c r="G2298" s="12" t="n">
        <v>12933</v>
      </c>
      <c r="H2298" s="6" t="n">
        <f>SUM(F2298,G2298)/2</f>
        <v>10789</v>
      </c>
    </row>
    <row r="2299" s="18" customFormat="1" ht="14.399999999999999" customHeight="1">
      <c r="A2299" s="10" t="s">
        <v>1457</v>
      </c>
      <c r="B2299" s="10" t="s">
        <v>1458</v>
      </c>
      <c r="C2299" s="10" t="n">
        <v>3</v>
      </c>
      <c r="D2299" s="10" t="n">
        <v>3</v>
      </c>
      <c r="E2299" s="6" t="n">
        <f>SUM(C2299,D2299)/2</f>
        <v>3</v>
      </c>
      <c r="F2299" s="18" t="n">
        <v>0</v>
      </c>
      <c r="G2299" s="18" t="n">
        <v>0</v>
      </c>
      <c r="H2299" s="6" t="n">
        <f>SUM(F2299,G2299)/2</f>
        <v>0</v>
      </c>
    </row>
    <row r="2300" s="18" customFormat="1" ht="14.399999999999999" customHeight="1">
      <c r="A2300" s="10" t="s">
        <v>3095</v>
      </c>
      <c r="B2300" s="10" t="s">
        <v>3096</v>
      </c>
      <c r="C2300" s="13" t="n">
        <v>872196</v>
      </c>
      <c r="D2300" s="13" t="n">
        <v>1393248</v>
      </c>
      <c r="E2300" s="6" t="n">
        <f>SUM(C2300,D2300)/2</f>
        <v>1132722</v>
      </c>
      <c r="F2300" s="12" t="n">
        <v>27470</v>
      </c>
      <c r="G2300" s="12" t="n">
        <v>130566</v>
      </c>
      <c r="H2300" s="6" t="n">
        <f>SUM(F2300,G2300)/2</f>
        <v>79018</v>
      </c>
    </row>
    <row r="2301" s="18" customFormat="1" ht="14.399999999999999" customHeight="1">
      <c r="A2301" s="10" t="s">
        <v>2666</v>
      </c>
      <c r="B2301" s="10" t="s">
        <v>2667</v>
      </c>
      <c r="C2301" s="10" t="n">
        <v>4</v>
      </c>
      <c r="D2301" s="10" t="n">
        <v>6</v>
      </c>
      <c r="E2301" s="6" t="n">
        <f>SUM(C2301,D2301)/2</f>
        <v>5</v>
      </c>
      <c r="F2301" s="18" t="n">
        <v>0</v>
      </c>
      <c r="G2301" s="18" t="n">
        <v>0</v>
      </c>
      <c r="H2301" s="6" t="n">
        <f>SUM(F2301,G2301)/2</f>
        <v>0</v>
      </c>
    </row>
    <row r="2302" s="18" customFormat="1" ht="14.399999999999999" customHeight="1">
      <c r="A2302" s="10" t="s">
        <v>963</v>
      </c>
      <c r="B2302" s="10" t="s">
        <v>964</v>
      </c>
      <c r="C2302" s="13" t="n">
        <v>480007</v>
      </c>
      <c r="D2302" s="13" t="n">
        <v>766761</v>
      </c>
      <c r="E2302" s="6" t="n">
        <f>SUM(C2302,D2302)/2</f>
        <v>623384</v>
      </c>
      <c r="F2302" s="12" t="n">
        <v>128831</v>
      </c>
      <c r="G2302" s="12" t="n">
        <v>189031</v>
      </c>
      <c r="H2302" s="6" t="n">
        <f>SUM(F2302,G2302)/2</f>
        <v>158931</v>
      </c>
    </row>
    <row r="2303" s="18" customFormat="1" ht="14.399999999999999" customHeight="1">
      <c r="A2303" s="10" t="s">
        <v>6675</v>
      </c>
      <c r="B2303" s="10" t="s">
        <v>6676</v>
      </c>
      <c r="C2303" s="13" t="n">
        <v>163524</v>
      </c>
      <c r="D2303" s="13" t="n">
        <v>261212</v>
      </c>
      <c r="E2303" s="6" t="n">
        <f>SUM(C2303,D2303)/2</f>
        <v>212368</v>
      </c>
      <c r="F2303" s="12" t="n">
        <v>26480</v>
      </c>
      <c r="G2303" s="12" t="n">
        <v>39193</v>
      </c>
      <c r="H2303" s="6" t="n">
        <f>SUM(F2303,G2303)/2</f>
        <v>32836.5</v>
      </c>
    </row>
    <row r="2304" s="18" customFormat="1" ht="14.399999999999999" customHeight="1">
      <c r="A2304" s="10" t="s">
        <v>2771</v>
      </c>
      <c r="B2304" s="10" t="s">
        <v>2772</v>
      </c>
      <c r="C2304" s="10" t="n">
        <v>2</v>
      </c>
      <c r="D2304" s="10" t="n">
        <v>2</v>
      </c>
      <c r="E2304" s="6" t="n">
        <f>SUM(C2304,D2304)/2</f>
        <v>2</v>
      </c>
      <c r="F2304" s="18" t="n">
        <v>0</v>
      </c>
      <c r="G2304" s="18" t="n">
        <v>0</v>
      </c>
      <c r="H2304" s="6" t="n">
        <f>SUM(F2304,G2304)/2</f>
        <v>0</v>
      </c>
    </row>
    <row r="2305" s="18" customFormat="1" ht="14.399999999999999" customHeight="1">
      <c r="A2305" s="10" t="s">
        <v>2210</v>
      </c>
      <c r="B2305" s="10" t="s">
        <v>2211</v>
      </c>
      <c r="C2305" s="13" t="n">
        <v>252871</v>
      </c>
      <c r="D2305" s="13" t="n">
        <v>403935</v>
      </c>
      <c r="E2305" s="6" t="n">
        <f>SUM(C2305,D2305)/2</f>
        <v>328403</v>
      </c>
      <c r="F2305" s="12" t="n">
        <v>75256</v>
      </c>
      <c r="G2305" s="12" t="n">
        <v>110393</v>
      </c>
      <c r="H2305" s="6" t="n">
        <f>SUM(F2305,G2305)/2</f>
        <v>92824.5</v>
      </c>
    </row>
    <row r="2306" s="18" customFormat="1" ht="14.399999999999999" customHeight="1">
      <c r="A2306" s="10" t="s">
        <v>2965</v>
      </c>
      <c r="B2306" s="10" t="s">
        <v>2966</v>
      </c>
      <c r="C2306" s="10" t="n">
        <v>0</v>
      </c>
      <c r="D2306" s="10" t="n">
        <v>0</v>
      </c>
      <c r="E2306" s="6" t="n">
        <f>SUM(C2306,D2306)/2</f>
        <v>0</v>
      </c>
      <c r="F2306" s="18" t="n">
        <v>0</v>
      </c>
      <c r="G2306" s="18" t="n">
        <v>0</v>
      </c>
      <c r="H2306" s="6" t="n">
        <f>SUM(F2306,G2306)/2</f>
        <v>0</v>
      </c>
    </row>
    <row r="2307" s="18" customFormat="1" ht="14.399999999999999" customHeight="1">
      <c r="A2307" s="10" t="s">
        <v>2536</v>
      </c>
      <c r="B2307" s="10" t="s">
        <v>2537</v>
      </c>
      <c r="C2307" s="10" t="n">
        <v>3</v>
      </c>
      <c r="D2307" s="10" t="n">
        <v>3</v>
      </c>
      <c r="E2307" s="6" t="n">
        <f>SUM(C2307,D2307)/2</f>
        <v>3</v>
      </c>
      <c r="F2307" s="18" t="n">
        <v>2</v>
      </c>
      <c r="G2307" s="18" t="n">
        <v>2</v>
      </c>
      <c r="H2307" s="6" t="n">
        <f>SUM(F2307,G2307)/2</f>
        <v>2</v>
      </c>
    </row>
    <row r="2308" s="18" customFormat="1" ht="14.399999999999999" customHeight="1">
      <c r="A2308" s="10" t="s">
        <v>6677</v>
      </c>
      <c r="B2308" s="10" t="s">
        <v>6678</v>
      </c>
      <c r="C2308" s="10" t="n">
        <v>10</v>
      </c>
      <c r="D2308" s="10" t="n">
        <v>16</v>
      </c>
      <c r="E2308" s="6" t="n">
        <f>SUM(C2308,D2308)/2</f>
        <v>13</v>
      </c>
      <c r="F2308" s="18" t="n">
        <v>4</v>
      </c>
      <c r="G2308" s="18" t="n">
        <v>6</v>
      </c>
      <c r="H2308" s="6" t="n">
        <f>SUM(F2308,G2308)/2</f>
        <v>5</v>
      </c>
    </row>
    <row r="2309" s="18" customFormat="1" ht="14.399999999999999" customHeight="1">
      <c r="A2309" s="10" t="s">
        <v>3153</v>
      </c>
      <c r="B2309" s="10" t="s">
        <v>3154</v>
      </c>
      <c r="C2309" s="13" t="n">
        <v>126293</v>
      </c>
      <c r="D2309" s="13" t="n">
        <v>201739</v>
      </c>
      <c r="E2309" s="6" t="n">
        <f>SUM(C2309,D2309)/2</f>
        <v>164016</v>
      </c>
      <c r="F2309" s="12" t="n">
        <v>25448</v>
      </c>
      <c r="G2309" s="12" t="n">
        <v>37433</v>
      </c>
      <c r="H2309" s="6" t="n">
        <f>SUM(F2309,G2309)/2</f>
        <v>31440.5</v>
      </c>
    </row>
    <row r="2310" s="18" customFormat="1" ht="14.399999999999999" customHeight="1">
      <c r="A2310" s="10" t="s">
        <v>3911</v>
      </c>
      <c r="B2310" s="10" t="s">
        <v>3912</v>
      </c>
      <c r="C2310" s="13" t="n">
        <v>22318</v>
      </c>
      <c r="D2310" s="13" t="n">
        <v>35654</v>
      </c>
      <c r="E2310" s="6" t="n">
        <f>SUM(C2310,D2310)/2</f>
        <v>28986</v>
      </c>
      <c r="F2310" s="12" t="n">
        <v>16780</v>
      </c>
      <c r="G2310" s="12" t="n">
        <v>24319</v>
      </c>
      <c r="H2310" s="6" t="n">
        <f>SUM(F2310,G2310)/2</f>
        <v>20549.5</v>
      </c>
    </row>
    <row r="2311" s="18" customFormat="1" ht="14.399999999999999" customHeight="1">
      <c r="A2311" s="10" t="s">
        <v>4411</v>
      </c>
      <c r="B2311" s="10" t="s">
        <v>4412</v>
      </c>
      <c r="C2311" s="13" t="n">
        <v>37960</v>
      </c>
      <c r="D2311" s="13" t="n">
        <v>60637</v>
      </c>
      <c r="E2311" s="6" t="n">
        <f>SUM(C2311,D2311)/2</f>
        <v>49298.5</v>
      </c>
      <c r="F2311" s="12" t="n">
        <v>4886</v>
      </c>
      <c r="G2311" s="12" t="n">
        <v>7280</v>
      </c>
      <c r="H2311" s="6" t="n">
        <f>SUM(F2311,G2311)/2</f>
        <v>6083</v>
      </c>
    </row>
    <row r="2312" s="18" customFormat="1" ht="14.399999999999999" customHeight="1">
      <c r="A2312" s="10" t="s">
        <v>5370</v>
      </c>
      <c r="B2312" s="10" t="s">
        <v>5371</v>
      </c>
      <c r="C2312" s="13" t="n">
        <v>254140</v>
      </c>
      <c r="D2312" s="13" t="n">
        <v>405966</v>
      </c>
      <c r="E2312" s="6" t="n">
        <f>SUM(C2312,D2312)/2</f>
        <v>330053</v>
      </c>
      <c r="F2312" s="12" t="n">
        <v>75481</v>
      </c>
      <c r="G2312" s="12" t="n">
        <v>102192</v>
      </c>
      <c r="H2312" s="6" t="n">
        <f>SUM(F2312,G2312)/2</f>
        <v>88836.5</v>
      </c>
    </row>
    <row r="2313" s="18" customFormat="1" ht="14.399999999999999" customHeight="1">
      <c r="A2313" s="10" t="s">
        <v>6679</v>
      </c>
      <c r="B2313" s="10" t="s">
        <v>6680</v>
      </c>
      <c r="C2313" s="13" t="n">
        <v>54393</v>
      </c>
      <c r="D2313" s="13" t="n">
        <v>86885</v>
      </c>
      <c r="E2313" s="6" t="n">
        <f>SUM(C2313,D2313)/2</f>
        <v>70639</v>
      </c>
      <c r="F2313" s="12" t="n">
        <v>9872</v>
      </c>
      <c r="G2313" s="12" t="n">
        <v>13289</v>
      </c>
      <c r="H2313" s="6" t="n">
        <f>SUM(F2313,G2313)/2</f>
        <v>11580.5</v>
      </c>
    </row>
    <row r="2314" s="18" customFormat="1" ht="14.399999999999999" customHeight="1">
      <c r="A2314" s="10" t="s">
        <v>5510</v>
      </c>
      <c r="B2314" s="10" t="s">
        <v>5511</v>
      </c>
      <c r="C2314" s="10" t="n">
        <v>165</v>
      </c>
      <c r="D2314" s="10" t="n">
        <v>261</v>
      </c>
      <c r="E2314" s="6" t="n">
        <f>SUM(C2314,D2314)/2</f>
        <v>213</v>
      </c>
      <c r="F2314" s="18" t="n">
        <v>53</v>
      </c>
      <c r="G2314" s="18" t="n">
        <v>86</v>
      </c>
      <c r="H2314" s="6" t="n">
        <f>SUM(F2314,G2314)/2</f>
        <v>69.5</v>
      </c>
    </row>
    <row r="2315" s="18" customFormat="1" ht="14.399999999999999" customHeight="1">
      <c r="A2315" s="10" t="s">
        <v>4755</v>
      </c>
      <c r="B2315" s="10" t="s">
        <v>4756</v>
      </c>
      <c r="C2315" s="13" t="n">
        <v>17139</v>
      </c>
      <c r="D2315" s="13" t="n">
        <v>27381</v>
      </c>
      <c r="E2315" s="6" t="n">
        <f>SUM(C2315,D2315)/2</f>
        <v>22260</v>
      </c>
      <c r="F2315" s="12" t="n">
        <v>6467</v>
      </c>
      <c r="G2315" s="12" t="n">
        <v>8561</v>
      </c>
      <c r="H2315" s="6" t="n">
        <f>SUM(F2315,G2315)/2</f>
        <v>7514</v>
      </c>
    </row>
    <row r="2316" s="18" customFormat="1" ht="14.399999999999999" customHeight="1">
      <c r="A2316" s="10" t="s">
        <v>5245</v>
      </c>
      <c r="B2316" s="10" t="s">
        <v>5246</v>
      </c>
      <c r="C2316" s="10" t="n">
        <v>877</v>
      </c>
      <c r="D2316" s="13" t="n">
        <v>1401</v>
      </c>
      <c r="E2316" s="6" t="n">
        <f>SUM(C2316,D2316)/2</f>
        <v>1139</v>
      </c>
      <c r="F2316" s="12" t="n">
        <v>1594</v>
      </c>
      <c r="G2316" s="12" t="n">
        <v>2135</v>
      </c>
      <c r="H2316" s="6" t="n">
        <f>SUM(F2316,G2316)/2</f>
        <v>1864.5</v>
      </c>
    </row>
    <row r="2317" s="18" customFormat="1" ht="14.399999999999999" customHeight="1">
      <c r="A2317" s="10" t="s">
        <v>3565</v>
      </c>
      <c r="B2317" s="10" t="s">
        <v>3566</v>
      </c>
      <c r="C2317" s="13" t="n">
        <v>106399</v>
      </c>
      <c r="D2317" s="13" t="n">
        <v>169963</v>
      </c>
      <c r="E2317" s="6" t="n">
        <f>SUM(C2317,D2317)/2</f>
        <v>138181</v>
      </c>
      <c r="F2317" s="12" t="n">
        <v>8807</v>
      </c>
      <c r="G2317" s="12" t="n">
        <v>11392</v>
      </c>
      <c r="H2317" s="6" t="n">
        <f>SUM(F2317,G2317)/2</f>
        <v>10099.5</v>
      </c>
    </row>
    <row r="2318" s="18" customFormat="1" ht="14.399999999999999" customHeight="1">
      <c r="A2318" s="10" t="s">
        <v>5033</v>
      </c>
      <c r="B2318" s="10" t="s">
        <v>5034</v>
      </c>
      <c r="C2318" s="13" t="n">
        <v>7784</v>
      </c>
      <c r="D2318" s="13" t="n">
        <v>12434</v>
      </c>
      <c r="E2318" s="6" t="n">
        <f>SUM(C2318,D2318)/2</f>
        <v>10109</v>
      </c>
      <c r="F2318" s="12" t="n">
        <v>6209</v>
      </c>
      <c r="G2318" s="12" t="n">
        <v>8160</v>
      </c>
      <c r="H2318" s="6" t="n">
        <f>SUM(F2318,G2318)/2</f>
        <v>7184.5</v>
      </c>
    </row>
    <row r="2319" s="18" customFormat="1" ht="14.399999999999999" customHeight="1">
      <c r="A2319" s="10" t="s">
        <v>2546</v>
      </c>
      <c r="B2319" s="10" t="s">
        <v>2547</v>
      </c>
      <c r="C2319" s="10" t="n">
        <v>9</v>
      </c>
      <c r="D2319" s="10" t="n">
        <v>15</v>
      </c>
      <c r="E2319" s="6" t="n">
        <f>SUM(C2319,D2319)/2</f>
        <v>12</v>
      </c>
      <c r="F2319" s="18" t="n">
        <v>0</v>
      </c>
      <c r="G2319" s="18" t="n">
        <v>0</v>
      </c>
      <c r="H2319" s="6" t="n">
        <f>SUM(F2319,G2319)/2</f>
        <v>0</v>
      </c>
    </row>
    <row r="2320" s="18" customFormat="1" ht="14.399999999999999" customHeight="1">
      <c r="A2320" s="10" t="s">
        <v>3177</v>
      </c>
      <c r="B2320" s="10" t="s">
        <v>3178</v>
      </c>
      <c r="C2320" s="13" t="n">
        <v>126116</v>
      </c>
      <c r="D2320" s="13" t="n">
        <v>201460</v>
      </c>
      <c r="E2320" s="6" t="n">
        <f>SUM(C2320,D2320)/2</f>
        <v>163788</v>
      </c>
      <c r="F2320" s="12" t="n">
        <v>21178</v>
      </c>
      <c r="G2320" s="12" t="n">
        <v>32871</v>
      </c>
      <c r="H2320" s="6" t="n">
        <f>SUM(F2320,G2320)/2</f>
        <v>27024.5</v>
      </c>
    </row>
    <row r="2321" s="18" customFormat="1" ht="14.399999999999999" customHeight="1">
      <c r="A2321" s="10" t="s">
        <v>3847</v>
      </c>
      <c r="B2321" s="10" t="s">
        <v>3848</v>
      </c>
      <c r="C2321" s="13" t="n">
        <v>26173</v>
      </c>
      <c r="D2321" s="13" t="n">
        <v>41809</v>
      </c>
      <c r="E2321" s="6" t="n">
        <f>SUM(C2321,D2321)/2</f>
        <v>33991</v>
      </c>
      <c r="F2321" s="12" t="n">
        <v>16830</v>
      </c>
      <c r="G2321" s="12" t="n">
        <v>25574</v>
      </c>
      <c r="H2321" s="6" t="n">
        <f>SUM(F2321,G2321)/2</f>
        <v>21202</v>
      </c>
    </row>
    <row r="2322" s="18" customFormat="1" ht="14.399999999999999" customHeight="1">
      <c r="A2322" s="10" t="s">
        <v>6681</v>
      </c>
      <c r="B2322" s="10" t="s">
        <v>6682</v>
      </c>
      <c r="C2322" s="10"/>
      <c r="D2322" s="10"/>
      <c r="E2322" s="6" t="n">
        <f>SUM(C2322,D2322)/2</f>
        <v>0</v>
      </c>
      <c r="F2322" s="12" t="n">
        <v>91038</v>
      </c>
      <c r="G2322" s="12" t="n">
        <v>128240</v>
      </c>
      <c r="H2322" s="6" t="n">
        <f>SUM(F2322,G2322)/2</f>
        <v>109639</v>
      </c>
    </row>
    <row r="2323" s="18" customFormat="1" ht="14.399999999999999" customHeight="1">
      <c r="A2323" s="10" t="s">
        <v>1111</v>
      </c>
      <c r="B2323" s="10" t="s">
        <v>1112</v>
      </c>
      <c r="C2323" s="13" t="n">
        <v>237544</v>
      </c>
      <c r="D2323" s="13" t="n">
        <v>379456</v>
      </c>
      <c r="E2323" s="6" t="n">
        <f>SUM(C2323,D2323)/2</f>
        <v>308500</v>
      </c>
      <c r="F2323" s="12" t="n">
        <v>91866</v>
      </c>
      <c r="G2323" s="12" t="n">
        <v>146359</v>
      </c>
      <c r="H2323" s="6" t="n">
        <f>SUM(F2323,G2323)/2</f>
        <v>119112.5</v>
      </c>
    </row>
    <row r="2324" s="18" customFormat="1" ht="14.399999999999999" customHeight="1">
      <c r="A2324" s="10" t="s">
        <v>3113</v>
      </c>
      <c r="B2324" s="10" t="s">
        <v>3114</v>
      </c>
      <c r="C2324" s="13" t="n">
        <v>281835</v>
      </c>
      <c r="D2324" s="13" t="n">
        <v>450203</v>
      </c>
      <c r="E2324" s="6" t="n">
        <f>SUM(C2324,D2324)/2</f>
        <v>366019</v>
      </c>
      <c r="F2324" s="12" t="n">
        <v>12222</v>
      </c>
      <c r="G2324" s="12" t="n">
        <v>17787</v>
      </c>
      <c r="H2324" s="6" t="n">
        <f>SUM(F2324,G2324)/2</f>
        <v>15004.5</v>
      </c>
    </row>
    <row r="2325" s="18" customFormat="1" ht="14.399999999999999" customHeight="1">
      <c r="A2325" s="10" t="s">
        <v>6683</v>
      </c>
      <c r="B2325" s="10" t="s">
        <v>6684</v>
      </c>
      <c r="C2325" s="10" t="n">
        <v>2</v>
      </c>
      <c r="D2325" s="10" t="n">
        <v>2</v>
      </c>
      <c r="E2325" s="6" t="n">
        <f>SUM(C2325,D2325)/2</f>
        <v>2</v>
      </c>
      <c r="F2325" s="18" t="n">
        <v>0</v>
      </c>
      <c r="G2325" s="18" t="n">
        <v>0</v>
      </c>
      <c r="H2325" s="6" t="n">
        <f>SUM(F2325,G2325)/2</f>
        <v>0</v>
      </c>
    </row>
    <row r="2326" s="18" customFormat="1" ht="14.399999999999999" customHeight="1">
      <c r="A2326" s="10" t="s">
        <v>1741</v>
      </c>
      <c r="B2326" s="10" t="s">
        <v>1742</v>
      </c>
      <c r="C2326" s="10" t="n">
        <v>30</v>
      </c>
      <c r="D2326" s="10" t="n">
        <v>46</v>
      </c>
      <c r="E2326" s="6" t="n">
        <f>SUM(C2326,D2326)/2</f>
        <v>38</v>
      </c>
      <c r="F2326" s="18" t="n">
        <v>17</v>
      </c>
      <c r="G2326" s="18" t="n">
        <v>22</v>
      </c>
      <c r="H2326" s="6" t="n">
        <f>SUM(F2326,G2326)/2</f>
        <v>19.5</v>
      </c>
    </row>
    <row r="2327" s="18" customFormat="1" ht="14.399999999999999" customHeight="1">
      <c r="A2327" s="10" t="s">
        <v>5296</v>
      </c>
      <c r="B2327" s="10" t="s">
        <v>5297</v>
      </c>
      <c r="C2327" s="13" t="n">
        <v>1268</v>
      </c>
      <c r="D2327" s="13" t="n">
        <v>2026</v>
      </c>
      <c r="E2327" s="6" t="n">
        <f>SUM(C2327,D2327)/2</f>
        <v>1647</v>
      </c>
      <c r="F2327" s="18" t="n">
        <v>446</v>
      </c>
      <c r="G2327" s="18" t="n">
        <v>549</v>
      </c>
      <c r="H2327" s="6" t="n">
        <f>SUM(F2327,G2327)/2</f>
        <v>497.5</v>
      </c>
    </row>
    <row r="2328" s="18" customFormat="1" ht="14.399999999999999" customHeight="1">
      <c r="A2328" s="10" t="s">
        <v>4733</v>
      </c>
      <c r="B2328" s="10" t="s">
        <v>4734</v>
      </c>
      <c r="C2328" s="13" t="n">
        <v>22621</v>
      </c>
      <c r="D2328" s="13" t="n">
        <v>36135</v>
      </c>
      <c r="E2328" s="6" t="n">
        <f>SUM(C2328,D2328)/2</f>
        <v>29378</v>
      </c>
      <c r="F2328" s="12" t="n">
        <v>5324</v>
      </c>
      <c r="G2328" s="12" t="n">
        <v>7319</v>
      </c>
      <c r="H2328" s="6" t="n">
        <f>SUM(F2328,G2328)/2</f>
        <v>6321.5</v>
      </c>
    </row>
    <row r="2329" s="18" customFormat="1" ht="14.399999999999999" customHeight="1">
      <c r="A2329" s="10" t="s">
        <v>784</v>
      </c>
      <c r="B2329" s="10" t="s">
        <v>785</v>
      </c>
      <c r="C2329" s="13" t="n">
        <v>2342309</v>
      </c>
      <c r="D2329" s="13" t="n">
        <v>3741611</v>
      </c>
      <c r="E2329" s="6" t="n">
        <f>SUM(C2329,D2329)/2</f>
        <v>3041960</v>
      </c>
      <c r="F2329" s="12" t="n">
        <v>32365</v>
      </c>
      <c r="G2329" s="12" t="n">
        <v>45138</v>
      </c>
      <c r="H2329" s="6" t="n">
        <f>SUM(F2329,G2329)/2</f>
        <v>38751.5</v>
      </c>
    </row>
    <row r="2330" s="18" customFormat="1" ht="14.399999999999999" customHeight="1">
      <c r="A2330" s="10" t="s">
        <v>6685</v>
      </c>
      <c r="B2330" s="10" t="s">
        <v>6686</v>
      </c>
      <c r="C2330" s="10" t="n">
        <v>0</v>
      </c>
      <c r="D2330" s="10" t="n">
        <v>0</v>
      </c>
      <c r="E2330" s="6" t="n">
        <f>SUM(C2330,D2330)/2</f>
        <v>0</v>
      </c>
      <c r="F2330" s="18" t="n">
        <v>0</v>
      </c>
      <c r="G2330" s="18" t="n">
        <v>0</v>
      </c>
      <c r="H2330" s="6" t="n">
        <f>SUM(F2330,G2330)/2</f>
        <v>0</v>
      </c>
    </row>
    <row r="2331" s="18" customFormat="1" ht="14.399999999999999" customHeight="1">
      <c r="A2331" s="10" t="s">
        <v>1453</v>
      </c>
      <c r="B2331" s="10" t="s">
        <v>1454</v>
      </c>
      <c r="C2331" s="10" t="n">
        <v>5</v>
      </c>
      <c r="D2331" s="10" t="n">
        <v>7</v>
      </c>
      <c r="E2331" s="6" t="n">
        <f>SUM(C2331,D2331)/2</f>
        <v>6</v>
      </c>
      <c r="F2331" s="18" t="n">
        <v>0</v>
      </c>
      <c r="G2331" s="18" t="n">
        <v>0</v>
      </c>
      <c r="H2331" s="6" t="n">
        <f>SUM(F2331,G2331)/2</f>
        <v>0</v>
      </c>
    </row>
    <row r="2332" s="18" customFormat="1" ht="14.399999999999999" customHeight="1">
      <c r="A2332" s="10" t="s">
        <v>4101</v>
      </c>
      <c r="B2332" s="10" t="s">
        <v>4102</v>
      </c>
      <c r="C2332" s="13" t="n">
        <v>35622</v>
      </c>
      <c r="D2332" s="13" t="n">
        <v>56900</v>
      </c>
      <c r="E2332" s="6" t="n">
        <f>SUM(C2332,D2332)/2</f>
        <v>46261</v>
      </c>
      <c r="F2332" s="12" t="n">
        <v>10244</v>
      </c>
      <c r="G2332" s="12" t="n">
        <v>14216</v>
      </c>
      <c r="H2332" s="6" t="n">
        <f>SUM(F2332,G2332)/2</f>
        <v>12230</v>
      </c>
    </row>
    <row r="2333" s="18" customFormat="1" ht="14.399999999999999" customHeight="1">
      <c r="A2333" s="10" t="s">
        <v>1260</v>
      </c>
      <c r="B2333" s="10" t="s">
        <v>1261</v>
      </c>
      <c r="C2333" s="13" t="n">
        <v>167356</v>
      </c>
      <c r="D2333" s="13" t="n">
        <v>267333</v>
      </c>
      <c r="E2333" s="6" t="n">
        <f>SUM(C2333,D2333)/2</f>
        <v>217344.5</v>
      </c>
      <c r="F2333" s="12" t="n">
        <v>26756</v>
      </c>
      <c r="G2333" s="12" t="n">
        <v>39217</v>
      </c>
      <c r="H2333" s="6" t="n">
        <f>SUM(F2333,G2333)/2</f>
        <v>32986.5</v>
      </c>
    </row>
    <row r="2334" s="18" customFormat="1" ht="14.399999999999999" customHeight="1">
      <c r="A2334" s="10" t="s">
        <v>3531</v>
      </c>
      <c r="B2334" s="10" t="s">
        <v>3532</v>
      </c>
      <c r="C2334" s="13" t="n">
        <v>93834</v>
      </c>
      <c r="D2334" s="13" t="n">
        <v>149890</v>
      </c>
      <c r="E2334" s="6" t="n">
        <f>SUM(C2334,D2334)/2</f>
        <v>121862</v>
      </c>
      <c r="F2334" s="12" t="n">
        <v>12508</v>
      </c>
      <c r="G2334" s="12" t="n">
        <v>18088</v>
      </c>
      <c r="H2334" s="6" t="n">
        <f>SUM(F2334,G2334)/2</f>
        <v>15298</v>
      </c>
    </row>
    <row r="2335" s="18" customFormat="1" ht="14.399999999999999" customHeight="1">
      <c r="A2335" s="10" t="s">
        <v>4185</v>
      </c>
      <c r="B2335" s="10" t="s">
        <v>4186</v>
      </c>
      <c r="C2335" s="13" t="n">
        <v>52277</v>
      </c>
      <c r="D2335" s="13" t="n">
        <v>83507</v>
      </c>
      <c r="E2335" s="6" t="n">
        <f>SUM(C2335,D2335)/2</f>
        <v>67892</v>
      </c>
      <c r="F2335" s="12" t="n">
        <v>5169</v>
      </c>
      <c r="G2335" s="12" t="n">
        <v>6642</v>
      </c>
      <c r="H2335" s="6" t="n">
        <f>SUM(F2335,G2335)/2</f>
        <v>5905.5</v>
      </c>
    </row>
    <row r="2336" s="18" customFormat="1" ht="14.399999999999999" customHeight="1">
      <c r="A2336" s="10" t="s">
        <v>4513</v>
      </c>
      <c r="B2336" s="10" t="s">
        <v>4514</v>
      </c>
      <c r="C2336" s="13" t="n">
        <v>29947</v>
      </c>
      <c r="D2336" s="13" t="n">
        <v>47839</v>
      </c>
      <c r="E2336" s="6" t="n">
        <f>SUM(C2336,D2336)/2</f>
        <v>38893</v>
      </c>
      <c r="F2336" s="12" t="n">
        <v>5443</v>
      </c>
      <c r="G2336" s="12" t="n">
        <v>8419</v>
      </c>
      <c r="H2336" s="6" t="n">
        <f>SUM(F2336,G2336)/2</f>
        <v>6931</v>
      </c>
    </row>
    <row r="2337" s="18" customFormat="1" ht="14.399999999999999" customHeight="1">
      <c r="A2337" s="10" t="s">
        <v>2668</v>
      </c>
      <c r="B2337" s="10" t="s">
        <v>2669</v>
      </c>
      <c r="C2337" s="10" t="n">
        <v>4</v>
      </c>
      <c r="D2337" s="10" t="n">
        <v>6</v>
      </c>
      <c r="E2337" s="6" t="n">
        <f>SUM(C2337,D2337)/2</f>
        <v>5</v>
      </c>
      <c r="F2337" s="18" t="n">
        <v>0</v>
      </c>
      <c r="G2337" s="18" t="n">
        <v>0</v>
      </c>
      <c r="H2337" s="6" t="n">
        <f>SUM(F2337,G2337)/2</f>
        <v>0</v>
      </c>
    </row>
    <row r="2338" s="18" customFormat="1" ht="14.399999999999999" customHeight="1">
      <c r="A2338" s="10" t="s">
        <v>1735</v>
      </c>
      <c r="B2338" s="10" t="s">
        <v>1736</v>
      </c>
      <c r="C2338" s="10" t="n">
        <v>42</v>
      </c>
      <c r="D2338" s="10" t="n">
        <v>70</v>
      </c>
      <c r="E2338" s="6" t="n">
        <f>SUM(C2338,D2338)/2</f>
        <v>56</v>
      </c>
      <c r="F2338" s="18" t="n">
        <v>14</v>
      </c>
      <c r="G2338" s="18" t="n">
        <v>20</v>
      </c>
      <c r="H2338" s="6" t="n">
        <f>SUM(F2338,G2338)/2</f>
        <v>17</v>
      </c>
    </row>
    <row r="2339" s="18" customFormat="1" ht="14.399999999999999" customHeight="1">
      <c r="A2339" s="10" t="s">
        <v>4379</v>
      </c>
      <c r="B2339" s="10" t="s">
        <v>4380</v>
      </c>
      <c r="C2339" s="13" t="n">
        <v>17485</v>
      </c>
      <c r="D2339" s="13" t="n">
        <v>27931</v>
      </c>
      <c r="E2339" s="6" t="n">
        <f>SUM(C2339,D2339)/2</f>
        <v>22708</v>
      </c>
      <c r="F2339" s="12" t="n">
        <v>9748</v>
      </c>
      <c r="G2339" s="12" t="n">
        <v>14819</v>
      </c>
      <c r="H2339" s="6" t="n">
        <f>SUM(F2339,G2339)/2</f>
        <v>12283.5</v>
      </c>
    </row>
    <row r="2340" s="18" customFormat="1" ht="14.399999999999999" customHeight="1">
      <c r="A2340" s="10" t="s">
        <v>6687</v>
      </c>
      <c r="B2340" s="10" t="s">
        <v>6688</v>
      </c>
      <c r="C2340" s="13" t="n">
        <v>24816</v>
      </c>
      <c r="D2340" s="13" t="n">
        <v>39644</v>
      </c>
      <c r="E2340" s="6" t="n">
        <f>SUM(C2340,D2340)/2</f>
        <v>32230</v>
      </c>
      <c r="F2340" s="12" t="n">
        <v>7069</v>
      </c>
      <c r="G2340" s="12" t="n">
        <v>9231</v>
      </c>
      <c r="H2340" s="6" t="n">
        <f>SUM(F2340,G2340)/2</f>
        <v>8150</v>
      </c>
    </row>
    <row r="2341" s="18" customFormat="1" ht="14.399999999999999" customHeight="1">
      <c r="A2341" s="10" t="s">
        <v>2967</v>
      </c>
      <c r="B2341" s="10" t="s">
        <v>2968</v>
      </c>
      <c r="C2341" s="10" t="n">
        <v>0</v>
      </c>
      <c r="D2341" s="10" t="n">
        <v>0</v>
      </c>
      <c r="E2341" s="6" t="n">
        <f>SUM(C2341,D2341)/2</f>
        <v>0</v>
      </c>
      <c r="F2341" s="18" t="n">
        <v>0</v>
      </c>
      <c r="G2341" s="18" t="n">
        <v>0</v>
      </c>
      <c r="H2341" s="6" t="n">
        <f>SUM(F2341,G2341)/2</f>
        <v>0</v>
      </c>
    </row>
    <row r="2342" s="18" customFormat="1" ht="14.399999999999999" customHeight="1">
      <c r="A2342" s="10" t="s">
        <v>6689</v>
      </c>
      <c r="B2342" s="10" t="s">
        <v>6690</v>
      </c>
      <c r="C2342" s="10" t="n">
        <v>55</v>
      </c>
      <c r="D2342" s="10" t="n">
        <v>87</v>
      </c>
      <c r="E2342" s="6" t="n">
        <f>SUM(C2342,D2342)/2</f>
        <v>71</v>
      </c>
      <c r="F2342" s="18" t="n">
        <v>128</v>
      </c>
      <c r="G2342" s="18" t="n">
        <v>142</v>
      </c>
      <c r="H2342" s="6" t="n">
        <f>SUM(F2342,G2342)/2</f>
        <v>135</v>
      </c>
    </row>
    <row r="2343" s="18" customFormat="1" ht="14.399999999999999" customHeight="1">
      <c r="A2343" s="10" t="s">
        <v>4131</v>
      </c>
      <c r="B2343" s="10" t="s">
        <v>4132</v>
      </c>
      <c r="C2343" s="13" t="n">
        <v>39226</v>
      </c>
      <c r="D2343" s="13" t="n">
        <v>62660</v>
      </c>
      <c r="E2343" s="6" t="n">
        <f>SUM(C2343,D2343)/2</f>
        <v>50943</v>
      </c>
      <c r="F2343" s="12" t="n">
        <v>9118</v>
      </c>
      <c r="G2343" s="12" t="n">
        <v>12363</v>
      </c>
      <c r="H2343" s="6" t="n">
        <f>SUM(F2343,G2343)/2</f>
        <v>10740.5</v>
      </c>
    </row>
    <row r="2344" s="18" customFormat="1" ht="14.399999999999999" customHeight="1">
      <c r="A2344" s="10" t="s">
        <v>2969</v>
      </c>
      <c r="B2344" s="10" t="s">
        <v>2970</v>
      </c>
      <c r="C2344" s="10" t="n">
        <v>0</v>
      </c>
      <c r="D2344" s="10" t="n">
        <v>0</v>
      </c>
      <c r="E2344" s="6" t="n">
        <f>SUM(C2344,D2344)/2</f>
        <v>0</v>
      </c>
      <c r="F2344" s="18" t="n">
        <v>0</v>
      </c>
      <c r="G2344" s="18" t="n">
        <v>0</v>
      </c>
      <c r="H2344" s="6" t="n">
        <f>SUM(F2344,G2344)/2</f>
        <v>0</v>
      </c>
    </row>
    <row r="2345" s="18" customFormat="1" ht="14.399999999999999" customHeight="1">
      <c r="A2345" s="10" t="s">
        <v>6691</v>
      </c>
      <c r="B2345" s="10" t="s">
        <v>6692</v>
      </c>
      <c r="C2345" s="13" t="n">
        <v>176197</v>
      </c>
      <c r="D2345" s="13" t="n">
        <v>281455</v>
      </c>
      <c r="E2345" s="6" t="n">
        <f>SUM(C2345,D2345)/2</f>
        <v>228826</v>
      </c>
      <c r="F2345" s="12" t="n">
        <v>48273</v>
      </c>
      <c r="G2345" s="12" t="n">
        <v>63592</v>
      </c>
      <c r="H2345" s="6" t="n">
        <f>SUM(F2345,G2345)/2</f>
        <v>55932.5</v>
      </c>
    </row>
    <row r="2346" s="18" customFormat="1" ht="14.399999999999999" customHeight="1">
      <c r="A2346" s="10" t="s">
        <v>4289</v>
      </c>
      <c r="B2346" s="10" t="s">
        <v>4290</v>
      </c>
      <c r="C2346" s="13" t="n">
        <v>9770</v>
      </c>
      <c r="D2346" s="13" t="n">
        <v>15606</v>
      </c>
      <c r="E2346" s="6" t="n">
        <f>SUM(C2346,D2346)/2</f>
        <v>12688</v>
      </c>
      <c r="F2346" s="12" t="n">
        <v>12456</v>
      </c>
      <c r="G2346" s="12" t="n">
        <v>19402</v>
      </c>
      <c r="H2346" s="6" t="n">
        <f>SUM(F2346,G2346)/2</f>
        <v>15929</v>
      </c>
    </row>
    <row r="2347" s="18" customFormat="1" ht="14.399999999999999" customHeight="1">
      <c r="A2347" s="10" t="s">
        <v>5358</v>
      </c>
      <c r="B2347" s="10" t="s">
        <v>5359</v>
      </c>
      <c r="C2347" s="13" t="n">
        <v>1388</v>
      </c>
      <c r="D2347" s="13" t="n">
        <v>2214</v>
      </c>
      <c r="E2347" s="6" t="n">
        <f>SUM(C2347,D2347)/2</f>
        <v>1801</v>
      </c>
      <c r="F2347" s="18" t="n">
        <v>30</v>
      </c>
      <c r="G2347" s="18" t="n">
        <v>123</v>
      </c>
      <c r="H2347" s="6" t="n">
        <f>SUM(F2347,G2347)/2</f>
        <v>76.5</v>
      </c>
    </row>
    <row r="2348" s="18" customFormat="1" ht="14.399999999999999" customHeight="1">
      <c r="A2348" s="10" t="s">
        <v>6693</v>
      </c>
      <c r="B2348" s="10" t="s">
        <v>6694</v>
      </c>
      <c r="C2348" s="10" t="n">
        <v>46</v>
      </c>
      <c r="D2348" s="10" t="n">
        <v>74</v>
      </c>
      <c r="E2348" s="6" t="n">
        <f>SUM(C2348,D2348)/2</f>
        <v>60</v>
      </c>
      <c r="F2348" s="18" t="n">
        <v>61</v>
      </c>
      <c r="G2348" s="18" t="n">
        <v>85</v>
      </c>
      <c r="H2348" s="6" t="n">
        <f>SUM(F2348,G2348)/2</f>
        <v>73</v>
      </c>
    </row>
    <row r="2349" s="18" customFormat="1" ht="14.399999999999999" customHeight="1">
      <c r="A2349" s="10" t="s">
        <v>6695</v>
      </c>
      <c r="B2349" s="10" t="s">
        <v>6696</v>
      </c>
      <c r="C2349" s="13" t="n">
        <v>6112</v>
      </c>
      <c r="D2349" s="13" t="n">
        <v>9762</v>
      </c>
      <c r="E2349" s="6" t="n">
        <f>SUM(C2349,D2349)/2</f>
        <v>7937</v>
      </c>
      <c r="F2349" s="12" t="n">
        <v>5284</v>
      </c>
      <c r="G2349" s="12" t="n">
        <v>7180</v>
      </c>
      <c r="H2349" s="6" t="n">
        <f>SUM(F2349,G2349)/2</f>
        <v>6232</v>
      </c>
    </row>
    <row r="2350" s="18" customFormat="1" ht="14.399999999999999" customHeight="1">
      <c r="A2350" s="10" t="s">
        <v>1787</v>
      </c>
      <c r="B2350" s="10" t="s">
        <v>1788</v>
      </c>
      <c r="C2350" s="10" t="n">
        <v>21</v>
      </c>
      <c r="D2350" s="10" t="n">
        <v>33</v>
      </c>
      <c r="E2350" s="6" t="n">
        <f>SUM(C2350,D2350)/2</f>
        <v>27</v>
      </c>
      <c r="F2350" s="18" t="n">
        <v>15</v>
      </c>
      <c r="G2350" s="18" t="n">
        <v>20</v>
      </c>
      <c r="H2350" s="6" t="n">
        <f>SUM(F2350,G2350)/2</f>
        <v>17.5</v>
      </c>
    </row>
    <row r="2351" s="18" customFormat="1" ht="14.399999999999999" customHeight="1">
      <c r="A2351" s="10" t="s">
        <v>1262</v>
      </c>
      <c r="B2351" s="10" t="s">
        <v>1263</v>
      </c>
      <c r="C2351" s="13" t="n">
        <v>24185</v>
      </c>
      <c r="D2351" s="13" t="n">
        <v>38631</v>
      </c>
      <c r="E2351" s="6" t="n">
        <f>SUM(C2351,D2351)/2</f>
        <v>31408</v>
      </c>
      <c r="F2351" s="12" t="n">
        <v>57567</v>
      </c>
      <c r="G2351" s="12" t="n">
        <v>87357</v>
      </c>
      <c r="H2351" s="6" t="n">
        <f>SUM(F2351,G2351)/2</f>
        <v>72462</v>
      </c>
    </row>
    <row r="2352" s="18" customFormat="1" ht="14.399999999999999" customHeight="1">
      <c r="A2352" s="10" t="s">
        <v>6697</v>
      </c>
      <c r="B2352" s="10" t="s">
        <v>6698</v>
      </c>
      <c r="C2352" s="10" t="n">
        <v>59</v>
      </c>
      <c r="D2352" s="10" t="n">
        <v>95</v>
      </c>
      <c r="E2352" s="6" t="n">
        <f>SUM(C2352,D2352)/2</f>
        <v>77</v>
      </c>
      <c r="F2352" s="18" t="n">
        <v>10</v>
      </c>
      <c r="G2352" s="18" t="n">
        <v>15</v>
      </c>
      <c r="H2352" s="6" t="n">
        <f>SUM(F2352,G2352)/2</f>
        <v>12.5</v>
      </c>
    </row>
    <row r="2353" s="18" customFormat="1" ht="14.399999999999999" customHeight="1">
      <c r="A2353" s="10" t="s">
        <v>5434</v>
      </c>
      <c r="B2353" s="10" t="s">
        <v>5435</v>
      </c>
      <c r="C2353" s="10" t="n">
        <v>204</v>
      </c>
      <c r="D2353" s="10" t="n">
        <v>326</v>
      </c>
      <c r="E2353" s="6" t="n">
        <f>SUM(C2353,D2353)/2</f>
        <v>265</v>
      </c>
      <c r="F2353" s="18" t="n">
        <v>144</v>
      </c>
      <c r="G2353" s="18" t="n">
        <v>190</v>
      </c>
      <c r="H2353" s="6" t="n">
        <f>SUM(F2353,G2353)/2</f>
        <v>167</v>
      </c>
    </row>
    <row r="2354" s="18" customFormat="1" ht="14.399999999999999" customHeight="1">
      <c r="A2354" s="10" t="s">
        <v>4787</v>
      </c>
      <c r="B2354" s="10" t="s">
        <v>4788</v>
      </c>
      <c r="C2354" s="13" t="n">
        <v>17395</v>
      </c>
      <c r="D2354" s="13" t="n">
        <v>27787</v>
      </c>
      <c r="E2354" s="6" t="n">
        <f>SUM(C2354,D2354)/2</f>
        <v>22591</v>
      </c>
      <c r="F2354" s="18" t="n">
        <v>5654</v>
      </c>
      <c r="G2354" s="18" t="n">
        <v>8548</v>
      </c>
      <c r="H2354" s="6" t="n">
        <f>SUM(F2354,G2354)/2</f>
        <v>7101</v>
      </c>
    </row>
    <row r="2355" s="18" customFormat="1" ht="14.399999999999999" customHeight="1">
      <c r="A2355" s="10" t="s">
        <v>1499</v>
      </c>
      <c r="B2355" s="10" t="s">
        <v>1500</v>
      </c>
      <c r="C2355" s="13" t="n">
        <v>254367</v>
      </c>
      <c r="D2355" s="13" t="n">
        <v>406327</v>
      </c>
      <c r="E2355" s="6" t="n">
        <f>SUM(C2355,D2355)/2</f>
        <v>330347</v>
      </c>
      <c r="F2355" s="12" t="n">
        <v>60539</v>
      </c>
      <c r="G2355" s="12" t="n">
        <v>87903</v>
      </c>
      <c r="H2355" s="6" t="n">
        <f>SUM(F2355,G2355)/2</f>
        <v>74221</v>
      </c>
    </row>
    <row r="2356" s="18" customFormat="1" ht="14.399999999999999" customHeight="1">
      <c r="A2356" s="10" t="s">
        <v>6699</v>
      </c>
      <c r="B2356" s="10" t="s">
        <v>6700</v>
      </c>
      <c r="C2356" s="13" t="n">
        <v>1807</v>
      </c>
      <c r="D2356" s="13" t="n">
        <v>2887</v>
      </c>
      <c r="E2356" s="6" t="n">
        <f>SUM(C2356,D2356)/2</f>
        <v>2347</v>
      </c>
      <c r="F2356" s="12" t="n">
        <v>4980</v>
      </c>
      <c r="G2356" s="12" t="n">
        <v>7047</v>
      </c>
      <c r="H2356" s="6" t="n">
        <f>SUM(F2356,G2356)/2</f>
        <v>6013.5</v>
      </c>
    </row>
    <row r="2357" s="18" customFormat="1" ht="14.399999999999999" customHeight="1">
      <c r="A2357" s="10" t="s">
        <v>6701</v>
      </c>
      <c r="B2357" s="10" t="s">
        <v>6702</v>
      </c>
      <c r="C2357" s="10" t="n">
        <v>18</v>
      </c>
      <c r="D2357" s="10" t="n">
        <v>28</v>
      </c>
      <c r="E2357" s="6" t="n">
        <f>SUM(C2357,D2357)/2</f>
        <v>23</v>
      </c>
      <c r="F2357" s="18" t="n">
        <v>10</v>
      </c>
      <c r="G2357" s="18" t="n">
        <v>16</v>
      </c>
      <c r="H2357" s="6" t="n">
        <f>SUM(F2357,G2357)/2</f>
        <v>13</v>
      </c>
    </row>
    <row r="2358" s="18" customFormat="1" ht="14.399999999999999" customHeight="1">
      <c r="A2358" s="10" t="s">
        <v>3727</v>
      </c>
      <c r="B2358" s="10" t="s">
        <v>3728</v>
      </c>
      <c r="C2358" s="13" t="n">
        <v>49553</v>
      </c>
      <c r="D2358" s="13" t="n">
        <v>79155</v>
      </c>
      <c r="E2358" s="6" t="n">
        <f>SUM(C2358,D2358)/2</f>
        <v>64354</v>
      </c>
      <c r="F2358" s="12" t="n">
        <v>16124</v>
      </c>
      <c r="G2358" s="12" t="n">
        <v>22561</v>
      </c>
      <c r="H2358" s="6" t="n">
        <f>SUM(F2358,G2358)/2</f>
        <v>19342.5</v>
      </c>
    </row>
    <row r="2359" s="18" customFormat="1" ht="14.399999999999999" customHeight="1">
      <c r="A2359" s="10" t="s">
        <v>4093</v>
      </c>
      <c r="B2359" s="10" t="s">
        <v>4094</v>
      </c>
      <c r="C2359" s="13" t="n">
        <v>15721</v>
      </c>
      <c r="D2359" s="13" t="n">
        <v>25117</v>
      </c>
      <c r="E2359" s="6" t="n">
        <f>SUM(C2359,D2359)/2</f>
        <v>20419</v>
      </c>
      <c r="F2359" s="12" t="n">
        <v>14738</v>
      </c>
      <c r="G2359" s="12" t="n">
        <v>21515</v>
      </c>
      <c r="H2359" s="6" t="n">
        <f>SUM(F2359,G2359)/2</f>
        <v>18126.5</v>
      </c>
    </row>
    <row r="2360" s="18" customFormat="1" ht="14.399999999999999" customHeight="1">
      <c r="A2360" s="10" t="s">
        <v>1747</v>
      </c>
      <c r="B2360" s="10" t="s">
        <v>1748</v>
      </c>
      <c r="C2360" s="10" t="n">
        <v>20</v>
      </c>
      <c r="D2360" s="10" t="n">
        <v>32</v>
      </c>
      <c r="E2360" s="6" t="n">
        <f>SUM(C2360,D2360)/2</f>
        <v>26</v>
      </c>
      <c r="F2360" s="18" t="n">
        <v>17</v>
      </c>
      <c r="G2360" s="18" t="n">
        <v>26</v>
      </c>
      <c r="H2360" s="6" t="n">
        <f>SUM(F2360,G2360)/2</f>
        <v>21.5</v>
      </c>
    </row>
    <row r="2361" s="18" customFormat="1" ht="14.399999999999999" customHeight="1">
      <c r="A2361" s="10" t="s">
        <v>1549</v>
      </c>
      <c r="B2361" s="10" t="s">
        <v>1550</v>
      </c>
      <c r="C2361" s="10" t="n">
        <v>180</v>
      </c>
      <c r="D2361" s="10" t="n">
        <v>286</v>
      </c>
      <c r="E2361" s="6" t="n">
        <f>SUM(C2361,D2361)/2</f>
        <v>233</v>
      </c>
      <c r="F2361" s="18" t="n">
        <v>3</v>
      </c>
      <c r="G2361" s="18" t="n">
        <v>4</v>
      </c>
      <c r="H2361" s="6" t="n">
        <f>SUM(F2361,G2361)/2</f>
        <v>3.5</v>
      </c>
    </row>
    <row r="2362" s="18" customFormat="1" ht="14.399999999999999" customHeight="1">
      <c r="A2362" s="10" t="s">
        <v>2971</v>
      </c>
      <c r="B2362" s="10" t="s">
        <v>2972</v>
      </c>
      <c r="C2362" s="10" t="n">
        <v>0</v>
      </c>
      <c r="D2362" s="10" t="n">
        <v>0</v>
      </c>
      <c r="E2362" s="6" t="n">
        <f>SUM(C2362,D2362)/2</f>
        <v>0</v>
      </c>
      <c r="F2362" s="18" t="n">
        <v>0</v>
      </c>
      <c r="G2362" s="18" t="n">
        <v>0</v>
      </c>
      <c r="H2362" s="6" t="n">
        <f>SUM(F2362,G2362)/2</f>
        <v>0</v>
      </c>
    </row>
    <row r="2363" s="18" customFormat="1" ht="14.399999999999999" customHeight="1">
      <c r="A2363" s="10" t="s">
        <v>2390</v>
      </c>
      <c r="B2363" s="10" t="s">
        <v>2391</v>
      </c>
      <c r="C2363" s="13" t="n">
        <v>123058</v>
      </c>
      <c r="D2363" s="13" t="n">
        <v>196577</v>
      </c>
      <c r="E2363" s="6" t="n">
        <f>SUM(C2363,D2363)/2</f>
        <v>159817.5</v>
      </c>
      <c r="F2363" s="12" t="n">
        <v>36351</v>
      </c>
      <c r="G2363" s="12" t="n">
        <v>50256</v>
      </c>
      <c r="H2363" s="6" t="n">
        <f>SUM(F2363,G2363)/2</f>
        <v>43303.5</v>
      </c>
    </row>
    <row r="2364" s="18" customFormat="1" ht="14.399999999999999" customHeight="1">
      <c r="A2364" s="10" t="s">
        <v>708</v>
      </c>
      <c r="B2364" s="10" t="s">
        <v>709</v>
      </c>
      <c r="C2364" s="13" t="n">
        <v>1845852</v>
      </c>
      <c r="D2364" s="13" t="n">
        <v>2948570</v>
      </c>
      <c r="E2364" s="6" t="n">
        <f>SUM(C2364,D2364)/2</f>
        <v>2397211</v>
      </c>
      <c r="F2364" s="12" t="n">
        <v>647887</v>
      </c>
      <c r="G2364" s="12" t="n">
        <v>895928</v>
      </c>
      <c r="H2364" s="6" t="n">
        <f>SUM(F2364,G2364)/2</f>
        <v>771907.5</v>
      </c>
    </row>
    <row r="2365" s="18" customFormat="1" ht="14.399999999999999" customHeight="1">
      <c r="A2365" s="10" t="s">
        <v>1079</v>
      </c>
      <c r="B2365" s="10" t="s">
        <v>1080</v>
      </c>
      <c r="C2365" s="13" t="n">
        <v>153059</v>
      </c>
      <c r="D2365" s="13" t="n">
        <v>244501</v>
      </c>
      <c r="E2365" s="6" t="n">
        <f>SUM(C2365,D2365)/2</f>
        <v>198780</v>
      </c>
      <c r="F2365" s="12" t="n">
        <v>140271</v>
      </c>
      <c r="G2365" s="12" t="n">
        <v>184187</v>
      </c>
      <c r="H2365" s="6" t="n">
        <f>SUM(F2365,G2365)/2</f>
        <v>162229</v>
      </c>
    </row>
    <row r="2366" s="18" customFormat="1" ht="14.399999999999999" customHeight="1">
      <c r="A2366" s="10" t="s">
        <v>790</v>
      </c>
      <c r="B2366" s="10" t="s">
        <v>791</v>
      </c>
      <c r="C2366" s="13" t="n">
        <v>1311775</v>
      </c>
      <c r="D2366" s="13" t="n">
        <v>2095431</v>
      </c>
      <c r="E2366" s="6" t="n">
        <f>SUM(C2366,D2366)/2</f>
        <v>1703603</v>
      </c>
      <c r="F2366" s="12" t="n">
        <v>243725</v>
      </c>
      <c r="G2366" s="12" t="n">
        <v>375747</v>
      </c>
      <c r="H2366" s="6" t="n">
        <f>SUM(F2366,G2366)/2</f>
        <v>309736</v>
      </c>
    </row>
    <row r="2367" s="18" customFormat="1" ht="14.399999999999999" customHeight="1">
      <c r="A2367" s="10" t="s">
        <v>1268</v>
      </c>
      <c r="B2367" s="10" t="s">
        <v>1269</v>
      </c>
      <c r="C2367" s="13" t="n">
        <v>179599</v>
      </c>
      <c r="D2367" s="13" t="n">
        <v>286891</v>
      </c>
      <c r="E2367" s="6" t="n">
        <f>SUM(C2367,D2367)/2</f>
        <v>233245</v>
      </c>
      <c r="F2367" s="12" t="n">
        <v>22675</v>
      </c>
      <c r="G2367" s="12" t="n">
        <v>32414</v>
      </c>
      <c r="H2367" s="6" t="n">
        <f>SUM(F2367,G2367)/2</f>
        <v>27544.5</v>
      </c>
    </row>
    <row r="2368" s="18" customFormat="1" ht="14.399999999999999" customHeight="1">
      <c r="A2368" s="10" t="s">
        <v>2440</v>
      </c>
      <c r="B2368" s="10" t="s">
        <v>2441</v>
      </c>
      <c r="C2368" s="10" t="n">
        <v>2</v>
      </c>
      <c r="D2368" s="10" t="n">
        <v>2</v>
      </c>
      <c r="E2368" s="6" t="n">
        <f>SUM(C2368,D2368)/2</f>
        <v>2</v>
      </c>
      <c r="F2368" s="18" t="n">
        <v>3</v>
      </c>
      <c r="G2368" s="18" t="n">
        <v>4</v>
      </c>
      <c r="H2368" s="6" t="n">
        <f>SUM(F2368,G2368)/2</f>
        <v>3.5</v>
      </c>
    </row>
    <row r="2369" s="18" customFormat="1" ht="14.399999999999999" customHeight="1">
      <c r="A2369" s="10" t="s">
        <v>4011</v>
      </c>
      <c r="B2369" s="10" t="s">
        <v>4012</v>
      </c>
      <c r="C2369" s="13" t="n">
        <v>46027</v>
      </c>
      <c r="D2369" s="13" t="n">
        <v>73522</v>
      </c>
      <c r="E2369" s="6" t="n">
        <f>SUM(C2369,D2369)/2</f>
        <v>59774.5</v>
      </c>
      <c r="F2369" s="12" t="n">
        <v>7944</v>
      </c>
      <c r="G2369" s="12" t="n">
        <v>15879</v>
      </c>
      <c r="H2369" s="6" t="n">
        <f>SUM(F2369,G2369)/2</f>
        <v>11911.5</v>
      </c>
    </row>
    <row r="2370" s="18" customFormat="1" ht="14.399999999999999" customHeight="1">
      <c r="A2370" s="10" t="s">
        <v>4697</v>
      </c>
      <c r="B2370" s="10" t="s">
        <v>4698</v>
      </c>
      <c r="C2370" s="13" t="n">
        <v>27534</v>
      </c>
      <c r="D2370" s="13" t="n">
        <v>43980</v>
      </c>
      <c r="E2370" s="6" t="n">
        <f>SUM(C2370,D2370)/2</f>
        <v>35757</v>
      </c>
      <c r="F2370" s="12" t="n">
        <v>4154</v>
      </c>
      <c r="G2370" s="12" t="n">
        <v>6396</v>
      </c>
      <c r="H2370" s="6" t="n">
        <f>SUM(F2370,G2370)/2</f>
        <v>5275</v>
      </c>
    </row>
    <row r="2371" s="18" customFormat="1" ht="14.399999999999999" customHeight="1">
      <c r="A2371" s="10" t="s">
        <v>3305</v>
      </c>
      <c r="B2371" s="10" t="s">
        <v>3306</v>
      </c>
      <c r="C2371" s="13" t="n">
        <v>65138</v>
      </c>
      <c r="D2371" s="13" t="n">
        <v>104052</v>
      </c>
      <c r="E2371" s="6" t="n">
        <f>SUM(C2371,D2371)/2</f>
        <v>84595</v>
      </c>
      <c r="F2371" s="12" t="n">
        <v>25998</v>
      </c>
      <c r="G2371" s="12" t="n">
        <v>43816</v>
      </c>
      <c r="H2371" s="6" t="n">
        <f>SUM(F2371,G2371)/2</f>
        <v>34907</v>
      </c>
    </row>
    <row r="2372" s="18" customFormat="1" ht="14.399999999999999" customHeight="1">
      <c r="A2372" s="10" t="s">
        <v>6703</v>
      </c>
      <c r="B2372" s="10" t="s">
        <v>6704</v>
      </c>
      <c r="C2372" s="13" t="n">
        <v>1003</v>
      </c>
      <c r="D2372" s="13" t="n">
        <v>1603</v>
      </c>
      <c r="E2372" s="6" t="n">
        <f>SUM(C2372,D2372)/2</f>
        <v>1303</v>
      </c>
      <c r="F2372" s="18" t="n">
        <v>835</v>
      </c>
      <c r="G2372" s="18" t="n">
        <v>946</v>
      </c>
      <c r="H2372" s="6" t="n">
        <f>SUM(F2372,G2372)/2</f>
        <v>890.5</v>
      </c>
    </row>
    <row r="2373" s="18" customFormat="1" ht="14.399999999999999" customHeight="1">
      <c r="A2373" s="10" t="s">
        <v>1496</v>
      </c>
      <c r="B2373" s="10" t="s">
        <v>1497</v>
      </c>
      <c r="C2373" s="13" t="n">
        <v>501334</v>
      </c>
      <c r="D2373" s="13" t="n">
        <v>800834</v>
      </c>
      <c r="E2373" s="6" t="n">
        <f>SUM(C2373,D2373)/2</f>
        <v>651084</v>
      </c>
      <c r="F2373" s="12" t="n">
        <v>5386</v>
      </c>
      <c r="G2373" s="12" t="n">
        <v>7631</v>
      </c>
      <c r="H2373" s="6" t="n">
        <f>SUM(F2373,G2373)/2</f>
        <v>6508.5</v>
      </c>
    </row>
    <row r="2374" s="18" customFormat="1" ht="14.399999999999999" customHeight="1">
      <c r="A2374" s="10" t="s">
        <v>2065</v>
      </c>
      <c r="B2374" s="10" t="s">
        <v>2066</v>
      </c>
      <c r="C2374" s="10" t="n">
        <v>0</v>
      </c>
      <c r="D2374" s="10" t="n">
        <v>0</v>
      </c>
      <c r="E2374" s="6" t="n">
        <f>SUM(C2374,D2374)/2</f>
        <v>0</v>
      </c>
      <c r="F2374" s="18" t="n">
        <v>9</v>
      </c>
      <c r="G2374" s="18" t="n">
        <v>12</v>
      </c>
      <c r="H2374" s="6" t="n">
        <f>SUM(F2374,G2374)/2</f>
        <v>10.5</v>
      </c>
    </row>
    <row r="2375" s="18" customFormat="1" ht="14.399999999999999" customHeight="1">
      <c r="A2375" s="10" t="s">
        <v>5422</v>
      </c>
      <c r="B2375" s="10" t="s">
        <v>5423</v>
      </c>
      <c r="C2375" s="10" t="n">
        <v>456</v>
      </c>
      <c r="D2375" s="10" t="n">
        <v>728</v>
      </c>
      <c r="E2375" s="6" t="n">
        <f>SUM(C2375,D2375)/2</f>
        <v>592</v>
      </c>
      <c r="F2375" s="18" t="n">
        <v>110</v>
      </c>
      <c r="G2375" s="18" t="n">
        <v>126</v>
      </c>
      <c r="H2375" s="6" t="n">
        <f>SUM(F2375,G2375)/2</f>
        <v>118</v>
      </c>
    </row>
    <row r="2376" s="18" customFormat="1" ht="14.399999999999999" customHeight="1">
      <c r="A2376" s="10" t="s">
        <v>6705</v>
      </c>
      <c r="B2376" s="10" t="s">
        <v>6706</v>
      </c>
      <c r="C2376" s="10" t="n">
        <v>0</v>
      </c>
      <c r="D2376" s="10" t="n">
        <v>0</v>
      </c>
      <c r="E2376" s="6" t="n">
        <f>SUM(C2376,D2376)/2</f>
        <v>0</v>
      </c>
      <c r="F2376" s="18" t="n">
        <v>1</v>
      </c>
      <c r="G2376" s="18" t="n">
        <v>1</v>
      </c>
      <c r="H2376" s="6" t="n">
        <f>SUM(F2376,G2376)/2</f>
        <v>1</v>
      </c>
    </row>
    <row r="2377" s="18" customFormat="1" ht="14.399999999999999" customHeight="1">
      <c r="A2377" s="10" t="s">
        <v>6707</v>
      </c>
      <c r="B2377" s="10" t="s">
        <v>6708</v>
      </c>
      <c r="C2377" s="10" t="n">
        <v>7</v>
      </c>
      <c r="D2377" s="10" t="n">
        <v>11</v>
      </c>
      <c r="E2377" s="6" t="n">
        <f>SUM(C2377,D2377)/2</f>
        <v>9</v>
      </c>
      <c r="F2377" s="18" t="n">
        <v>1</v>
      </c>
      <c r="G2377" s="18" t="n">
        <v>1</v>
      </c>
      <c r="H2377" s="6" t="n">
        <f>SUM(F2377,G2377)/2</f>
        <v>1</v>
      </c>
    </row>
    <row r="2378" s="18" customFormat="1" ht="14.399999999999999" customHeight="1">
      <c r="A2378" s="10" t="s">
        <v>5145</v>
      </c>
      <c r="B2378" s="10" t="s">
        <v>5146</v>
      </c>
      <c r="C2378" s="13" t="n">
        <v>2989</v>
      </c>
      <c r="D2378" s="13" t="n">
        <v>4775</v>
      </c>
      <c r="E2378" s="6" t="n">
        <f>SUM(C2378,D2378)/2</f>
        <v>3882</v>
      </c>
      <c r="F2378" s="12" t="n">
        <v>5414</v>
      </c>
      <c r="G2378" s="12" t="n">
        <v>7691</v>
      </c>
      <c r="H2378" s="6" t="n">
        <f>SUM(F2378,G2378)/2</f>
        <v>6552.5</v>
      </c>
    </row>
    <row r="2379" s="18" customFormat="1" ht="14.399999999999999" customHeight="1">
      <c r="A2379" s="10" t="s">
        <v>2366</v>
      </c>
      <c r="B2379" s="10" t="s">
        <v>2367</v>
      </c>
      <c r="C2379" s="10" t="n">
        <v>11</v>
      </c>
      <c r="D2379" s="10" t="n">
        <v>17</v>
      </c>
      <c r="E2379" s="6" t="n">
        <f>SUM(C2379,D2379)/2</f>
        <v>14</v>
      </c>
      <c r="F2379" s="18" t="n">
        <v>2</v>
      </c>
      <c r="G2379" s="18" t="n">
        <v>2</v>
      </c>
      <c r="H2379" s="6" t="n">
        <f>SUM(F2379,G2379)/2</f>
        <v>2</v>
      </c>
    </row>
    <row r="2380" s="18" customFormat="1" ht="14.399999999999999" customHeight="1">
      <c r="A2380" s="10" t="s">
        <v>4767</v>
      </c>
      <c r="B2380" s="10" t="s">
        <v>4768</v>
      </c>
      <c r="C2380" s="13" t="n">
        <v>21939</v>
      </c>
      <c r="D2380" s="13" t="n">
        <v>35047</v>
      </c>
      <c r="E2380" s="6" t="n">
        <f>SUM(C2380,D2380)/2</f>
        <v>28493</v>
      </c>
      <c r="F2380" s="12" t="n">
        <v>4857</v>
      </c>
      <c r="G2380" s="12" t="n">
        <v>7233</v>
      </c>
      <c r="H2380" s="6" t="n">
        <f>SUM(F2380,G2380)/2</f>
        <v>6045</v>
      </c>
    </row>
    <row r="2381" s="18" customFormat="1" ht="14.399999999999999" customHeight="1">
      <c r="A2381" s="10" t="s">
        <v>6709</v>
      </c>
      <c r="B2381" s="10" t="s">
        <v>6710</v>
      </c>
      <c r="C2381" s="13" t="n">
        <v>24273</v>
      </c>
      <c r="D2381" s="13" t="n">
        <v>38771</v>
      </c>
      <c r="E2381" s="6" t="n">
        <f>SUM(C2381,D2381)/2</f>
        <v>31522</v>
      </c>
      <c r="F2381" s="12" t="n">
        <v>18672</v>
      </c>
      <c r="G2381" s="12" t="n">
        <v>21183</v>
      </c>
      <c r="H2381" s="6" t="n">
        <f>SUM(F2381,G2381)/2</f>
        <v>19927.5</v>
      </c>
    </row>
    <row r="2382" s="18" customFormat="1" ht="14.399999999999999" customHeight="1">
      <c r="A2382" s="10" t="s">
        <v>901</v>
      </c>
      <c r="B2382" s="10" t="s">
        <v>902</v>
      </c>
      <c r="C2382" s="13" t="n">
        <v>295759</v>
      </c>
      <c r="D2382" s="13" t="n">
        <v>472445</v>
      </c>
      <c r="E2382" s="6" t="n">
        <f>SUM(C2382,D2382)/2</f>
        <v>384102</v>
      </c>
      <c r="F2382" s="12" t="n">
        <v>238229</v>
      </c>
      <c r="G2382" s="12" t="n">
        <v>360707</v>
      </c>
      <c r="H2382" s="6" t="n">
        <f>SUM(F2382,G2382)/2</f>
        <v>299468</v>
      </c>
    </row>
    <row r="2383" s="18" customFormat="1" ht="14.399999999999999" customHeight="1">
      <c r="A2383" s="10" t="s">
        <v>2973</v>
      </c>
      <c r="B2383" s="10" t="s">
        <v>2974</v>
      </c>
      <c r="C2383" s="10" t="n">
        <v>0</v>
      </c>
      <c r="D2383" s="10" t="n">
        <v>0</v>
      </c>
      <c r="E2383" s="6" t="n">
        <f>SUM(C2383,D2383)/2</f>
        <v>0</v>
      </c>
      <c r="F2383" s="18" t="n">
        <v>0</v>
      </c>
      <c r="G2383" s="18" t="n">
        <v>0</v>
      </c>
      <c r="H2383" s="6" t="n">
        <f>SUM(F2383,G2383)/2</f>
        <v>0</v>
      </c>
    </row>
    <row r="2384" s="18" customFormat="1" ht="14.399999999999999" customHeight="1">
      <c r="A2384" s="10" t="s">
        <v>2975</v>
      </c>
      <c r="B2384" s="10" t="s">
        <v>2976</v>
      </c>
      <c r="C2384" s="10" t="n">
        <v>0</v>
      </c>
      <c r="D2384" s="10" t="n">
        <v>0</v>
      </c>
      <c r="E2384" s="6" t="n">
        <f>SUM(C2384,D2384)/2</f>
        <v>0</v>
      </c>
      <c r="F2384" s="18" t="n">
        <v>0</v>
      </c>
      <c r="G2384" s="18" t="n">
        <v>0</v>
      </c>
      <c r="H2384" s="6" t="n">
        <f>SUM(F2384,G2384)/2</f>
        <v>0</v>
      </c>
    </row>
    <row r="2385" s="18" customFormat="1" ht="14.399999999999999" customHeight="1">
      <c r="A2385" s="10" t="s">
        <v>5368</v>
      </c>
      <c r="B2385" s="10" t="s">
        <v>5369</v>
      </c>
      <c r="C2385" s="10" t="n">
        <v>493</v>
      </c>
      <c r="D2385" s="10" t="n">
        <v>787</v>
      </c>
      <c r="E2385" s="6" t="n">
        <f>SUM(C2385,D2385)/2</f>
        <v>640</v>
      </c>
      <c r="F2385" s="18" t="n">
        <v>208</v>
      </c>
      <c r="G2385" s="18" t="n">
        <v>345</v>
      </c>
      <c r="H2385" s="6" t="n">
        <f>SUM(F2385,G2385)/2</f>
        <v>276.5</v>
      </c>
    </row>
    <row r="2386" s="18" customFormat="1" ht="14.399999999999999" customHeight="1">
      <c r="A2386" s="10" t="s">
        <v>1785</v>
      </c>
      <c r="B2386" s="10" t="s">
        <v>1786</v>
      </c>
      <c r="C2386" s="10" t="n">
        <v>40</v>
      </c>
      <c r="D2386" s="10" t="n">
        <v>62</v>
      </c>
      <c r="E2386" s="6" t="n">
        <f>SUM(C2386,D2386)/2</f>
        <v>51</v>
      </c>
      <c r="F2386" s="18" t="n">
        <v>10</v>
      </c>
      <c r="G2386" s="18" t="n">
        <v>15</v>
      </c>
      <c r="H2386" s="6" t="n">
        <f>SUM(F2386,G2386)/2</f>
        <v>12.5</v>
      </c>
    </row>
    <row r="2387" s="18" customFormat="1" ht="14.399999999999999" customHeight="1">
      <c r="A2387" s="10" t="s">
        <v>2140</v>
      </c>
      <c r="B2387" s="10" t="s">
        <v>2141</v>
      </c>
      <c r="C2387" s="10" t="n">
        <v>10</v>
      </c>
      <c r="D2387" s="10" t="n">
        <v>16</v>
      </c>
      <c r="E2387" s="6" t="n">
        <f>SUM(C2387,D2387)/2</f>
        <v>13</v>
      </c>
      <c r="F2387" s="18" t="n">
        <v>5</v>
      </c>
      <c r="G2387" s="18" t="n">
        <v>6</v>
      </c>
      <c r="H2387" s="6" t="n">
        <f>SUM(F2387,G2387)/2</f>
        <v>5.5</v>
      </c>
    </row>
    <row r="2388" s="18" customFormat="1" ht="14.399999999999999" customHeight="1">
      <c r="A2388" s="10" t="s">
        <v>3401</v>
      </c>
      <c r="B2388" s="10" t="s">
        <v>3402</v>
      </c>
      <c r="C2388" s="13" t="n">
        <v>103009</v>
      </c>
      <c r="D2388" s="13" t="n">
        <v>164549</v>
      </c>
      <c r="E2388" s="6" t="n">
        <f>SUM(C2388,D2388)/2</f>
        <v>133779</v>
      </c>
      <c r="F2388" s="12" t="n">
        <v>12534</v>
      </c>
      <c r="G2388" s="12" t="n">
        <v>23788</v>
      </c>
      <c r="H2388" s="6" t="n">
        <f>SUM(F2388,G2388)/2</f>
        <v>18161</v>
      </c>
    </row>
    <row r="2389" s="18" customFormat="1" ht="14.399999999999999" customHeight="1">
      <c r="A2389" s="10" t="s">
        <v>3779</v>
      </c>
      <c r="B2389" s="10" t="s">
        <v>3780</v>
      </c>
      <c r="C2389" s="13" t="n">
        <v>37638</v>
      </c>
      <c r="D2389" s="13" t="n">
        <v>60126</v>
      </c>
      <c r="E2389" s="6" t="n">
        <f>SUM(C2389,D2389)/2</f>
        <v>48882</v>
      </c>
      <c r="F2389" s="12" t="n">
        <v>18955</v>
      </c>
      <c r="G2389" s="12" t="n">
        <v>22150</v>
      </c>
      <c r="H2389" s="6" t="n">
        <f>SUM(F2389,G2389)/2</f>
        <v>20552.5</v>
      </c>
    </row>
    <row r="2390" s="18" customFormat="1" ht="14.399999999999999" customHeight="1">
      <c r="A2390" s="10" t="s">
        <v>2741</v>
      </c>
      <c r="B2390" s="10" t="s">
        <v>2742</v>
      </c>
      <c r="C2390" s="10" t="n">
        <v>2</v>
      </c>
      <c r="D2390" s="10" t="n">
        <v>4</v>
      </c>
      <c r="E2390" s="6" t="n">
        <f>SUM(C2390,D2390)/2</f>
        <v>3</v>
      </c>
      <c r="F2390" s="18" t="n">
        <v>0</v>
      </c>
      <c r="G2390" s="18" t="n">
        <v>0</v>
      </c>
      <c r="H2390" s="6" t="n">
        <f>SUM(F2390,G2390)/2</f>
        <v>0</v>
      </c>
    </row>
    <row r="2391" s="18" customFormat="1" ht="14.399999999999999" customHeight="1">
      <c r="A2391" s="10" t="s">
        <v>2354</v>
      </c>
      <c r="B2391" s="10" t="s">
        <v>2355</v>
      </c>
      <c r="C2391" s="10" t="n">
        <v>10</v>
      </c>
      <c r="D2391" s="10" t="n">
        <v>14</v>
      </c>
      <c r="E2391" s="6" t="n">
        <f>SUM(C2391,D2391)/2</f>
        <v>12</v>
      </c>
      <c r="F2391" s="18" t="n">
        <v>2</v>
      </c>
      <c r="G2391" s="18" t="n">
        <v>3</v>
      </c>
      <c r="H2391" s="6" t="n">
        <f>SUM(F2391,G2391)/2</f>
        <v>2.5</v>
      </c>
    </row>
    <row r="2392" s="18" customFormat="1" ht="14.399999999999999" customHeight="1">
      <c r="A2392" s="10" t="s">
        <v>3283</v>
      </c>
      <c r="B2392" s="10" t="s">
        <v>3284</v>
      </c>
      <c r="C2392" s="13" t="n">
        <v>153204</v>
      </c>
      <c r="D2392" s="13" t="n">
        <v>244726</v>
      </c>
      <c r="E2392" s="6" t="n">
        <f>SUM(C2392,D2392)/2</f>
        <v>198965</v>
      </c>
      <c r="F2392" s="12" t="n">
        <v>9986</v>
      </c>
      <c r="G2392" s="12" t="n">
        <v>14373</v>
      </c>
      <c r="H2392" s="6" t="n">
        <f>SUM(F2392,G2392)/2</f>
        <v>12179.5</v>
      </c>
    </row>
    <row r="2393" s="18" customFormat="1" ht="14.399999999999999" customHeight="1">
      <c r="A2393" s="10" t="s">
        <v>4709</v>
      </c>
      <c r="B2393" s="10" t="s">
        <v>4710</v>
      </c>
      <c r="C2393" s="13" t="n">
        <v>10157</v>
      </c>
      <c r="D2393" s="13" t="n">
        <v>16224</v>
      </c>
      <c r="E2393" s="6" t="n">
        <f>SUM(C2393,D2393)/2</f>
        <v>13190.5</v>
      </c>
      <c r="F2393" s="12" t="n">
        <v>7870</v>
      </c>
      <c r="G2393" s="12" t="n">
        <v>12094</v>
      </c>
      <c r="H2393" s="6" t="n">
        <f>SUM(F2393,G2393)/2</f>
        <v>9982</v>
      </c>
    </row>
    <row r="2394" s="18" customFormat="1" ht="14.399999999999999" customHeight="1">
      <c r="A2394" s="10" t="s">
        <v>4529</v>
      </c>
      <c r="B2394" s="10" t="s">
        <v>4530</v>
      </c>
      <c r="C2394" s="13" t="n">
        <v>16237</v>
      </c>
      <c r="D2394" s="13" t="n">
        <v>25935</v>
      </c>
      <c r="E2394" s="6" t="n">
        <f>SUM(C2394,D2394)/2</f>
        <v>21086</v>
      </c>
      <c r="F2394" s="12" t="n">
        <v>8309</v>
      </c>
      <c r="G2394" s="12" t="n">
        <v>12610</v>
      </c>
      <c r="H2394" s="6" t="n">
        <f>SUM(F2394,G2394)/2</f>
        <v>10459.5</v>
      </c>
    </row>
    <row r="2395" s="18" customFormat="1" ht="14.399999999999999" customHeight="1">
      <c r="A2395" s="10" t="s">
        <v>6711</v>
      </c>
      <c r="B2395" s="10" t="s">
        <v>6712</v>
      </c>
      <c r="C2395" s="10"/>
      <c r="D2395" s="10"/>
      <c r="E2395" s="6" t="n">
        <f>SUM(C2395,D2395)/2</f>
        <v>0</v>
      </c>
      <c r="H2395" s="6" t="n">
        <f>SUM(F2395,G2395)/2</f>
        <v>0</v>
      </c>
    </row>
    <row r="2396" s="18" customFormat="1" ht="14.399999999999999" customHeight="1">
      <c r="A2396" s="10" t="s">
        <v>3077</v>
      </c>
      <c r="B2396" s="10" t="s">
        <v>3078</v>
      </c>
      <c r="C2396" s="13" t="n">
        <v>74820</v>
      </c>
      <c r="D2396" s="13" t="n">
        <v>119518</v>
      </c>
      <c r="E2396" s="6" t="n">
        <f>SUM(C2396,D2396)/2</f>
        <v>97169</v>
      </c>
      <c r="F2396" s="12" t="n">
        <v>38492</v>
      </c>
      <c r="G2396" s="12" t="n">
        <v>56790</v>
      </c>
      <c r="H2396" s="6" t="n">
        <f>SUM(F2396,G2396)/2</f>
        <v>47641</v>
      </c>
    </row>
    <row r="2397" s="18" customFormat="1" ht="14.399999999999999" customHeight="1">
      <c r="A2397" s="10" t="s">
        <v>5065</v>
      </c>
      <c r="B2397" s="10" t="s">
        <v>5066</v>
      </c>
      <c r="C2397" s="13" t="n">
        <v>12256</v>
      </c>
      <c r="D2397" s="13" t="n">
        <v>19576</v>
      </c>
      <c r="E2397" s="6" t="n">
        <f>SUM(C2397,D2397)/2</f>
        <v>15916</v>
      </c>
      <c r="F2397" s="12" t="n">
        <v>4939</v>
      </c>
      <c r="G2397" s="12" t="n">
        <v>5968</v>
      </c>
      <c r="H2397" s="6" t="n">
        <f>SUM(F2397,G2397)/2</f>
        <v>5453.5</v>
      </c>
    </row>
    <row r="2398" s="18" customFormat="1" ht="14.399999999999999" customHeight="1">
      <c r="A2398" s="10" t="s">
        <v>1498</v>
      </c>
      <c r="B2398" s="10" t="s">
        <v>39</v>
      </c>
      <c r="C2398" s="13" t="n">
        <v>1506113</v>
      </c>
      <c r="D2398" s="13" t="n">
        <v>2405869</v>
      </c>
      <c r="E2398" s="6" t="n">
        <f>SUM(C2398,D2398)/2</f>
        <v>1955991</v>
      </c>
      <c r="F2398" s="12" t="n">
        <v>244241</v>
      </c>
      <c r="G2398" s="12" t="n">
        <v>326689</v>
      </c>
      <c r="H2398" s="6" t="n">
        <f>SUM(F2398,G2398)/2</f>
        <v>285465</v>
      </c>
    </row>
    <row r="2399" s="18" customFormat="1" ht="14.399999999999999" customHeight="1">
      <c r="A2399" s="10" t="s">
        <v>818</v>
      </c>
      <c r="B2399" s="10" t="s">
        <v>819</v>
      </c>
      <c r="C2399" s="13" t="n">
        <v>611884</v>
      </c>
      <c r="D2399" s="13" t="n">
        <v>977426</v>
      </c>
      <c r="E2399" s="6" t="n">
        <f>SUM(C2399,D2399)/2</f>
        <v>794655</v>
      </c>
      <c r="F2399" s="12" t="n">
        <v>346691</v>
      </c>
      <c r="G2399" s="12" t="n">
        <v>442808</v>
      </c>
      <c r="H2399" s="6" t="n">
        <f>SUM(F2399,G2399)/2</f>
        <v>394749.5</v>
      </c>
    </row>
    <row r="2400" s="18" customFormat="1" ht="14.399999999999999" customHeight="1">
      <c r="A2400" s="10" t="s">
        <v>2718</v>
      </c>
      <c r="B2400" s="10" t="s">
        <v>2719</v>
      </c>
      <c r="C2400" s="10" t="n">
        <v>3</v>
      </c>
      <c r="D2400" s="10" t="n">
        <v>5</v>
      </c>
      <c r="E2400" s="6" t="n">
        <f>SUM(C2400,D2400)/2</f>
        <v>4</v>
      </c>
      <c r="F2400" s="18" t="n">
        <v>0</v>
      </c>
      <c r="G2400" s="18" t="n">
        <v>0</v>
      </c>
      <c r="H2400" s="6" t="n">
        <f>SUM(F2400,G2400)/2</f>
        <v>0</v>
      </c>
    </row>
    <row r="2401" s="18" customFormat="1" ht="14.399999999999999" customHeight="1">
      <c r="A2401" s="10" t="s">
        <v>1970</v>
      </c>
      <c r="B2401" s="10" t="s">
        <v>1971</v>
      </c>
      <c r="C2401" s="10" t="n">
        <v>20</v>
      </c>
      <c r="D2401" s="10" t="n">
        <v>30</v>
      </c>
      <c r="E2401" s="6" t="n">
        <f>SUM(C2401,D2401)/2</f>
        <v>25</v>
      </c>
      <c r="F2401" s="18" t="n">
        <v>7</v>
      </c>
      <c r="G2401" s="18" t="n">
        <v>9</v>
      </c>
      <c r="H2401" s="6" t="n">
        <f>SUM(F2401,G2401)/2</f>
        <v>8</v>
      </c>
    </row>
    <row r="2402" s="18" customFormat="1" ht="14.399999999999999" customHeight="1">
      <c r="A2402" s="10" t="s">
        <v>2819</v>
      </c>
      <c r="B2402" s="10" t="s">
        <v>2820</v>
      </c>
      <c r="C2402" s="10" t="n">
        <v>1</v>
      </c>
      <c r="D2402" s="10" t="n">
        <v>1</v>
      </c>
      <c r="E2402" s="6" t="n">
        <f>SUM(C2402,D2402)/2</f>
        <v>1</v>
      </c>
      <c r="F2402" s="18" t="n">
        <v>0</v>
      </c>
      <c r="G2402" s="18" t="n">
        <v>0</v>
      </c>
      <c r="H2402" s="6" t="n">
        <f>SUM(F2402,G2402)/2</f>
        <v>0</v>
      </c>
    </row>
    <row r="2403" s="18" customFormat="1" ht="14.399999999999999" customHeight="1">
      <c r="A2403" s="10" t="s">
        <v>2126</v>
      </c>
      <c r="B2403" s="10" t="s">
        <v>2127</v>
      </c>
      <c r="C2403" s="10" t="n">
        <v>0</v>
      </c>
      <c r="D2403" s="10" t="n">
        <v>0</v>
      </c>
      <c r="E2403" s="6" t="n">
        <f>SUM(C2403,D2403)/2</f>
        <v>0</v>
      </c>
      <c r="F2403" s="18" t="n">
        <v>7</v>
      </c>
      <c r="G2403" s="18" t="n">
        <v>10</v>
      </c>
      <c r="H2403" s="6" t="n">
        <f>SUM(F2403,G2403)/2</f>
        <v>8.5</v>
      </c>
    </row>
    <row r="2404" s="18" customFormat="1" ht="14.399999999999999" customHeight="1">
      <c r="A2404" s="10" t="s">
        <v>1849</v>
      </c>
      <c r="B2404" s="10" t="s">
        <v>1850</v>
      </c>
      <c r="C2404" s="10" t="n">
        <v>19</v>
      </c>
      <c r="D2404" s="10" t="n">
        <v>31</v>
      </c>
      <c r="E2404" s="6" t="n">
        <f>SUM(C2404,D2404)/2</f>
        <v>25</v>
      </c>
      <c r="F2404" s="18" t="n">
        <v>12</v>
      </c>
      <c r="G2404" s="18" t="n">
        <v>17</v>
      </c>
      <c r="H2404" s="6" t="n">
        <f>SUM(F2404,G2404)/2</f>
        <v>14.5</v>
      </c>
    </row>
    <row r="2405" s="18" customFormat="1" ht="14.399999999999999" customHeight="1">
      <c r="A2405" s="10" t="s">
        <v>1356</v>
      </c>
      <c r="B2405" s="10" t="s">
        <v>1357</v>
      </c>
      <c r="C2405" s="10" t="n">
        <v>224</v>
      </c>
      <c r="D2405" s="10" t="n">
        <v>358</v>
      </c>
      <c r="E2405" s="6" t="n">
        <f>SUM(C2405,D2405)/2</f>
        <v>291</v>
      </c>
      <c r="F2405" s="18" t="n">
        <v>1</v>
      </c>
      <c r="G2405" s="18" t="n">
        <v>1</v>
      </c>
      <c r="H2405" s="6" t="n">
        <f>SUM(F2405,G2405)/2</f>
        <v>1</v>
      </c>
    </row>
    <row r="2406" s="18" customFormat="1" ht="14.399999999999999" customHeight="1">
      <c r="A2406" s="10" t="s">
        <v>1675</v>
      </c>
      <c r="B2406" s="10" t="s">
        <v>1676</v>
      </c>
      <c r="C2406" s="10" t="n">
        <v>66</v>
      </c>
      <c r="D2406" s="10" t="n">
        <v>106</v>
      </c>
      <c r="E2406" s="6" t="n">
        <f>SUM(C2406,D2406)/2</f>
        <v>86</v>
      </c>
      <c r="F2406" s="18" t="n">
        <v>14</v>
      </c>
      <c r="G2406" s="18" t="n">
        <v>26</v>
      </c>
      <c r="H2406" s="6" t="n">
        <f>SUM(F2406,G2406)/2</f>
        <v>20</v>
      </c>
    </row>
    <row r="2407" s="18" customFormat="1" ht="14.399999999999999" customHeight="1">
      <c r="A2407" s="10" t="s">
        <v>2773</v>
      </c>
      <c r="B2407" s="10" t="s">
        <v>2774</v>
      </c>
      <c r="C2407" s="10" t="n">
        <v>2</v>
      </c>
      <c r="D2407" s="10" t="n">
        <v>2</v>
      </c>
      <c r="E2407" s="6" t="n">
        <f>SUM(C2407,D2407)/2</f>
        <v>2</v>
      </c>
      <c r="F2407" s="18" t="n">
        <v>0</v>
      </c>
      <c r="G2407" s="18" t="n">
        <v>0</v>
      </c>
      <c r="H2407" s="6" t="n">
        <f>SUM(F2407,G2407)/2</f>
        <v>0</v>
      </c>
    </row>
    <row r="2408" s="18" customFormat="1" ht="14.399999999999999" customHeight="1">
      <c r="A2408" s="10" t="s">
        <v>3979</v>
      </c>
      <c r="B2408" s="10" t="s">
        <v>3980</v>
      </c>
      <c r="C2408" s="13" t="n">
        <v>36344</v>
      </c>
      <c r="D2408" s="13" t="n">
        <v>58056</v>
      </c>
      <c r="E2408" s="6" t="n">
        <f>SUM(C2408,D2408)/2</f>
        <v>47200</v>
      </c>
      <c r="F2408" s="12" t="n">
        <v>12749</v>
      </c>
      <c r="G2408" s="12" t="n">
        <v>17845</v>
      </c>
      <c r="H2408" s="6" t="n">
        <f>SUM(F2408,G2408)/2</f>
        <v>15297</v>
      </c>
    </row>
    <row r="2409" s="18" customFormat="1" ht="14.399999999999999" customHeight="1">
      <c r="A2409" s="10" t="s">
        <v>2112</v>
      </c>
      <c r="B2409" s="10" t="s">
        <v>2113</v>
      </c>
      <c r="C2409" s="10" t="n">
        <v>26</v>
      </c>
      <c r="D2409" s="10" t="n">
        <v>40</v>
      </c>
      <c r="E2409" s="6" t="n">
        <f>SUM(C2409,D2409)/2</f>
        <v>33</v>
      </c>
      <c r="F2409" s="18" t="n">
        <v>2</v>
      </c>
      <c r="G2409" s="18" t="n">
        <v>2</v>
      </c>
      <c r="H2409" s="6" t="n">
        <f>SUM(F2409,G2409)/2</f>
        <v>2</v>
      </c>
    </row>
    <row r="2410" s="18" customFormat="1" ht="14.399999999999999" customHeight="1">
      <c r="A2410" s="10" t="s">
        <v>5386</v>
      </c>
      <c r="B2410" s="10" t="s">
        <v>5387</v>
      </c>
      <c r="C2410" s="13" t="n">
        <v>237220</v>
      </c>
      <c r="D2410" s="13" t="n">
        <v>378934</v>
      </c>
      <c r="E2410" s="6" t="n">
        <f>SUM(C2410,D2410)/2</f>
        <v>308077</v>
      </c>
      <c r="F2410" s="12" t="n">
        <v>49581</v>
      </c>
      <c r="G2410" s="12" t="n">
        <v>121386</v>
      </c>
      <c r="H2410" s="6" t="n">
        <f>SUM(F2410,G2410)/2</f>
        <v>85483.5</v>
      </c>
    </row>
    <row r="2411" s="18" customFormat="1" ht="14.399999999999999" customHeight="1">
      <c r="A2411" s="10" t="s">
        <v>6713</v>
      </c>
      <c r="B2411" s="10" t="s">
        <v>6714</v>
      </c>
      <c r="C2411" s="10" t="n">
        <v>52</v>
      </c>
      <c r="D2411" s="10" t="n">
        <v>84</v>
      </c>
      <c r="E2411" s="6" t="n">
        <f>SUM(C2411,D2411)/2</f>
        <v>68</v>
      </c>
      <c r="F2411" s="18" t="n">
        <v>12</v>
      </c>
      <c r="G2411" s="18" t="n">
        <v>18</v>
      </c>
      <c r="H2411" s="6" t="n">
        <f>SUM(F2411,G2411)/2</f>
        <v>15</v>
      </c>
    </row>
    <row r="2412" s="18" customFormat="1" ht="14.399999999999999" customHeight="1">
      <c r="A2412" s="10" t="s">
        <v>3801</v>
      </c>
      <c r="B2412" s="10" t="s">
        <v>3802</v>
      </c>
      <c r="C2412" s="13" t="n">
        <v>46940</v>
      </c>
      <c r="D2412" s="13" t="n">
        <v>74982</v>
      </c>
      <c r="E2412" s="6" t="n">
        <f>SUM(C2412,D2412)/2</f>
        <v>60961</v>
      </c>
      <c r="F2412" s="12" t="n">
        <v>13310</v>
      </c>
      <c r="G2412" s="12" t="n">
        <v>20924</v>
      </c>
      <c r="H2412" s="6" t="n">
        <f>SUM(F2412,G2412)/2</f>
        <v>17117</v>
      </c>
    </row>
    <row r="2413" s="18" customFormat="1" ht="14.399999999999999" customHeight="1">
      <c r="A2413" s="10" t="s">
        <v>132</v>
      </c>
      <c r="B2413" s="10" t="s">
        <v>133</v>
      </c>
      <c r="C2413" s="13" t="n">
        <v>11735</v>
      </c>
      <c r="D2413" s="13" t="n">
        <v>18749</v>
      </c>
      <c r="E2413" s="6" t="n">
        <f>SUM(C2413,D2413)/2</f>
        <v>15242</v>
      </c>
      <c r="F2413" s="18" t="n">
        <v>5637</v>
      </c>
      <c r="G2413" s="18" t="n">
        <v>6573</v>
      </c>
      <c r="H2413" s="6" t="n">
        <f>SUM(F2413,G2413)/2</f>
        <v>6105</v>
      </c>
    </row>
    <row r="2414" s="18" customFormat="1" ht="14.399999999999999" customHeight="1">
      <c r="A2414" s="10" t="s">
        <v>578</v>
      </c>
      <c r="B2414" s="10" t="s">
        <v>579</v>
      </c>
      <c r="C2414" s="10" t="n">
        <v>847</v>
      </c>
      <c r="D2414" s="13" t="n">
        <v>1355</v>
      </c>
      <c r="E2414" s="6" t="n">
        <f>SUM(C2414,D2414)/2</f>
        <v>1101</v>
      </c>
      <c r="F2414" s="18" t="n">
        <v>0</v>
      </c>
      <c r="G2414" s="18" t="n">
        <v>0</v>
      </c>
      <c r="H2414" s="6" t="n">
        <f>SUM(F2414,G2414)/2</f>
        <v>0</v>
      </c>
    </row>
    <row r="2415" s="18" customFormat="1" ht="14.399999999999999" customHeight="1">
      <c r="A2415" s="10" t="s">
        <v>4619</v>
      </c>
      <c r="B2415" s="10" t="s">
        <v>4620</v>
      </c>
      <c r="C2415" s="13" t="n">
        <v>29465</v>
      </c>
      <c r="D2415" s="13" t="n">
        <v>47067</v>
      </c>
      <c r="E2415" s="6" t="n">
        <f>SUM(C2415,D2415)/2</f>
        <v>38266</v>
      </c>
      <c r="F2415" s="12" t="n">
        <v>4913</v>
      </c>
      <c r="G2415" s="12" t="n">
        <v>6677</v>
      </c>
      <c r="H2415" s="6" t="n">
        <f>SUM(F2415,G2415)/2</f>
        <v>5795</v>
      </c>
    </row>
    <row r="2416" s="18" customFormat="1" ht="14.399999999999999" customHeight="1">
      <c r="A2416" s="10" t="s">
        <v>6715</v>
      </c>
      <c r="B2416" s="10" t="s">
        <v>6716</v>
      </c>
      <c r="C2416" s="10" t="n">
        <v>0</v>
      </c>
      <c r="D2416" s="10" t="n">
        <v>0</v>
      </c>
      <c r="E2416" s="6" t="n">
        <f>SUM(C2416,D2416)/2</f>
        <v>0</v>
      </c>
      <c r="F2416" s="18" t="n">
        <v>6</v>
      </c>
      <c r="G2416" s="18" t="n">
        <v>7</v>
      </c>
      <c r="H2416" s="6" t="n">
        <f>SUM(F2416,G2416)/2</f>
        <v>6.5</v>
      </c>
    </row>
    <row r="2417" s="18" customFormat="1" ht="14.399999999999999" customHeight="1">
      <c r="A2417" s="10" t="s">
        <v>6717</v>
      </c>
      <c r="B2417" s="10" t="s">
        <v>6718</v>
      </c>
      <c r="C2417" s="10" t="n">
        <v>103</v>
      </c>
      <c r="D2417" s="10" t="n">
        <v>165</v>
      </c>
      <c r="E2417" s="6" t="n">
        <f>SUM(C2417,D2417)/2</f>
        <v>134</v>
      </c>
      <c r="F2417" s="18" t="n">
        <v>44</v>
      </c>
      <c r="G2417" s="18" t="n">
        <v>66</v>
      </c>
      <c r="H2417" s="6" t="n">
        <f>SUM(F2417,G2417)/2</f>
        <v>55</v>
      </c>
    </row>
    <row r="2418" s="18" customFormat="1" ht="14.399999999999999" customHeight="1">
      <c r="A2418" s="10" t="s">
        <v>3307</v>
      </c>
      <c r="B2418" s="10" t="s">
        <v>3308</v>
      </c>
      <c r="C2418" s="13" t="n">
        <v>100766</v>
      </c>
      <c r="D2418" s="13" t="n">
        <v>160960</v>
      </c>
      <c r="E2418" s="6" t="n">
        <f>SUM(C2418,D2418)/2</f>
        <v>130863</v>
      </c>
      <c r="F2418" s="12" t="n">
        <v>18422</v>
      </c>
      <c r="G2418" s="12" t="n">
        <v>31134</v>
      </c>
      <c r="H2418" s="6" t="n">
        <f>SUM(F2418,G2418)/2</f>
        <v>24778</v>
      </c>
    </row>
    <row r="2419" s="18" customFormat="1" ht="14.399999999999999" customHeight="1">
      <c r="A2419" s="10" t="s">
        <v>3569</v>
      </c>
      <c r="B2419" s="10" t="s">
        <v>3570</v>
      </c>
      <c r="C2419" s="13" t="n">
        <v>89231</v>
      </c>
      <c r="D2419" s="13" t="n">
        <v>142539</v>
      </c>
      <c r="E2419" s="6" t="n">
        <f>SUM(C2419,D2419)/2</f>
        <v>115885</v>
      </c>
      <c r="F2419" s="12" t="n">
        <v>11163</v>
      </c>
      <c r="G2419" s="12" t="n">
        <v>18018</v>
      </c>
      <c r="H2419" s="6" t="n">
        <f>SUM(F2419,G2419)/2</f>
        <v>14590.5</v>
      </c>
    </row>
    <row r="2420" s="18" customFormat="1" ht="14.399999999999999" customHeight="1">
      <c r="A2420" s="10" t="s">
        <v>3151</v>
      </c>
      <c r="B2420" s="10" t="s">
        <v>3152</v>
      </c>
      <c r="C2420" s="13" t="n">
        <v>78530</v>
      </c>
      <c r="D2420" s="13" t="n">
        <v>125444</v>
      </c>
      <c r="E2420" s="6" t="n">
        <f>SUM(C2420,D2420)/2</f>
        <v>101987</v>
      </c>
      <c r="F2420" s="12" t="n">
        <v>36719</v>
      </c>
      <c r="G2420" s="12" t="n">
        <v>53434</v>
      </c>
      <c r="H2420" s="6" t="n">
        <f>SUM(F2420,G2420)/2</f>
        <v>45076.5</v>
      </c>
    </row>
    <row r="2421" s="18" customFormat="1" ht="14.399999999999999" customHeight="1">
      <c r="A2421" s="10" t="s">
        <v>6719</v>
      </c>
      <c r="B2421" s="10" t="s">
        <v>6720</v>
      </c>
      <c r="C2421" s="13" t="n">
        <v>32585</v>
      </c>
      <c r="D2421" s="13" t="n">
        <v>52049</v>
      </c>
      <c r="E2421" s="6" t="n">
        <f>SUM(C2421,D2421)/2</f>
        <v>42317</v>
      </c>
      <c r="F2421" s="12" t="n">
        <v>8521</v>
      </c>
      <c r="G2421" s="12" t="n">
        <v>12737</v>
      </c>
      <c r="H2421" s="6" t="n">
        <f>SUM(F2421,G2421)/2</f>
        <v>10629</v>
      </c>
    </row>
    <row r="2422" s="18" customFormat="1" ht="14.399999999999999" customHeight="1">
      <c r="A2422" s="10" t="s">
        <v>6721</v>
      </c>
      <c r="B2422" s="10" t="s">
        <v>6722</v>
      </c>
      <c r="C2422" s="13" t="n">
        <v>14242</v>
      </c>
      <c r="D2422" s="13" t="n">
        <v>22752</v>
      </c>
      <c r="E2422" s="6" t="n">
        <f>SUM(C2422,D2422)/2</f>
        <v>18497</v>
      </c>
      <c r="F2422" s="12" t="n">
        <v>7444</v>
      </c>
      <c r="G2422" s="12" t="n">
        <v>10260</v>
      </c>
      <c r="H2422" s="6" t="n">
        <f>SUM(F2422,G2422)/2</f>
        <v>8852</v>
      </c>
    </row>
    <row r="2423" s="18" customFormat="1" ht="14.399999999999999" customHeight="1">
      <c r="A2423" s="10" t="s">
        <v>6723</v>
      </c>
      <c r="B2423" s="10" t="s">
        <v>6724</v>
      </c>
      <c r="C2423" s="13" t="n">
        <v>11427</v>
      </c>
      <c r="D2423" s="13" t="n">
        <v>18251</v>
      </c>
      <c r="E2423" s="6" t="n">
        <f>SUM(C2423,D2423)/2</f>
        <v>14839</v>
      </c>
      <c r="F2423" s="12" t="n">
        <v>2547</v>
      </c>
      <c r="G2423" s="12" t="n">
        <v>4770</v>
      </c>
      <c r="H2423" s="6" t="n">
        <f>SUM(F2423,G2423)/2</f>
        <v>3658.5</v>
      </c>
    </row>
    <row r="2424" s="18" customFormat="1" ht="14.399999999999999" customHeight="1">
      <c r="A2424" s="10" t="s">
        <v>3063</v>
      </c>
      <c r="B2424" s="10" t="s">
        <v>3064</v>
      </c>
      <c r="C2424" s="13" t="n">
        <v>144508</v>
      </c>
      <c r="D2424" s="13" t="n">
        <v>230838</v>
      </c>
      <c r="E2424" s="6" t="n">
        <f>SUM(C2424,D2424)/2</f>
        <v>187673</v>
      </c>
      <c r="F2424" s="12" t="n">
        <v>23726</v>
      </c>
      <c r="G2424" s="12" t="n">
        <v>35929</v>
      </c>
      <c r="H2424" s="6" t="n">
        <f>SUM(F2424,G2424)/2</f>
        <v>29827.5</v>
      </c>
    </row>
    <row r="2425" s="18" customFormat="1" ht="14.399999999999999" customHeight="1">
      <c r="A2425" s="10" t="s">
        <v>2600</v>
      </c>
      <c r="B2425" s="10" t="s">
        <v>2601</v>
      </c>
      <c r="C2425" s="10" t="n">
        <v>7</v>
      </c>
      <c r="D2425" s="10" t="n">
        <v>11</v>
      </c>
      <c r="E2425" s="6" t="n">
        <f>SUM(C2425,D2425)/2</f>
        <v>9</v>
      </c>
      <c r="F2425" s="18" t="n">
        <v>0</v>
      </c>
      <c r="G2425" s="18" t="n">
        <v>0</v>
      </c>
      <c r="H2425" s="6" t="n">
        <f>SUM(F2425,G2425)/2</f>
        <v>0</v>
      </c>
    </row>
    <row r="2426" s="18" customFormat="1" ht="14.399999999999999" customHeight="1">
      <c r="A2426" s="10" t="s">
        <v>5506</v>
      </c>
      <c r="B2426" s="10" t="s">
        <v>5507</v>
      </c>
      <c r="C2426" s="10" t="n">
        <v>339</v>
      </c>
      <c r="D2426" s="10" t="n">
        <v>543</v>
      </c>
      <c r="E2426" s="6" t="n">
        <f>SUM(C2426,D2426)/2</f>
        <v>441</v>
      </c>
      <c r="F2426" s="18" t="n">
        <v>23</v>
      </c>
      <c r="G2426" s="18" t="n">
        <v>36</v>
      </c>
      <c r="H2426" s="6" t="n">
        <f>SUM(F2426,G2426)/2</f>
        <v>29.5</v>
      </c>
    </row>
    <row r="2427" s="18" customFormat="1" ht="14.399999999999999" customHeight="1">
      <c r="A2427" s="10" t="s">
        <v>2977</v>
      </c>
      <c r="B2427" s="10" t="s">
        <v>2978</v>
      </c>
      <c r="C2427" s="10" t="n">
        <v>0</v>
      </c>
      <c r="D2427" s="10" t="n">
        <v>0</v>
      </c>
      <c r="E2427" s="6" t="n">
        <f>SUM(C2427,D2427)/2</f>
        <v>0</v>
      </c>
      <c r="F2427" s="18" t="n">
        <v>0</v>
      </c>
      <c r="G2427" s="18" t="n">
        <v>0</v>
      </c>
      <c r="H2427" s="6" t="n">
        <f>SUM(F2427,G2427)/2</f>
        <v>0</v>
      </c>
    </row>
    <row r="2428" s="18" customFormat="1" ht="14.399999999999999" customHeight="1">
      <c r="A2428" s="10" t="s">
        <v>5432</v>
      </c>
      <c r="B2428" s="10" t="s">
        <v>5433</v>
      </c>
      <c r="C2428" s="10" t="n">
        <v>98</v>
      </c>
      <c r="D2428" s="10" t="n">
        <v>158</v>
      </c>
      <c r="E2428" s="6" t="n">
        <f>SUM(C2428,D2428)/2</f>
        <v>128</v>
      </c>
      <c r="F2428" s="18" t="n">
        <v>172</v>
      </c>
      <c r="G2428" s="18" t="n">
        <v>248</v>
      </c>
      <c r="H2428" s="6" t="n">
        <f>SUM(F2428,G2428)/2</f>
        <v>210</v>
      </c>
    </row>
    <row r="2429" s="18" customFormat="1" ht="14.399999999999999" customHeight="1">
      <c r="A2429" s="10" t="s">
        <v>1516</v>
      </c>
      <c r="B2429" s="10" t="s">
        <v>1517</v>
      </c>
      <c r="C2429" s="10" t="n">
        <v>2</v>
      </c>
      <c r="D2429" s="10" t="n">
        <v>2</v>
      </c>
      <c r="E2429" s="6" t="n">
        <f>SUM(C2429,D2429)/2</f>
        <v>2</v>
      </c>
      <c r="F2429" s="18" t="n">
        <v>0</v>
      </c>
      <c r="G2429" s="18" t="n">
        <v>0</v>
      </c>
      <c r="H2429" s="6" t="n">
        <f>SUM(F2429,G2429)/2</f>
        <v>0</v>
      </c>
    </row>
    <row r="2430" s="18" customFormat="1" ht="14.399999999999999" customHeight="1">
      <c r="A2430" s="10" t="s">
        <v>2608</v>
      </c>
      <c r="B2430" s="10" t="s">
        <v>2609</v>
      </c>
      <c r="C2430" s="10" t="n">
        <v>6</v>
      </c>
      <c r="D2430" s="10" t="n">
        <v>10</v>
      </c>
      <c r="E2430" s="6" t="n">
        <f>SUM(C2430,D2430)/2</f>
        <v>8</v>
      </c>
      <c r="F2430" s="18" t="n">
        <v>0</v>
      </c>
      <c r="G2430" s="18" t="n">
        <v>0</v>
      </c>
      <c r="H2430" s="6" t="n">
        <f>SUM(F2430,G2430)/2</f>
        <v>0</v>
      </c>
    </row>
    <row r="2431" s="18" customFormat="1" ht="14.399999999999999" customHeight="1">
      <c r="A2431" s="10" t="s">
        <v>6725</v>
      </c>
      <c r="B2431" s="10" t="s">
        <v>6726</v>
      </c>
      <c r="C2431" s="13" t="n">
        <v>37095</v>
      </c>
      <c r="D2431" s="13" t="n">
        <v>59257</v>
      </c>
      <c r="E2431" s="6" t="n">
        <f>SUM(C2431,D2431)/2</f>
        <v>48176</v>
      </c>
      <c r="F2431" s="12" t="n">
        <v>9171</v>
      </c>
      <c r="G2431" s="12" t="n">
        <v>12037</v>
      </c>
      <c r="H2431" s="6" t="n">
        <f>SUM(F2431,G2431)/2</f>
        <v>10604</v>
      </c>
    </row>
    <row r="2432" s="18" customFormat="1" ht="14.399999999999999" customHeight="1">
      <c r="A2432" s="10" t="s">
        <v>6727</v>
      </c>
      <c r="B2432" s="10" t="s">
        <v>6728</v>
      </c>
      <c r="C2432" s="13" t="n">
        <v>48534</v>
      </c>
      <c r="D2432" s="13" t="n">
        <v>77528</v>
      </c>
      <c r="E2432" s="6" t="n">
        <f>SUM(C2432,D2432)/2</f>
        <v>63031</v>
      </c>
      <c r="F2432" s="12" t="n">
        <v>11565</v>
      </c>
      <c r="G2432" s="12" t="n">
        <v>17017</v>
      </c>
      <c r="H2432" s="6" t="n">
        <f>SUM(F2432,G2432)/2</f>
        <v>14291</v>
      </c>
    </row>
    <row r="2433" s="18" customFormat="1" ht="14.399999999999999" customHeight="1">
      <c r="A2433" s="10" t="s">
        <v>6729</v>
      </c>
      <c r="B2433" s="10" t="s">
        <v>6730</v>
      </c>
      <c r="C2433" s="10" t="n">
        <v>325</v>
      </c>
      <c r="D2433" s="10" t="n">
        <v>523</v>
      </c>
      <c r="E2433" s="6" t="n">
        <f>SUM(C2433,D2433)/2</f>
        <v>424</v>
      </c>
      <c r="F2433" s="18" t="n">
        <v>139</v>
      </c>
      <c r="G2433" s="18" t="n">
        <v>227</v>
      </c>
      <c r="H2433" s="6" t="n">
        <f>SUM(F2433,G2433)/2</f>
        <v>183</v>
      </c>
    </row>
    <row r="2434" s="18" customFormat="1" ht="14.399999999999999" customHeight="1">
      <c r="A2434" s="10" t="s">
        <v>1005</v>
      </c>
      <c r="B2434" s="10" t="s">
        <v>103</v>
      </c>
      <c r="C2434" s="13" t="n">
        <v>54675</v>
      </c>
      <c r="D2434" s="13" t="n">
        <v>87339</v>
      </c>
      <c r="E2434" s="6" t="n">
        <f>SUM(C2434,D2434)/2</f>
        <v>71007</v>
      </c>
      <c r="F2434" s="18" t="n">
        <v>3007</v>
      </c>
      <c r="G2434" s="18" t="n">
        <v>4362</v>
      </c>
      <c r="H2434" s="6" t="n">
        <f>SUM(F2434,G2434)/2</f>
        <v>3684.5</v>
      </c>
    </row>
    <row r="2435" s="18" customFormat="1" ht="14.399999999999999" customHeight="1">
      <c r="A2435" s="10" t="s">
        <v>798</v>
      </c>
      <c r="B2435" s="10" t="s">
        <v>799</v>
      </c>
      <c r="C2435" s="13" t="n">
        <v>1420555</v>
      </c>
      <c r="D2435" s="13" t="n">
        <v>2269197</v>
      </c>
      <c r="E2435" s="6" t="n">
        <f>SUM(C2435,D2435)/2</f>
        <v>1844876</v>
      </c>
      <c r="F2435" s="12" t="n">
        <v>204570</v>
      </c>
      <c r="G2435" s="12" t="n">
        <v>329468</v>
      </c>
      <c r="H2435" s="6" t="n">
        <f>SUM(F2435,G2435)/2</f>
        <v>267019</v>
      </c>
    </row>
    <row r="2436" s="18" customFormat="1" ht="14.399999999999999" customHeight="1">
      <c r="A2436" s="10" t="s">
        <v>3411</v>
      </c>
      <c r="B2436" s="10" t="s">
        <v>3412</v>
      </c>
      <c r="C2436" s="13" t="n">
        <v>71928</v>
      </c>
      <c r="D2436" s="13" t="n">
        <v>114898</v>
      </c>
      <c r="E2436" s="6" t="n">
        <f>SUM(C2436,D2436)/2</f>
        <v>93413</v>
      </c>
      <c r="F2436" s="12" t="n">
        <v>20771</v>
      </c>
      <c r="G2436" s="12" t="n">
        <v>32243</v>
      </c>
      <c r="H2436" s="6" t="n">
        <f>SUM(F2436,G2436)/2</f>
        <v>26507</v>
      </c>
    </row>
    <row r="2437" s="18" customFormat="1" ht="14.399999999999999" customHeight="1">
      <c r="A2437" s="10" t="s">
        <v>4501</v>
      </c>
      <c r="B2437" s="10" t="s">
        <v>4502</v>
      </c>
      <c r="C2437" s="13" t="n">
        <v>20196</v>
      </c>
      <c r="D2437" s="13" t="n">
        <v>32262</v>
      </c>
      <c r="E2437" s="6" t="n">
        <f>SUM(C2437,D2437)/2</f>
        <v>26229</v>
      </c>
      <c r="F2437" s="12" t="n">
        <v>8418</v>
      </c>
      <c r="G2437" s="12" t="n">
        <v>11364</v>
      </c>
      <c r="H2437" s="6" t="n">
        <f>SUM(F2437,G2437)/2</f>
        <v>9891</v>
      </c>
    </row>
    <row r="2438" s="18" customFormat="1" ht="14.399999999999999" customHeight="1">
      <c r="A2438" s="10" t="s">
        <v>6731</v>
      </c>
      <c r="B2438" s="10" t="s">
        <v>6732</v>
      </c>
      <c r="C2438" s="10" t="n">
        <v>0</v>
      </c>
      <c r="D2438" s="10" t="n">
        <v>0</v>
      </c>
      <c r="E2438" s="6" t="n">
        <f>SUM(C2438,D2438)/2</f>
        <v>0</v>
      </c>
      <c r="F2438" s="18" t="n">
        <v>0</v>
      </c>
      <c r="G2438" s="18" t="n">
        <v>0</v>
      </c>
      <c r="H2438" s="6" t="n">
        <f>SUM(F2438,G2438)/2</f>
        <v>0</v>
      </c>
    </row>
    <row r="2439" s="18" customFormat="1" ht="14.399999999999999" customHeight="1">
      <c r="A2439" s="10" t="s">
        <v>5334</v>
      </c>
      <c r="B2439" s="10" t="s">
        <v>5335</v>
      </c>
      <c r="C2439" s="10"/>
      <c r="D2439" s="10"/>
      <c r="E2439" s="6" t="n">
        <f>SUM(C2439,D2439)/2</f>
        <v>0</v>
      </c>
      <c r="F2439" s="18" t="n">
        <v>119</v>
      </c>
      <c r="G2439" s="18" t="n">
        <v>376</v>
      </c>
      <c r="H2439" s="6" t="n">
        <f>SUM(F2439,G2439)/2</f>
        <v>247.5</v>
      </c>
    </row>
    <row r="2440" s="18" customFormat="1" ht="14.399999999999999" customHeight="1">
      <c r="A2440" s="10" t="s">
        <v>3707</v>
      </c>
      <c r="B2440" s="10" t="s">
        <v>3708</v>
      </c>
      <c r="C2440" s="13" t="n">
        <v>10051</v>
      </c>
      <c r="D2440" s="13" t="n">
        <v>16055</v>
      </c>
      <c r="E2440" s="6" t="n">
        <f>SUM(C2440,D2440)/2</f>
        <v>13053</v>
      </c>
      <c r="F2440" s="12" t="n">
        <v>24727</v>
      </c>
      <c r="G2440" s="12" t="n">
        <v>36874</v>
      </c>
      <c r="H2440" s="6" t="n">
        <f>SUM(F2440,G2440)/2</f>
        <v>30800.5</v>
      </c>
    </row>
    <row r="2441" s="18" customFormat="1" ht="14.399999999999999" customHeight="1">
      <c r="A2441" s="10" t="s">
        <v>2274</v>
      </c>
      <c r="B2441" s="10" t="s">
        <v>2275</v>
      </c>
      <c r="C2441" s="13" t="n">
        <v>132968</v>
      </c>
      <c r="D2441" s="13" t="n">
        <v>212400</v>
      </c>
      <c r="E2441" s="6" t="n">
        <f>SUM(C2441,D2441)/2</f>
        <v>172684</v>
      </c>
      <c r="F2441" s="12" t="n">
        <v>33120</v>
      </c>
      <c r="G2441" s="12" t="n">
        <v>45333</v>
      </c>
      <c r="H2441" s="6" t="n">
        <f>SUM(F2441,G2441)/2</f>
        <v>39226.5</v>
      </c>
    </row>
    <row r="2442" s="18" customFormat="1" ht="14.399999999999999" customHeight="1">
      <c r="A2442" s="10" t="s">
        <v>6733</v>
      </c>
      <c r="B2442" s="10" t="s">
        <v>6734</v>
      </c>
      <c r="C2442" s="13" t="n">
        <v>22530</v>
      </c>
      <c r="D2442" s="13" t="n">
        <v>35992</v>
      </c>
      <c r="E2442" s="6" t="n">
        <f>SUM(C2442,D2442)/2</f>
        <v>29261</v>
      </c>
      <c r="F2442" s="12" t="n">
        <v>4273</v>
      </c>
      <c r="G2442" s="12" t="n">
        <v>6386</v>
      </c>
      <c r="H2442" s="6" t="n">
        <f>SUM(F2442,G2442)/2</f>
        <v>5329.5</v>
      </c>
    </row>
    <row r="2443" s="18" customFormat="1" ht="14.399999999999999" customHeight="1">
      <c r="A2443" s="10" t="s">
        <v>4213</v>
      </c>
      <c r="B2443" s="10" t="s">
        <v>4214</v>
      </c>
      <c r="C2443" s="13" t="n">
        <v>5742</v>
      </c>
      <c r="D2443" s="13" t="n">
        <v>9172</v>
      </c>
      <c r="E2443" s="6" t="n">
        <f>SUM(C2443,D2443)/2</f>
        <v>7457</v>
      </c>
      <c r="F2443" s="12" t="n">
        <v>15276</v>
      </c>
      <c r="G2443" s="12" t="n">
        <v>21633</v>
      </c>
      <c r="H2443" s="6" t="n">
        <f>SUM(F2443,G2443)/2</f>
        <v>18454.5</v>
      </c>
    </row>
    <row r="2444" s="18" customFormat="1" ht="14.399999999999999" customHeight="1">
      <c r="A2444" s="10" t="s">
        <v>4837</v>
      </c>
      <c r="B2444" s="10" t="s">
        <v>4838</v>
      </c>
      <c r="C2444" s="13" t="n">
        <v>11944</v>
      </c>
      <c r="D2444" s="13" t="n">
        <v>19082</v>
      </c>
      <c r="E2444" s="6" t="n">
        <f>SUM(C2444,D2444)/2</f>
        <v>15513</v>
      </c>
      <c r="F2444" s="12" t="n">
        <v>6905</v>
      </c>
      <c r="G2444" s="12" t="n">
        <v>9487</v>
      </c>
      <c r="H2444" s="6" t="n">
        <f>SUM(F2444,G2444)/2</f>
        <v>8196</v>
      </c>
    </row>
    <row r="2445" s="18" customFormat="1" ht="14.399999999999999" customHeight="1">
      <c r="A2445" s="10" t="s">
        <v>3811</v>
      </c>
      <c r="B2445" s="10" t="s">
        <v>3812</v>
      </c>
      <c r="C2445" s="13" t="n">
        <v>86425</v>
      </c>
      <c r="D2445" s="13" t="n">
        <v>138053</v>
      </c>
      <c r="E2445" s="6" t="n">
        <f>SUM(C2445,D2445)/2</f>
        <v>112239</v>
      </c>
      <c r="F2445" s="12" t="n">
        <v>4411</v>
      </c>
      <c r="G2445" s="12" t="n">
        <v>7287</v>
      </c>
      <c r="H2445" s="6" t="n">
        <f>SUM(F2445,G2445)/2</f>
        <v>5849</v>
      </c>
    </row>
    <row r="2446" s="18" customFormat="1" ht="14.399999999999999" customHeight="1">
      <c r="A2446" s="10" t="s">
        <v>796</v>
      </c>
      <c r="B2446" s="10" t="s">
        <v>797</v>
      </c>
      <c r="C2446" s="13" t="n">
        <v>1631782</v>
      </c>
      <c r="D2446" s="13" t="n">
        <v>2606608</v>
      </c>
      <c r="E2446" s="6" t="n">
        <f>SUM(C2446,D2446)/2</f>
        <v>2119195</v>
      </c>
      <c r="F2446" s="12" t="n">
        <v>117848</v>
      </c>
      <c r="G2446" s="12" t="n">
        <v>305897</v>
      </c>
      <c r="H2446" s="6" t="n">
        <f>SUM(F2446,G2446)/2</f>
        <v>211872.5</v>
      </c>
    </row>
    <row r="2447" s="18" customFormat="1" ht="14.399999999999999" customHeight="1">
      <c r="A2447" s="10" t="s">
        <v>1988</v>
      </c>
      <c r="B2447" s="10" t="s">
        <v>1989</v>
      </c>
      <c r="C2447" s="13" t="n">
        <v>131670</v>
      </c>
      <c r="D2447" s="13" t="n">
        <v>210328</v>
      </c>
      <c r="E2447" s="6" t="n">
        <f>SUM(C2447,D2447)/2</f>
        <v>170999</v>
      </c>
      <c r="F2447" s="12" t="n">
        <v>67044</v>
      </c>
      <c r="G2447" s="12" t="n">
        <v>98223</v>
      </c>
      <c r="H2447" s="6" t="n">
        <f>SUM(F2447,G2447)/2</f>
        <v>82633.5</v>
      </c>
    </row>
    <row r="2448" s="18" customFormat="1" ht="14.399999999999999" customHeight="1">
      <c r="A2448" s="10" t="s">
        <v>5482</v>
      </c>
      <c r="B2448" s="10" t="s">
        <v>5483</v>
      </c>
      <c r="C2448" s="13" t="n">
        <v>122293</v>
      </c>
      <c r="D2448" s="13" t="n">
        <v>195349</v>
      </c>
      <c r="E2448" s="6" t="n">
        <f>SUM(C2448,D2448)/2</f>
        <v>158821</v>
      </c>
      <c r="F2448" s="12" t="n">
        <v>39993</v>
      </c>
      <c r="G2448" s="12" t="n">
        <v>64393</v>
      </c>
      <c r="H2448" s="6" t="n">
        <f>SUM(F2448,G2448)/2</f>
        <v>52193</v>
      </c>
    </row>
    <row r="2449" s="18" customFormat="1" ht="14.399999999999999" customHeight="1">
      <c r="A2449" s="10" t="s">
        <v>712</v>
      </c>
      <c r="B2449" s="10" t="s">
        <v>713</v>
      </c>
      <c r="C2449" s="13" t="n">
        <v>2704765</v>
      </c>
      <c r="D2449" s="13" t="n">
        <v>4320599</v>
      </c>
      <c r="E2449" s="6" t="n">
        <f>SUM(C2449,D2449)/2</f>
        <v>3512682</v>
      </c>
      <c r="F2449" s="12" t="n">
        <v>196744</v>
      </c>
      <c r="G2449" s="12" t="n">
        <v>749314</v>
      </c>
      <c r="H2449" s="6" t="n">
        <f>SUM(F2449,G2449)/2</f>
        <v>473029</v>
      </c>
    </row>
    <row r="2450" s="18" customFormat="1" ht="14.399999999999999" customHeight="1">
      <c r="A2450" s="10" t="s">
        <v>1065</v>
      </c>
      <c r="B2450" s="10" t="s">
        <v>1066</v>
      </c>
      <c r="C2450" s="13" t="n">
        <v>420008</v>
      </c>
      <c r="D2450" s="13" t="n">
        <v>670920</v>
      </c>
      <c r="E2450" s="6" t="n">
        <f>SUM(C2450,D2450)/2</f>
        <v>545464</v>
      </c>
      <c r="F2450" s="12" t="n">
        <v>88810</v>
      </c>
      <c r="G2450" s="12" t="n">
        <v>135111</v>
      </c>
      <c r="H2450" s="6" t="n">
        <f>SUM(F2450,G2450)/2</f>
        <v>111960.5</v>
      </c>
    </row>
    <row r="2451" s="18" customFormat="1" ht="14.399999999999999" customHeight="1">
      <c r="A2451" s="10" t="s">
        <v>5426</v>
      </c>
      <c r="B2451" s="10" t="s">
        <v>5427</v>
      </c>
      <c r="C2451" s="13" t="n">
        <v>257122</v>
      </c>
      <c r="D2451" s="13" t="n">
        <v>410728</v>
      </c>
      <c r="E2451" s="6" t="n">
        <f>SUM(C2451,D2451)/2</f>
        <v>333925</v>
      </c>
      <c r="F2451" s="12" t="n">
        <v>34718</v>
      </c>
      <c r="G2451" s="12" t="n">
        <v>54492</v>
      </c>
      <c r="H2451" s="6" t="n">
        <f>SUM(F2451,G2451)/2</f>
        <v>44605</v>
      </c>
    </row>
    <row r="2452" s="18" customFormat="1" ht="14.399999999999999" customHeight="1">
      <c r="A2452" s="10" t="s">
        <v>3233</v>
      </c>
      <c r="B2452" s="10" t="s">
        <v>3234</v>
      </c>
      <c r="C2452" s="13" t="n">
        <v>131109</v>
      </c>
      <c r="D2452" s="13" t="n">
        <v>209437</v>
      </c>
      <c r="E2452" s="6" t="n">
        <f>SUM(C2452,D2452)/2</f>
        <v>170273</v>
      </c>
      <c r="F2452" s="12" t="n">
        <v>15495</v>
      </c>
      <c r="G2452" s="12" t="n">
        <v>27719</v>
      </c>
      <c r="H2452" s="6" t="n">
        <f>SUM(F2452,G2452)/2</f>
        <v>21607</v>
      </c>
    </row>
    <row r="2453" s="18" customFormat="1" ht="14.399999999999999" customHeight="1">
      <c r="A2453" s="10" t="s">
        <v>5133</v>
      </c>
      <c r="B2453" s="10" t="s">
        <v>5134</v>
      </c>
      <c r="C2453" s="13" t="n">
        <v>9669</v>
      </c>
      <c r="D2453" s="13" t="n">
        <v>15443</v>
      </c>
      <c r="E2453" s="6" t="n">
        <f>SUM(C2453,D2453)/2</f>
        <v>12556</v>
      </c>
      <c r="F2453" s="12" t="n">
        <v>4038</v>
      </c>
      <c r="G2453" s="12" t="n">
        <v>5838</v>
      </c>
      <c r="H2453" s="6" t="n">
        <f>SUM(F2453,G2453)/2</f>
        <v>4938</v>
      </c>
    </row>
    <row r="2454" s="18" customFormat="1" ht="14.399999999999999" customHeight="1">
      <c r="A2454" s="10" t="s">
        <v>6735</v>
      </c>
      <c r="B2454" s="10" t="s">
        <v>6736</v>
      </c>
      <c r="C2454" s="13" t="n">
        <v>76840</v>
      </c>
      <c r="D2454" s="13" t="n">
        <v>122746</v>
      </c>
      <c r="E2454" s="6" t="n">
        <f>SUM(C2454,D2454)/2</f>
        <v>99793</v>
      </c>
      <c r="F2454" s="12" t="n">
        <v>11266</v>
      </c>
      <c r="G2454" s="12" t="n">
        <v>17398</v>
      </c>
      <c r="H2454" s="6" t="n">
        <f>SUM(F2454,G2454)/2</f>
        <v>14332</v>
      </c>
    </row>
    <row r="2455" s="18" customFormat="1" ht="14.399999999999999" customHeight="1">
      <c r="A2455" s="10" t="s">
        <v>1034</v>
      </c>
      <c r="B2455" s="10" t="s">
        <v>171</v>
      </c>
      <c r="C2455" s="13" t="n">
        <v>6063</v>
      </c>
      <c r="D2455" s="13" t="n">
        <v>9683</v>
      </c>
      <c r="E2455" s="6" t="n">
        <f>SUM(C2455,D2455)/2</f>
        <v>7873</v>
      </c>
      <c r="F2455" s="18" t="n">
        <v>1035</v>
      </c>
      <c r="G2455" s="18" t="n">
        <v>1587</v>
      </c>
      <c r="H2455" s="6" t="n">
        <f>SUM(F2455,G2455)/2</f>
        <v>1311</v>
      </c>
    </row>
    <row r="2456" s="18" customFormat="1" ht="14.399999999999999" customHeight="1">
      <c r="A2456" s="10" t="s">
        <v>1909</v>
      </c>
      <c r="B2456" s="10" t="s">
        <v>1910</v>
      </c>
      <c r="C2456" s="10" t="n">
        <v>59</v>
      </c>
      <c r="D2456" s="10" t="n">
        <v>93</v>
      </c>
      <c r="E2456" s="6" t="n">
        <f>SUM(C2456,D2456)/2</f>
        <v>76</v>
      </c>
      <c r="F2456" s="18" t="n">
        <v>0</v>
      </c>
      <c r="G2456" s="18" t="n">
        <v>0</v>
      </c>
      <c r="H2456" s="6" t="n">
        <f>SUM(F2456,G2456)/2</f>
        <v>0</v>
      </c>
    </row>
    <row r="2457" s="18" customFormat="1" ht="14.399999999999999" customHeight="1">
      <c r="A2457" s="10" t="s">
        <v>28</v>
      </c>
      <c r="B2457" s="10" t="s">
        <v>29</v>
      </c>
      <c r="C2457" s="13" t="n">
        <v>6867722</v>
      </c>
      <c r="D2457" s="13" t="n">
        <v>10970520</v>
      </c>
      <c r="E2457" s="6" t="n">
        <f>SUM(C2457,D2457)/2</f>
        <v>8919121</v>
      </c>
      <c r="F2457" s="12" t="n">
        <v>756348</v>
      </c>
      <c r="G2457" s="12" t="n">
        <v>1599510</v>
      </c>
      <c r="H2457" s="6" t="n">
        <f>SUM(F2457,G2457)/2</f>
        <v>1177929</v>
      </c>
    </row>
    <row r="2458" s="18" customFormat="1" ht="14.399999999999999" customHeight="1">
      <c r="A2458" s="10" t="s">
        <v>3577</v>
      </c>
      <c r="B2458" s="10" t="s">
        <v>3578</v>
      </c>
      <c r="C2458" s="13" t="n">
        <v>103913</v>
      </c>
      <c r="D2458" s="13" t="n">
        <v>165989</v>
      </c>
      <c r="E2458" s="6" t="n">
        <f>SUM(C2458,D2458)/2</f>
        <v>134951</v>
      </c>
      <c r="F2458" s="12" t="n">
        <v>9101</v>
      </c>
      <c r="G2458" s="12" t="n">
        <v>11355</v>
      </c>
      <c r="H2458" s="6" t="n">
        <f>SUM(F2458,G2458)/2</f>
        <v>10228</v>
      </c>
    </row>
    <row r="2459" s="18" customFormat="1" ht="14.399999999999999" customHeight="1">
      <c r="A2459" s="10" t="s">
        <v>6737</v>
      </c>
      <c r="B2459" s="10" t="s">
        <v>6738</v>
      </c>
      <c r="C2459" s="10" t="n">
        <v>0</v>
      </c>
      <c r="D2459" s="10" t="n">
        <v>0</v>
      </c>
      <c r="E2459" s="6" t="n">
        <f>SUM(C2459,D2459)/2</f>
        <v>0</v>
      </c>
      <c r="F2459" s="18" t="n">
        <v>0</v>
      </c>
      <c r="G2459" s="18" t="n">
        <v>0</v>
      </c>
      <c r="H2459" s="6" t="n">
        <f>SUM(F2459,G2459)/2</f>
        <v>0</v>
      </c>
    </row>
    <row r="2460" s="18" customFormat="1" ht="14.399999999999999" customHeight="1">
      <c r="A2460" s="10" t="s">
        <v>6739</v>
      </c>
      <c r="B2460" s="10" t="s">
        <v>6740</v>
      </c>
      <c r="C2460" s="10" t="n">
        <v>11</v>
      </c>
      <c r="D2460" s="10" t="n">
        <v>17</v>
      </c>
      <c r="E2460" s="6" t="n">
        <f>SUM(C2460,D2460)/2</f>
        <v>14</v>
      </c>
      <c r="F2460" s="18" t="n">
        <v>10</v>
      </c>
      <c r="G2460" s="18" t="n">
        <v>15</v>
      </c>
      <c r="H2460" s="6" t="n">
        <f>SUM(F2460,G2460)/2</f>
        <v>12.5</v>
      </c>
    </row>
    <row r="2461" s="18" customFormat="1" ht="14.399999999999999" customHeight="1">
      <c r="A2461" s="10" t="s">
        <v>3591</v>
      </c>
      <c r="B2461" s="10" t="s">
        <v>3592</v>
      </c>
      <c r="C2461" s="13" t="n">
        <v>36623</v>
      </c>
      <c r="D2461" s="13" t="n">
        <v>58501</v>
      </c>
      <c r="E2461" s="6" t="n">
        <f>SUM(C2461,D2461)/2</f>
        <v>47562</v>
      </c>
      <c r="F2461" s="12" t="n">
        <v>19148</v>
      </c>
      <c r="G2461" s="12" t="n">
        <v>37045</v>
      </c>
      <c r="H2461" s="6" t="n">
        <f>SUM(F2461,G2461)/2</f>
        <v>28096.5</v>
      </c>
    </row>
    <row r="2462" s="18" customFormat="1" ht="14.399999999999999" customHeight="1">
      <c r="A2462" s="10" t="s">
        <v>6741</v>
      </c>
      <c r="B2462" s="10" t="s">
        <v>6742</v>
      </c>
      <c r="C2462" s="13" t="n">
        <v>43963</v>
      </c>
      <c r="D2462" s="13" t="n">
        <v>70225</v>
      </c>
      <c r="E2462" s="6" t="n">
        <f>SUM(C2462,D2462)/2</f>
        <v>57094</v>
      </c>
      <c r="F2462" s="12" t="n">
        <v>8600</v>
      </c>
      <c r="G2462" s="12" t="n">
        <v>13438</v>
      </c>
      <c r="H2462" s="6" t="n">
        <f>SUM(F2462,G2462)/2</f>
        <v>11019</v>
      </c>
    </row>
    <row r="2463" s="18" customFormat="1" ht="14.399999999999999" customHeight="1">
      <c r="A2463" s="10" t="s">
        <v>22</v>
      </c>
      <c r="B2463" s="10" t="s">
        <v>23</v>
      </c>
      <c r="C2463" s="13" t="n">
        <v>5615978</v>
      </c>
      <c r="D2463" s="13" t="n">
        <v>8970979</v>
      </c>
      <c r="E2463" s="6" t="n">
        <f>SUM(C2463,D2463)/2</f>
        <v>7293478.5</v>
      </c>
      <c r="F2463" s="13" t="n">
        <v>1664072</v>
      </c>
      <c r="G2463" s="12" t="n">
        <v>2489094</v>
      </c>
      <c r="H2463" s="6" t="n">
        <f>SUM(F2463,G2463)/2</f>
        <v>2076583</v>
      </c>
    </row>
    <row r="2464" s="18" customFormat="1" ht="14.399999999999999" customHeight="1">
      <c r="A2464" s="10" t="s">
        <v>6743</v>
      </c>
      <c r="B2464" s="10" t="s">
        <v>6744</v>
      </c>
      <c r="C2464" s="13" t="n">
        <v>16371</v>
      </c>
      <c r="D2464" s="13" t="n">
        <v>26151</v>
      </c>
      <c r="E2464" s="6" t="n">
        <f>SUM(C2464,D2464)/2</f>
        <v>21261</v>
      </c>
      <c r="F2464" s="12" t="n">
        <v>4891</v>
      </c>
      <c r="G2464" s="12" t="n">
        <v>6763</v>
      </c>
      <c r="H2464" s="6" t="n">
        <f>SUM(F2464,G2464)/2</f>
        <v>5827</v>
      </c>
    </row>
    <row r="2465" s="18" customFormat="1" ht="14.399999999999999" customHeight="1">
      <c r="A2465" s="10" t="s">
        <v>6745</v>
      </c>
      <c r="B2465" s="10" t="s">
        <v>6746</v>
      </c>
      <c r="C2465" s="13" t="n">
        <v>14073</v>
      </c>
      <c r="D2465" s="13" t="n">
        <v>22483</v>
      </c>
      <c r="E2465" s="6" t="n">
        <f>SUM(C2465,D2465)/2</f>
        <v>18278</v>
      </c>
      <c r="F2465" s="12" t="n">
        <v>4919</v>
      </c>
      <c r="G2465" s="12" t="n">
        <v>7121</v>
      </c>
      <c r="H2465" s="6" t="n">
        <f>SUM(F2465,G2465)/2</f>
        <v>6020</v>
      </c>
    </row>
    <row r="2466" s="18" customFormat="1" ht="14.399999999999999" customHeight="1">
      <c r="A2466" s="10" t="s">
        <v>1052</v>
      </c>
      <c r="B2466" s="10" t="s">
        <v>1053</v>
      </c>
      <c r="C2466" s="13" t="n">
        <v>255185</v>
      </c>
      <c r="D2466" s="13" t="n">
        <v>407635</v>
      </c>
      <c r="E2466" s="6" t="n">
        <f>SUM(C2466,D2466)/2</f>
        <v>331410</v>
      </c>
      <c r="F2466" s="12" t="n">
        <v>154930</v>
      </c>
      <c r="G2466" s="12" t="n">
        <v>175397</v>
      </c>
      <c r="H2466" s="6" t="n">
        <f>SUM(F2466,G2466)/2</f>
        <v>165163.5</v>
      </c>
    </row>
    <row r="2467" s="18" customFormat="1" ht="14.399999999999999" customHeight="1">
      <c r="A2467" s="10" t="s">
        <v>2008</v>
      </c>
      <c r="B2467" s="10" t="s">
        <v>2009</v>
      </c>
      <c r="C2467" s="10" t="n">
        <v>0</v>
      </c>
      <c r="D2467" s="10" t="n">
        <v>0</v>
      </c>
      <c r="E2467" s="6" t="n">
        <f>SUM(C2467,D2467)/2</f>
        <v>0</v>
      </c>
      <c r="F2467" s="18" t="n">
        <v>10</v>
      </c>
      <c r="G2467" s="18" t="n">
        <v>15</v>
      </c>
      <c r="H2467" s="6" t="n">
        <f>SUM(F2467,G2467)/2</f>
        <v>12.5</v>
      </c>
    </row>
    <row r="2468" s="18" customFormat="1" ht="14.399999999999999" customHeight="1">
      <c r="A2468" s="10" t="s">
        <v>2248</v>
      </c>
      <c r="B2468" s="10" t="s">
        <v>2249</v>
      </c>
      <c r="C2468" s="10" t="n">
        <v>9</v>
      </c>
      <c r="D2468" s="10" t="n">
        <v>13</v>
      </c>
      <c r="E2468" s="6" t="n">
        <f>SUM(C2468,D2468)/2</f>
        <v>11</v>
      </c>
      <c r="F2468" s="18" t="n">
        <v>4</v>
      </c>
      <c r="G2468" s="18" t="n">
        <v>5</v>
      </c>
      <c r="H2468" s="6" t="n">
        <f>SUM(F2468,G2468)/2</f>
        <v>4.5</v>
      </c>
    </row>
    <row r="2469" s="18" customFormat="1" ht="14.399999999999999" customHeight="1">
      <c r="A2469" s="10" t="s">
        <v>5013</v>
      </c>
      <c r="B2469" s="10" t="s">
        <v>5014</v>
      </c>
      <c r="C2469" s="13" t="n">
        <v>11926</v>
      </c>
      <c r="D2469" s="13" t="n">
        <v>19046</v>
      </c>
      <c r="E2469" s="6" t="n">
        <f>SUM(C2469,D2469)/2</f>
        <v>15486</v>
      </c>
      <c r="F2469" s="12" t="n">
        <v>5804</v>
      </c>
      <c r="G2469" s="12" t="n">
        <v>6646</v>
      </c>
      <c r="H2469" s="6" t="n">
        <f>SUM(F2469,G2469)/2</f>
        <v>6225</v>
      </c>
    </row>
    <row r="2470" s="18" customFormat="1" ht="14.399999999999999" customHeight="1">
      <c r="A2470" s="10" t="s">
        <v>6747</v>
      </c>
      <c r="B2470" s="10" t="s">
        <v>6748</v>
      </c>
      <c r="C2470" s="13" t="n">
        <v>8051</v>
      </c>
      <c r="D2470" s="13" t="n">
        <v>12863</v>
      </c>
      <c r="E2470" s="6" t="n">
        <f>SUM(C2470,D2470)/2</f>
        <v>10457</v>
      </c>
      <c r="F2470" s="12" t="n">
        <v>8779</v>
      </c>
      <c r="G2470" s="12" t="n">
        <v>11975</v>
      </c>
      <c r="H2470" s="6" t="n">
        <f>SUM(F2470,G2470)/2</f>
        <v>10377</v>
      </c>
    </row>
    <row r="2471" s="18" customFormat="1" ht="14.399999999999999" customHeight="1">
      <c r="A2471" s="10" t="s">
        <v>3657</v>
      </c>
      <c r="B2471" s="10" t="s">
        <v>3658</v>
      </c>
      <c r="C2471" s="13" t="n">
        <v>13609</v>
      </c>
      <c r="D2471" s="13" t="n">
        <v>21741</v>
      </c>
      <c r="E2471" s="6" t="n">
        <f>SUM(C2471,D2471)/2</f>
        <v>17675</v>
      </c>
      <c r="F2471" s="12" t="n">
        <v>25487</v>
      </c>
      <c r="G2471" s="12" t="n">
        <v>38277</v>
      </c>
      <c r="H2471" s="6" t="n">
        <f>SUM(F2471,G2471)/2</f>
        <v>31882</v>
      </c>
    </row>
    <row r="2472" s="18" customFormat="1" ht="14.399999999999999" customHeight="1">
      <c r="A2472" s="10" t="s">
        <v>5257</v>
      </c>
      <c r="B2472" s="10" t="s">
        <v>5258</v>
      </c>
      <c r="C2472" s="13" t="n">
        <v>4449</v>
      </c>
      <c r="D2472" s="13" t="n">
        <v>7105</v>
      </c>
      <c r="E2472" s="6" t="n">
        <f>SUM(C2472,D2472)/2</f>
        <v>5777</v>
      </c>
      <c r="F2472" s="18" t="n">
        <v>0</v>
      </c>
      <c r="G2472" s="18" t="n">
        <v>0</v>
      </c>
      <c r="H2472" s="6" t="n">
        <f>SUM(F2472,G2472)/2</f>
        <v>0</v>
      </c>
    </row>
    <row r="2473" s="18" customFormat="1" ht="14.399999999999999" customHeight="1">
      <c r="A2473" s="10" t="s">
        <v>999</v>
      </c>
      <c r="B2473" s="10" t="s">
        <v>1000</v>
      </c>
      <c r="C2473" s="10"/>
      <c r="D2473" s="10"/>
      <c r="E2473" s="6" t="n">
        <f>SUM(C2473,D2473)/2</f>
        <v>0</v>
      </c>
      <c r="F2473" s="13" t="n">
        <v>2226174</v>
      </c>
      <c r="G2473" s="12" t="n">
        <v>2831794</v>
      </c>
      <c r="H2473" s="6" t="n">
        <f>SUM(F2473,G2473)/2</f>
        <v>2528984</v>
      </c>
    </row>
    <row r="2474" s="18" customFormat="1" ht="14.399999999999999" customHeight="1">
      <c r="A2474" s="10" t="s">
        <v>3349</v>
      </c>
      <c r="B2474" s="10" t="s">
        <v>3350</v>
      </c>
      <c r="C2474" s="13" t="n">
        <v>60450</v>
      </c>
      <c r="D2474" s="13" t="n">
        <v>96564</v>
      </c>
      <c r="E2474" s="6" t="n">
        <f>SUM(C2474,D2474)/2</f>
        <v>78507</v>
      </c>
      <c r="F2474" s="12" t="n">
        <v>27649</v>
      </c>
      <c r="G2474" s="12" t="n">
        <v>37432</v>
      </c>
      <c r="H2474" s="6" t="n">
        <f>SUM(F2474,G2474)/2</f>
        <v>32540.5</v>
      </c>
    </row>
    <row r="2475" s="18" customFormat="1" ht="14.399999999999999" customHeight="1">
      <c r="A2475" s="10" t="s">
        <v>788</v>
      </c>
      <c r="B2475" s="10" t="s">
        <v>789</v>
      </c>
      <c r="C2475" s="13" t="n">
        <v>2253888</v>
      </c>
      <c r="D2475" s="13" t="n">
        <v>3600366</v>
      </c>
      <c r="E2475" s="6" t="n">
        <f>SUM(C2475,D2475)/2</f>
        <v>2927127</v>
      </c>
      <c r="F2475" s="12" t="n">
        <v>39473</v>
      </c>
      <c r="G2475" s="12" t="n">
        <v>61918</v>
      </c>
      <c r="H2475" s="6" t="n">
        <f>SUM(F2475,G2475)/2</f>
        <v>50695.5</v>
      </c>
    </row>
    <row r="2476" s="18" customFormat="1" ht="14.399999999999999" customHeight="1">
      <c r="A2476" s="10" t="s">
        <v>4667</v>
      </c>
      <c r="B2476" s="10" t="s">
        <v>4668</v>
      </c>
      <c r="C2476" s="13" t="n">
        <v>18934</v>
      </c>
      <c r="D2476" s="13" t="n">
        <v>30246</v>
      </c>
      <c r="E2476" s="6" t="n">
        <f>SUM(C2476,D2476)/2</f>
        <v>24590</v>
      </c>
      <c r="F2476" s="12" t="n">
        <v>6572</v>
      </c>
      <c r="G2476" s="12" t="n">
        <v>9443</v>
      </c>
      <c r="H2476" s="6" t="n">
        <f>SUM(F2476,G2476)/2</f>
        <v>8007.5</v>
      </c>
    </row>
    <row r="2477" s="18" customFormat="1" ht="14.399999999999999" customHeight="1">
      <c r="A2477" s="10" t="s">
        <v>2979</v>
      </c>
      <c r="B2477" s="10" t="s">
        <v>2980</v>
      </c>
      <c r="C2477" s="10" t="n">
        <v>0</v>
      </c>
      <c r="D2477" s="10" t="n">
        <v>0</v>
      </c>
      <c r="E2477" s="6" t="n">
        <f>SUM(C2477,D2477)/2</f>
        <v>0</v>
      </c>
      <c r="F2477" s="18" t="n">
        <v>0</v>
      </c>
      <c r="G2477" s="18" t="n">
        <v>0</v>
      </c>
      <c r="H2477" s="6" t="n">
        <f>SUM(F2477,G2477)/2</f>
        <v>0</v>
      </c>
    </row>
    <row r="2478" s="18" customFormat="1" ht="14.399999999999999" customHeight="1">
      <c r="A2478" s="10" t="s">
        <v>3253</v>
      </c>
      <c r="B2478" s="10" t="s">
        <v>3254</v>
      </c>
      <c r="C2478" s="13" t="n">
        <v>112956</v>
      </c>
      <c r="D2478" s="13" t="n">
        <v>180438</v>
      </c>
      <c r="E2478" s="6" t="n">
        <f>SUM(C2478,D2478)/2</f>
        <v>146697</v>
      </c>
      <c r="F2478" s="12" t="n">
        <v>20749</v>
      </c>
      <c r="G2478" s="12" t="n">
        <v>30842</v>
      </c>
      <c r="H2478" s="6" t="n">
        <f>SUM(F2478,G2478)/2</f>
        <v>25795.5</v>
      </c>
    </row>
    <row r="2479" s="18" customFormat="1" ht="14.399999999999999" customHeight="1">
      <c r="A2479" s="10" t="s">
        <v>4437</v>
      </c>
      <c r="B2479" s="10" t="s">
        <v>4438</v>
      </c>
      <c r="C2479" s="13" t="n">
        <v>27135</v>
      </c>
      <c r="D2479" s="13" t="n">
        <v>43347</v>
      </c>
      <c r="E2479" s="6" t="n">
        <f>SUM(C2479,D2479)/2</f>
        <v>35241</v>
      </c>
      <c r="F2479" s="12" t="n">
        <v>7238</v>
      </c>
      <c r="G2479" s="12" t="n">
        <v>10451</v>
      </c>
      <c r="H2479" s="6" t="n">
        <f>SUM(F2479,G2479)/2</f>
        <v>8844.5</v>
      </c>
    </row>
    <row r="2480" s="18" customFormat="1" ht="14.399999999999999" customHeight="1">
      <c r="A2480" s="10" t="s">
        <v>2572</v>
      </c>
      <c r="B2480" s="10" t="s">
        <v>2573</v>
      </c>
      <c r="C2480" s="10" t="n">
        <v>1</v>
      </c>
      <c r="D2480" s="10" t="n">
        <v>1</v>
      </c>
      <c r="E2480" s="6" t="n">
        <f>SUM(C2480,D2480)/2</f>
        <v>1</v>
      </c>
      <c r="F2480" s="18" t="n">
        <v>2</v>
      </c>
      <c r="G2480" s="18" t="n">
        <v>2</v>
      </c>
      <c r="H2480" s="6" t="n">
        <f>SUM(F2480,G2480)/2</f>
        <v>2</v>
      </c>
    </row>
    <row r="2481" s="18" customFormat="1" ht="14.399999999999999" customHeight="1">
      <c r="A2481" s="10" t="s">
        <v>2720</v>
      </c>
      <c r="B2481" s="10" t="s">
        <v>2721</v>
      </c>
      <c r="C2481" s="10" t="n">
        <v>4</v>
      </c>
      <c r="D2481" s="10" t="n">
        <v>4</v>
      </c>
      <c r="E2481" s="6" t="n">
        <f>SUM(C2481,D2481)/2</f>
        <v>4</v>
      </c>
      <c r="F2481" s="18" t="n">
        <v>0</v>
      </c>
      <c r="G2481" s="18" t="n">
        <v>0</v>
      </c>
      <c r="H2481" s="6" t="n">
        <f>SUM(F2481,G2481)/2</f>
        <v>0</v>
      </c>
    </row>
    <row r="2482" s="18" customFormat="1" ht="14.399999999999999" customHeight="1">
      <c r="A2482" s="10" t="s">
        <v>4871</v>
      </c>
      <c r="B2482" s="10" t="s">
        <v>4872</v>
      </c>
      <c r="C2482" s="13" t="n">
        <v>7590</v>
      </c>
      <c r="D2482" s="13" t="n">
        <v>12124</v>
      </c>
      <c r="E2482" s="6" t="n">
        <f>SUM(C2482,D2482)/2</f>
        <v>9857</v>
      </c>
      <c r="F2482" s="12" t="n">
        <v>7411</v>
      </c>
      <c r="G2482" s="12" t="n">
        <v>10629</v>
      </c>
      <c r="H2482" s="6" t="n">
        <f>SUM(F2482,G2482)/2</f>
        <v>9020</v>
      </c>
    </row>
    <row r="2483" s="18" customFormat="1" ht="14.399999999999999" customHeight="1">
      <c r="A2483" s="10" t="s">
        <v>2652</v>
      </c>
      <c r="B2483" s="10" t="s">
        <v>2653</v>
      </c>
      <c r="C2483" s="10" t="n">
        <v>1</v>
      </c>
      <c r="D2483" s="10" t="n">
        <v>1</v>
      </c>
      <c r="E2483" s="6" t="n">
        <f>SUM(C2483,D2483)/2</f>
        <v>1</v>
      </c>
      <c r="F2483" s="18" t="n">
        <v>1</v>
      </c>
      <c r="G2483" s="18" t="n">
        <v>1</v>
      </c>
      <c r="H2483" s="6" t="n">
        <f>SUM(F2483,G2483)/2</f>
        <v>1</v>
      </c>
    </row>
    <row r="2484" s="18" customFormat="1" ht="14.399999999999999" customHeight="1">
      <c r="A2484" s="10" t="s">
        <v>6749</v>
      </c>
      <c r="B2484" s="10" t="s">
        <v>6750</v>
      </c>
      <c r="C2484" s="10" t="n">
        <v>0</v>
      </c>
      <c r="D2484" s="10" t="n">
        <v>0</v>
      </c>
      <c r="E2484" s="6" t="n">
        <f>SUM(C2484,D2484)/2</f>
        <v>0</v>
      </c>
      <c r="F2484" s="18" t="n">
        <v>0</v>
      </c>
      <c r="G2484" s="18" t="n">
        <v>0</v>
      </c>
      <c r="H2484" s="6" t="n">
        <f>SUM(F2484,G2484)/2</f>
        <v>0</v>
      </c>
    </row>
    <row r="2485" s="18" customFormat="1" ht="14.399999999999999" customHeight="1">
      <c r="A2485" s="10" t="s">
        <v>2981</v>
      </c>
      <c r="B2485" s="10" t="s">
        <v>2982</v>
      </c>
      <c r="C2485" s="10" t="n">
        <v>0</v>
      </c>
      <c r="D2485" s="10" t="n">
        <v>0</v>
      </c>
      <c r="E2485" s="6" t="n">
        <f>SUM(C2485,D2485)/2</f>
        <v>0</v>
      </c>
      <c r="F2485" s="18" t="n">
        <v>0</v>
      </c>
      <c r="G2485" s="18" t="n">
        <v>0</v>
      </c>
      <c r="H2485" s="6" t="n">
        <f>SUM(F2485,G2485)/2</f>
        <v>0</v>
      </c>
    </row>
    <row r="2486" s="18" customFormat="1" ht="14.399999999999999" customHeight="1">
      <c r="A2486" s="10" t="s">
        <v>3701</v>
      </c>
      <c r="B2486" s="10" t="s">
        <v>3702</v>
      </c>
      <c r="C2486" s="13" t="n">
        <v>19877</v>
      </c>
      <c r="D2486" s="13" t="n">
        <v>31751</v>
      </c>
      <c r="E2486" s="6" t="n">
        <f>SUM(C2486,D2486)/2</f>
        <v>25814</v>
      </c>
      <c r="F2486" s="12" t="n">
        <v>25754</v>
      </c>
      <c r="G2486" s="12" t="n">
        <v>31512</v>
      </c>
      <c r="H2486" s="6" t="n">
        <f>SUM(F2486,G2486)/2</f>
        <v>28633</v>
      </c>
    </row>
    <row r="2487" s="18" customFormat="1" ht="14.399999999999999" customHeight="1">
      <c r="A2487" s="10" t="s">
        <v>6751</v>
      </c>
      <c r="B2487" s="10" t="s">
        <v>6752</v>
      </c>
      <c r="C2487" s="13" t="n">
        <v>25940</v>
      </c>
      <c r="D2487" s="13" t="n">
        <v>41436</v>
      </c>
      <c r="E2487" s="6" t="n">
        <f>SUM(C2487,D2487)/2</f>
        <v>33688</v>
      </c>
      <c r="F2487" s="12" t="n">
        <v>8030</v>
      </c>
      <c r="G2487" s="12" t="n">
        <v>10688</v>
      </c>
      <c r="H2487" s="6" t="n">
        <f>SUM(F2487,G2487)/2</f>
        <v>9359</v>
      </c>
    </row>
    <row r="2488" s="18" customFormat="1" ht="14.399999999999999" customHeight="1">
      <c r="A2488" s="10" t="s">
        <v>6753</v>
      </c>
      <c r="B2488" s="10" t="s">
        <v>6754</v>
      </c>
      <c r="C2488" s="13" t="n">
        <v>12818</v>
      </c>
      <c r="D2488" s="13" t="n">
        <v>20476</v>
      </c>
      <c r="E2488" s="6" t="n">
        <f>SUM(C2488,D2488)/2</f>
        <v>16647</v>
      </c>
      <c r="F2488" s="18" t="n">
        <v>61</v>
      </c>
      <c r="G2488" s="18" t="n">
        <v>88</v>
      </c>
      <c r="H2488" s="6" t="n">
        <f>SUM(F2488,G2488)/2</f>
        <v>74.5</v>
      </c>
    </row>
    <row r="2489" s="18" customFormat="1" ht="14.399999999999999" customHeight="1">
      <c r="A2489" s="10" t="s">
        <v>6755</v>
      </c>
      <c r="B2489" s="10" t="s">
        <v>6756</v>
      </c>
      <c r="C2489" s="13" t="n">
        <v>16950</v>
      </c>
      <c r="D2489" s="13" t="n">
        <v>27076</v>
      </c>
      <c r="E2489" s="6" t="n">
        <f>SUM(C2489,D2489)/2</f>
        <v>22013</v>
      </c>
      <c r="F2489" s="12" t="n">
        <v>17535</v>
      </c>
      <c r="G2489" s="12" t="n">
        <v>27121</v>
      </c>
      <c r="H2489" s="6" t="n">
        <f>SUM(F2489,G2489)/2</f>
        <v>22328</v>
      </c>
    </row>
    <row r="2490" s="18" customFormat="1" ht="14.399999999999999" customHeight="1">
      <c r="A2490" s="10" t="s">
        <v>6757</v>
      </c>
      <c r="B2490" s="10" t="s">
        <v>6758</v>
      </c>
      <c r="C2490" s="13" t="n">
        <v>18043</v>
      </c>
      <c r="D2490" s="13" t="n">
        <v>28821</v>
      </c>
      <c r="E2490" s="6" t="n">
        <f>SUM(C2490,D2490)/2</f>
        <v>23432</v>
      </c>
      <c r="F2490" s="12" t="n">
        <v>4631</v>
      </c>
      <c r="G2490" s="12" t="n">
        <v>7417</v>
      </c>
      <c r="H2490" s="6" t="n">
        <f>SUM(F2490,G2490)/2</f>
        <v>6024</v>
      </c>
    </row>
    <row r="2491" s="18" customFormat="1" ht="14.399999999999999" customHeight="1">
      <c r="A2491" s="10" t="s">
        <v>2983</v>
      </c>
      <c r="B2491" s="10" t="s">
        <v>2984</v>
      </c>
      <c r="C2491" s="10" t="n">
        <v>0</v>
      </c>
      <c r="D2491" s="10" t="n">
        <v>0</v>
      </c>
      <c r="E2491" s="6" t="n">
        <f>SUM(C2491,D2491)/2</f>
        <v>0</v>
      </c>
      <c r="F2491" s="18" t="n">
        <v>0</v>
      </c>
      <c r="G2491" s="18" t="n">
        <v>0</v>
      </c>
      <c r="H2491" s="6" t="n">
        <f>SUM(F2491,G2491)/2</f>
        <v>0</v>
      </c>
    </row>
    <row r="2492" s="18" customFormat="1" ht="14.399999999999999" customHeight="1">
      <c r="A2492" s="10" t="s">
        <v>2296</v>
      </c>
      <c r="B2492" s="10" t="s">
        <v>2297</v>
      </c>
      <c r="C2492" s="10" t="n">
        <v>3</v>
      </c>
      <c r="D2492" s="10" t="n">
        <v>5</v>
      </c>
      <c r="E2492" s="6" t="n">
        <f>SUM(C2492,D2492)/2</f>
        <v>4</v>
      </c>
      <c r="F2492" s="18" t="n">
        <v>4</v>
      </c>
      <c r="G2492" s="18" t="n">
        <v>6</v>
      </c>
      <c r="H2492" s="6" t="n">
        <f>SUM(F2492,G2492)/2</f>
        <v>5</v>
      </c>
    </row>
    <row r="2493" s="18" customFormat="1" ht="14.399999999999999" customHeight="1">
      <c r="A2493" s="10" t="s">
        <v>5320</v>
      </c>
      <c r="B2493" s="10" t="s">
        <v>5321</v>
      </c>
      <c r="C2493" s="13" t="n">
        <v>1179</v>
      </c>
      <c r="D2493" s="13" t="n">
        <v>1885</v>
      </c>
      <c r="E2493" s="6" t="n">
        <f>SUM(C2493,D2493)/2</f>
        <v>1532</v>
      </c>
      <c r="F2493" s="18" t="n">
        <v>196</v>
      </c>
      <c r="G2493" s="18" t="n">
        <v>264</v>
      </c>
      <c r="H2493" s="6" t="n">
        <f>SUM(F2493,G2493)/2</f>
        <v>230</v>
      </c>
    </row>
    <row r="2494" s="18" customFormat="1" ht="14.399999999999999" customHeight="1">
      <c r="A2494" s="10" t="s">
        <v>6759</v>
      </c>
      <c r="B2494" s="10" t="s">
        <v>6760</v>
      </c>
      <c r="C2494" s="13" t="n">
        <v>1993</v>
      </c>
      <c r="D2494" s="13" t="n">
        <v>3183</v>
      </c>
      <c r="E2494" s="6" t="n">
        <f>SUM(C2494,D2494)/2</f>
        <v>2588</v>
      </c>
      <c r="F2494" s="12" t="n">
        <v>5949</v>
      </c>
      <c r="G2494" s="12" t="n">
        <v>8670</v>
      </c>
      <c r="H2494" s="6" t="n">
        <f>SUM(F2494,G2494)/2</f>
        <v>7309.5</v>
      </c>
    </row>
    <row r="2495" s="18" customFormat="1" ht="14.399999999999999" customHeight="1">
      <c r="A2495" s="10" t="s">
        <v>3679</v>
      </c>
      <c r="B2495" s="10" t="s">
        <v>3680</v>
      </c>
      <c r="C2495" s="13" t="n">
        <v>65226</v>
      </c>
      <c r="D2495" s="13" t="n">
        <v>104192</v>
      </c>
      <c r="E2495" s="6" t="n">
        <f>SUM(C2495,D2495)/2</f>
        <v>84709</v>
      </c>
      <c r="F2495" s="12" t="n">
        <v>15084</v>
      </c>
      <c r="G2495" s="12" t="n">
        <v>19471</v>
      </c>
      <c r="H2495" s="6" t="n">
        <f>SUM(F2495,G2495)/2</f>
        <v>17277.5</v>
      </c>
    </row>
    <row r="2496" s="18" customFormat="1" ht="14.399999999999999" customHeight="1">
      <c r="A2496" s="10" t="s">
        <v>1377</v>
      </c>
      <c r="B2496" s="10" t="s">
        <v>1378</v>
      </c>
      <c r="C2496" s="10" t="n">
        <v>310</v>
      </c>
      <c r="D2496" s="10" t="n">
        <v>494</v>
      </c>
      <c r="E2496" s="6" t="n">
        <f>SUM(C2496,D2496)/2</f>
        <v>402</v>
      </c>
      <c r="F2496" s="18" t="n">
        <v>8</v>
      </c>
      <c r="G2496" s="18" t="n">
        <v>32</v>
      </c>
      <c r="H2496" s="6" t="n">
        <f>SUM(F2496,G2496)/2</f>
        <v>20</v>
      </c>
    </row>
    <row r="2497" s="18" customFormat="1" ht="14.399999999999999" customHeight="1">
      <c r="A2497" s="10" t="s">
        <v>6761</v>
      </c>
      <c r="B2497" s="10" t="s">
        <v>6762</v>
      </c>
      <c r="C2497" s="13" t="n">
        <v>41505</v>
      </c>
      <c r="D2497" s="13" t="n">
        <v>66299</v>
      </c>
      <c r="E2497" s="6" t="n">
        <f>SUM(C2497,D2497)/2</f>
        <v>53902</v>
      </c>
      <c r="F2497" s="12" t="n">
        <v>51442</v>
      </c>
      <c r="G2497" s="12" t="n">
        <v>72518</v>
      </c>
      <c r="H2497" s="6" t="n">
        <f>SUM(F2497,G2497)/2</f>
        <v>61980</v>
      </c>
    </row>
    <row r="2498" s="18" customFormat="1" ht="14.399999999999999" customHeight="1">
      <c r="A2498" s="10" t="s">
        <v>6763</v>
      </c>
      <c r="B2498" s="10" t="s">
        <v>6764</v>
      </c>
      <c r="C2498" s="13" t="n">
        <v>8245</v>
      </c>
      <c r="D2498" s="13" t="n">
        <v>13175</v>
      </c>
      <c r="E2498" s="6" t="n">
        <f>SUM(C2498,D2498)/2</f>
        <v>10710</v>
      </c>
      <c r="F2498" s="12" t="n">
        <v>1744</v>
      </c>
      <c r="G2498" s="12" t="n">
        <v>2210</v>
      </c>
      <c r="H2498" s="6" t="n">
        <f>SUM(F2498,G2498)/2</f>
        <v>1977</v>
      </c>
    </row>
    <row r="2499" s="18" customFormat="1" ht="14.399999999999999" customHeight="1">
      <c r="A2499" s="10" t="s">
        <v>4325</v>
      </c>
      <c r="B2499" s="10" t="s">
        <v>4326</v>
      </c>
      <c r="C2499" s="13" t="n">
        <v>19428</v>
      </c>
      <c r="D2499" s="13" t="n">
        <v>31034</v>
      </c>
      <c r="E2499" s="6" t="n">
        <f>SUM(C2499,D2499)/2</f>
        <v>25231</v>
      </c>
      <c r="F2499" s="12" t="n">
        <v>11486</v>
      </c>
      <c r="G2499" s="12" t="n">
        <v>13848</v>
      </c>
      <c r="H2499" s="6" t="n">
        <f>SUM(F2499,G2499)/2</f>
        <v>12667</v>
      </c>
    </row>
    <row r="2500" s="18" customFormat="1" ht="14.399999999999999" customHeight="1">
      <c r="A2500" s="10" t="s">
        <v>3449</v>
      </c>
      <c r="B2500" s="10" t="s">
        <v>3450</v>
      </c>
      <c r="C2500" s="13" t="n">
        <v>63381</v>
      </c>
      <c r="D2500" s="13" t="n">
        <v>101245</v>
      </c>
      <c r="E2500" s="6" t="n">
        <f>SUM(C2500,D2500)/2</f>
        <v>82313</v>
      </c>
      <c r="F2500" s="12" t="n">
        <v>24948</v>
      </c>
      <c r="G2500" s="12" t="n">
        <v>29123</v>
      </c>
      <c r="H2500" s="6" t="n">
        <f>SUM(F2500,G2500)/2</f>
        <v>27035.5</v>
      </c>
    </row>
    <row r="2501" s="18" customFormat="1" ht="14.399999999999999" customHeight="1">
      <c r="A2501" s="10" t="s">
        <v>3685</v>
      </c>
      <c r="B2501" s="10" t="s">
        <v>3686</v>
      </c>
      <c r="C2501" s="13" t="n">
        <v>46660</v>
      </c>
      <c r="D2501" s="13" t="n">
        <v>74534</v>
      </c>
      <c r="E2501" s="6" t="n">
        <f>SUM(C2501,D2501)/2</f>
        <v>60597</v>
      </c>
      <c r="F2501" s="12" t="n">
        <v>18748</v>
      </c>
      <c r="G2501" s="12" t="n">
        <v>25381</v>
      </c>
      <c r="H2501" s="6" t="n">
        <f>SUM(F2501,G2501)/2</f>
        <v>22064.5</v>
      </c>
    </row>
    <row r="2502" s="18" customFormat="1" ht="14.399999999999999" customHeight="1">
      <c r="A2502" s="10" t="s">
        <v>3699</v>
      </c>
      <c r="B2502" s="10" t="s">
        <v>3700</v>
      </c>
      <c r="C2502" s="13" t="n">
        <v>51197</v>
      </c>
      <c r="D2502" s="13" t="n">
        <v>81781</v>
      </c>
      <c r="E2502" s="6" t="n">
        <f>SUM(C2502,D2502)/2</f>
        <v>66489</v>
      </c>
      <c r="F2502" s="12" t="n">
        <v>15845</v>
      </c>
      <c r="G2502" s="12" t="n">
        <v>24197</v>
      </c>
      <c r="H2502" s="6" t="n">
        <f>SUM(F2502,G2502)/2</f>
        <v>20021</v>
      </c>
    </row>
    <row r="2503" s="18" customFormat="1" ht="14.399999999999999" customHeight="1">
      <c r="A2503" s="10" t="s">
        <v>4153</v>
      </c>
      <c r="B2503" s="10" t="s">
        <v>4154</v>
      </c>
      <c r="C2503" s="13" t="n">
        <v>17693</v>
      </c>
      <c r="D2503" s="13" t="n">
        <v>28265</v>
      </c>
      <c r="E2503" s="6" t="n">
        <f>SUM(C2503,D2503)/2</f>
        <v>22979</v>
      </c>
      <c r="F2503" s="12" t="n">
        <v>13310</v>
      </c>
      <c r="G2503" s="12" t="n">
        <v>19035</v>
      </c>
      <c r="H2503" s="6" t="n">
        <f>SUM(F2503,G2503)/2</f>
        <v>16172.5</v>
      </c>
    </row>
    <row r="2504" s="18" customFormat="1" ht="14.399999999999999" customHeight="1">
      <c r="A2504" s="10" t="s">
        <v>1443</v>
      </c>
      <c r="B2504" s="10" t="s">
        <v>1444</v>
      </c>
      <c r="C2504" s="10" t="n">
        <v>37</v>
      </c>
      <c r="D2504" s="10" t="n">
        <v>57</v>
      </c>
      <c r="E2504" s="6" t="n">
        <f>SUM(C2504,D2504)/2</f>
        <v>47</v>
      </c>
      <c r="F2504" s="18" t="n">
        <v>0</v>
      </c>
      <c r="G2504" s="18" t="n">
        <v>0</v>
      </c>
      <c r="H2504" s="6" t="n">
        <f>SUM(F2504,G2504)/2</f>
        <v>0</v>
      </c>
    </row>
    <row r="2505" s="18" customFormat="1" ht="14.399999999999999" customHeight="1">
      <c r="A2505" s="10" t="s">
        <v>4581</v>
      </c>
      <c r="B2505" s="10" t="s">
        <v>4582</v>
      </c>
      <c r="C2505" s="13" t="n">
        <v>27410</v>
      </c>
      <c r="D2505" s="13" t="n">
        <v>43786</v>
      </c>
      <c r="E2505" s="6" t="n">
        <f>SUM(C2505,D2505)/2</f>
        <v>35598</v>
      </c>
      <c r="F2505" s="12" t="n">
        <v>5184</v>
      </c>
      <c r="G2505" s="12" t="n">
        <v>8538</v>
      </c>
      <c r="H2505" s="6" t="n">
        <f>SUM(F2505,G2505)/2</f>
        <v>6861</v>
      </c>
    </row>
    <row r="2506" s="18" customFormat="1" ht="14.399999999999999" customHeight="1">
      <c r="A2506" s="10" t="s">
        <v>4039</v>
      </c>
      <c r="B2506" s="10" t="s">
        <v>4040</v>
      </c>
      <c r="C2506" s="13" t="n">
        <v>22294</v>
      </c>
      <c r="D2506" s="13" t="n">
        <v>35612</v>
      </c>
      <c r="E2506" s="6" t="n">
        <f>SUM(C2506,D2506)/2</f>
        <v>28953</v>
      </c>
      <c r="F2506" s="12" t="n">
        <v>14088</v>
      </c>
      <c r="G2506" s="12" t="n">
        <v>21858</v>
      </c>
      <c r="H2506" s="6" t="n">
        <f>SUM(F2506,G2506)/2</f>
        <v>17973</v>
      </c>
    </row>
    <row r="2507" s="18" customFormat="1" ht="14.399999999999999" customHeight="1">
      <c r="A2507" s="10" t="s">
        <v>5189</v>
      </c>
      <c r="B2507" s="10" t="s">
        <v>5190</v>
      </c>
      <c r="C2507" s="13" t="n">
        <v>4283</v>
      </c>
      <c r="D2507" s="13" t="n">
        <v>6839</v>
      </c>
      <c r="E2507" s="6" t="n">
        <f>SUM(C2507,D2507)/2</f>
        <v>5561</v>
      </c>
      <c r="F2507" s="12" t="n">
        <v>4777</v>
      </c>
      <c r="G2507" s="12" t="n">
        <v>5493</v>
      </c>
      <c r="H2507" s="6" t="n">
        <f>SUM(F2507,G2507)/2</f>
        <v>5135</v>
      </c>
    </row>
    <row r="2508" s="18" customFormat="1" ht="14.399999999999999" customHeight="1">
      <c r="A2508" s="10" t="s">
        <v>6765</v>
      </c>
      <c r="B2508" s="10" t="s">
        <v>6766</v>
      </c>
      <c r="C2508" s="10" t="n">
        <v>0</v>
      </c>
      <c r="D2508" s="10" t="n">
        <v>0</v>
      </c>
      <c r="E2508" s="6" t="n">
        <f>SUM(C2508,D2508)/2</f>
        <v>0</v>
      </c>
      <c r="F2508" s="18" t="n">
        <v>0</v>
      </c>
      <c r="G2508" s="18" t="n">
        <v>0</v>
      </c>
      <c r="H2508" s="6" t="n">
        <f>SUM(F2508,G2508)/2</f>
        <v>0</v>
      </c>
    </row>
    <row r="2509" s="18" customFormat="1" ht="14.399999999999999" customHeight="1">
      <c r="A2509" s="10" t="s">
        <v>2985</v>
      </c>
      <c r="B2509" s="10" t="s">
        <v>2986</v>
      </c>
      <c r="C2509" s="10" t="n">
        <v>0</v>
      </c>
      <c r="D2509" s="10" t="n">
        <v>0</v>
      </c>
      <c r="E2509" s="6" t="n">
        <f>SUM(C2509,D2509)/2</f>
        <v>0</v>
      </c>
      <c r="F2509" s="18" t="n">
        <v>0</v>
      </c>
      <c r="G2509" s="18" t="n">
        <v>0</v>
      </c>
      <c r="H2509" s="6" t="n">
        <f>SUM(F2509,G2509)/2</f>
        <v>0</v>
      </c>
    </row>
    <row r="2510" s="18" customFormat="1" ht="14.399999999999999" customHeight="1">
      <c r="A2510" s="10" t="s">
        <v>4895</v>
      </c>
      <c r="B2510" s="10" t="s">
        <v>4896</v>
      </c>
      <c r="C2510" s="13" t="n">
        <v>6346</v>
      </c>
      <c r="D2510" s="13" t="n">
        <v>10138</v>
      </c>
      <c r="E2510" s="6" t="n">
        <f>SUM(C2510,D2510)/2</f>
        <v>8242</v>
      </c>
      <c r="F2510" s="12" t="n">
        <v>8674</v>
      </c>
      <c r="G2510" s="12" t="n">
        <v>9654</v>
      </c>
      <c r="H2510" s="6" t="n">
        <f>SUM(F2510,G2510)/2</f>
        <v>9164</v>
      </c>
    </row>
    <row r="2511" s="18" customFormat="1" ht="14.399999999999999" customHeight="1">
      <c r="A2511" s="10" t="s">
        <v>6767</v>
      </c>
      <c r="B2511" s="10" t="s">
        <v>6768</v>
      </c>
      <c r="C2511" s="13" t="n">
        <v>98529</v>
      </c>
      <c r="D2511" s="13" t="n">
        <v>157393</v>
      </c>
      <c r="E2511" s="6" t="n">
        <f>SUM(C2511,D2511)/2</f>
        <v>127961</v>
      </c>
      <c r="F2511" s="12" t="n">
        <v>17335</v>
      </c>
      <c r="G2511" s="12" t="n">
        <v>26852</v>
      </c>
      <c r="H2511" s="6" t="n">
        <f>SUM(F2511,G2511)/2</f>
        <v>22093.5</v>
      </c>
    </row>
    <row r="2512" s="18" customFormat="1" ht="14.399999999999999" customHeight="1">
      <c r="A2512" s="10" t="s">
        <v>1346</v>
      </c>
      <c r="B2512" s="10" t="s">
        <v>1347</v>
      </c>
      <c r="C2512" s="10" t="n">
        <v>236</v>
      </c>
      <c r="D2512" s="10" t="n">
        <v>378</v>
      </c>
      <c r="E2512" s="6" t="n">
        <f>SUM(C2512,D2512)/2</f>
        <v>307</v>
      </c>
      <c r="F2512" s="18" t="n">
        <v>2</v>
      </c>
      <c r="G2512" s="18" t="n">
        <v>2</v>
      </c>
      <c r="H2512" s="6" t="n">
        <f>SUM(F2512,G2512)/2</f>
        <v>2</v>
      </c>
    </row>
    <row r="2513" s="18" customFormat="1" ht="14.399999999999999" customHeight="1">
      <c r="A2513" s="10" t="s">
        <v>1589</v>
      </c>
      <c r="B2513" s="10" t="s">
        <v>1590</v>
      </c>
      <c r="C2513" s="13" t="n">
        <v>231472</v>
      </c>
      <c r="D2513" s="13" t="n">
        <v>369754</v>
      </c>
      <c r="E2513" s="6" t="n">
        <f>SUM(C2513,D2513)/2</f>
        <v>300613</v>
      </c>
      <c r="F2513" s="12" t="n">
        <v>53646</v>
      </c>
      <c r="G2513" s="12" t="n">
        <v>65830</v>
      </c>
      <c r="H2513" s="6" t="n">
        <f>SUM(F2513,G2513)/2</f>
        <v>59738</v>
      </c>
    </row>
    <row r="2514" s="18" customFormat="1" ht="14.399999999999999" customHeight="1">
      <c r="A2514" s="10" t="s">
        <v>2492</v>
      </c>
      <c r="B2514" s="10" t="s">
        <v>2493</v>
      </c>
      <c r="C2514" s="10" t="n">
        <v>2</v>
      </c>
      <c r="D2514" s="10" t="n">
        <v>4</v>
      </c>
      <c r="E2514" s="6" t="n">
        <f>SUM(C2514,D2514)/2</f>
        <v>3</v>
      </c>
      <c r="F2514" s="18" t="n">
        <v>2</v>
      </c>
      <c r="G2514" s="18" t="n">
        <v>3</v>
      </c>
      <c r="H2514" s="6" t="n">
        <f>SUM(F2514,G2514)/2</f>
        <v>2.5</v>
      </c>
    </row>
    <row r="2515" s="18" customFormat="1" ht="14.399999999999999" customHeight="1">
      <c r="A2515" s="10" t="s">
        <v>1288</v>
      </c>
      <c r="B2515" s="10" t="s">
        <v>1289</v>
      </c>
      <c r="C2515" s="10" t="n">
        <v>42</v>
      </c>
      <c r="D2515" s="10" t="n">
        <v>68</v>
      </c>
      <c r="E2515" s="6" t="n">
        <f>SUM(C2515,D2515)/2</f>
        <v>55</v>
      </c>
      <c r="F2515" s="18" t="n">
        <v>88</v>
      </c>
      <c r="G2515" s="18" t="n">
        <v>101</v>
      </c>
      <c r="H2515" s="6" t="n">
        <f>SUM(F2515,G2515)/2</f>
        <v>94.5</v>
      </c>
    </row>
    <row r="2516" s="18" customFormat="1" ht="14.399999999999999" customHeight="1">
      <c r="A2516" s="10" t="s">
        <v>2987</v>
      </c>
      <c r="B2516" s="10" t="s">
        <v>2988</v>
      </c>
      <c r="C2516" s="10" t="n">
        <v>0</v>
      </c>
      <c r="D2516" s="10" t="n">
        <v>0</v>
      </c>
      <c r="E2516" s="6" t="n">
        <f>SUM(C2516,D2516)/2</f>
        <v>0</v>
      </c>
      <c r="F2516" s="18" t="n">
        <v>0</v>
      </c>
      <c r="G2516" s="18" t="n">
        <v>0</v>
      </c>
      <c r="H2516" s="6" t="n">
        <f>SUM(F2516,G2516)/2</f>
        <v>0</v>
      </c>
    </row>
    <row r="2517" s="18" customFormat="1" ht="14.399999999999999" customHeight="1">
      <c r="A2517" s="10" t="s">
        <v>5157</v>
      </c>
      <c r="B2517" s="10" t="s">
        <v>5158</v>
      </c>
      <c r="C2517" s="13" t="n">
        <v>12924</v>
      </c>
      <c r="D2517" s="13" t="n">
        <v>20648</v>
      </c>
      <c r="E2517" s="6" t="n">
        <f>SUM(C2517,D2517)/2</f>
        <v>16786</v>
      </c>
      <c r="F2517" s="12" t="n">
        <v>3195</v>
      </c>
      <c r="G2517" s="12" t="n">
        <v>3707</v>
      </c>
      <c r="H2517" s="6" t="n">
        <f>SUM(F2517,G2517)/2</f>
        <v>3451</v>
      </c>
    </row>
    <row r="2518" s="18" customFormat="1" ht="14.399999999999999" customHeight="1">
      <c r="A2518" s="10" t="s">
        <v>1893</v>
      </c>
      <c r="B2518" s="10" t="s">
        <v>1894</v>
      </c>
      <c r="C2518" s="10" t="n">
        <v>1</v>
      </c>
      <c r="D2518" s="10" t="n">
        <v>1</v>
      </c>
      <c r="E2518" s="6" t="n">
        <f>SUM(C2518,D2518)/2</f>
        <v>1</v>
      </c>
      <c r="F2518" s="18" t="n">
        <v>15</v>
      </c>
      <c r="G2518" s="18" t="n">
        <v>20</v>
      </c>
      <c r="H2518" s="6" t="n">
        <f>SUM(F2518,G2518)/2</f>
        <v>17.5</v>
      </c>
    </row>
    <row r="2519" s="18" customFormat="1" ht="14.399999999999999" customHeight="1">
      <c r="A2519" s="10" t="s">
        <v>6769</v>
      </c>
      <c r="B2519" s="10" t="s">
        <v>6770</v>
      </c>
      <c r="C2519" s="13" t="n">
        <v>26268</v>
      </c>
      <c r="D2519" s="13" t="n">
        <v>41958</v>
      </c>
      <c r="E2519" s="6" t="n">
        <f>SUM(C2519,D2519)/2</f>
        <v>34113</v>
      </c>
      <c r="F2519" s="12" t="n">
        <v>5640</v>
      </c>
      <c r="G2519" s="12" t="n">
        <v>8325</v>
      </c>
      <c r="H2519" s="6" t="n">
        <f>SUM(F2519,G2519)/2</f>
        <v>6982.5</v>
      </c>
    </row>
    <row r="2520" s="18" customFormat="1" ht="14.399999999999999" customHeight="1">
      <c r="A2520" s="10" t="s">
        <v>1484</v>
      </c>
      <c r="B2520" s="10" t="s">
        <v>1485</v>
      </c>
      <c r="C2520" s="10" t="n">
        <v>1</v>
      </c>
      <c r="D2520" s="10" t="n">
        <v>1</v>
      </c>
      <c r="E2520" s="6" t="n">
        <f>SUM(C2520,D2520)/2</f>
        <v>1</v>
      </c>
      <c r="F2520" s="18" t="n">
        <v>7</v>
      </c>
      <c r="G2520" s="18" t="n">
        <v>11</v>
      </c>
      <c r="H2520" s="6" t="n">
        <f>SUM(F2520,G2520)/2</f>
        <v>9</v>
      </c>
    </row>
    <row r="2521" s="18" customFormat="1" ht="14.399999999999999" customHeight="1">
      <c r="A2521" s="10" t="s">
        <v>2614</v>
      </c>
      <c r="B2521" s="10" t="s">
        <v>2615</v>
      </c>
      <c r="C2521" s="10" t="n">
        <v>0</v>
      </c>
      <c r="D2521" s="10" t="n">
        <v>0</v>
      </c>
      <c r="E2521" s="6" t="n">
        <f>SUM(C2521,D2521)/2</f>
        <v>0</v>
      </c>
      <c r="F2521" s="18" t="n">
        <v>1</v>
      </c>
      <c r="G2521" s="18" t="n">
        <v>2</v>
      </c>
      <c r="H2521" s="6" t="n">
        <f>SUM(F2521,G2521)/2</f>
        <v>1.5</v>
      </c>
    </row>
    <row r="2522" s="18" customFormat="1" ht="14.399999999999999" customHeight="1">
      <c r="A2522" s="10" t="s">
        <v>3795</v>
      </c>
      <c r="B2522" s="10" t="s">
        <v>6771</v>
      </c>
      <c r="C2522" s="13" t="n">
        <v>43958</v>
      </c>
      <c r="D2522" s="13" t="n">
        <v>70220</v>
      </c>
      <c r="E2522" s="6" t="n">
        <f>SUM(C2522,D2522)/2</f>
        <v>57089</v>
      </c>
      <c r="F2522" s="12" t="n">
        <v>14554</v>
      </c>
      <c r="G2522" s="12" t="n">
        <v>21552</v>
      </c>
      <c r="H2522" s="6" t="n">
        <f>SUM(F2522,G2522)/2</f>
        <v>18053</v>
      </c>
    </row>
    <row r="2523" s="18" customFormat="1" ht="14.399999999999999" customHeight="1">
      <c r="A2523" s="10" t="s">
        <v>4171</v>
      </c>
      <c r="B2523" s="10" t="s">
        <v>6772</v>
      </c>
      <c r="C2523" s="13" t="n">
        <v>26185</v>
      </c>
      <c r="D2523" s="13" t="n">
        <v>41831</v>
      </c>
      <c r="E2523" s="6" t="n">
        <f>SUM(C2523,D2523)/2</f>
        <v>34008</v>
      </c>
      <c r="F2523" s="12" t="n">
        <v>12644</v>
      </c>
      <c r="G2523" s="12" t="n">
        <v>14418</v>
      </c>
      <c r="H2523" s="6" t="n">
        <f>SUM(F2523,G2523)/2</f>
        <v>13531</v>
      </c>
    </row>
    <row r="2524" s="18" customFormat="1" ht="14.399999999999999" customHeight="1">
      <c r="A2524" s="10" t="s">
        <v>4855</v>
      </c>
      <c r="B2524" s="10" t="s">
        <v>6773</v>
      </c>
      <c r="C2524" s="13" t="n">
        <v>4760</v>
      </c>
      <c r="D2524" s="13" t="n">
        <v>7604</v>
      </c>
      <c r="E2524" s="6" t="n">
        <f>SUM(C2524,D2524)/2</f>
        <v>6182</v>
      </c>
      <c r="F2524" s="12" t="n">
        <v>7756</v>
      </c>
      <c r="G2524" s="12" t="n">
        <v>12117</v>
      </c>
      <c r="H2524" s="6" t="n">
        <f>SUM(F2524,G2524)/2</f>
        <v>9936.5</v>
      </c>
    </row>
    <row r="2525" s="18" customFormat="1" ht="14.399999999999999" customHeight="1">
      <c r="A2525" s="10" t="s">
        <v>5227</v>
      </c>
      <c r="B2525" s="10" t="s">
        <v>6774</v>
      </c>
      <c r="C2525" s="13" t="n">
        <v>6945</v>
      </c>
      <c r="D2525" s="13" t="n">
        <v>11091</v>
      </c>
      <c r="E2525" s="6" t="n">
        <f>SUM(C2525,D2525)/2</f>
        <v>9018</v>
      </c>
      <c r="F2525" s="18" t="n">
        <v>1747</v>
      </c>
      <c r="G2525" s="18" t="n">
        <v>2792</v>
      </c>
      <c r="H2525" s="6" t="n">
        <f>SUM(F2525,G2525)/2</f>
        <v>2269.5</v>
      </c>
    </row>
    <row r="2526" s="18" customFormat="1" ht="14.399999999999999" customHeight="1">
      <c r="A2526" s="10" t="s">
        <v>4903</v>
      </c>
      <c r="B2526" s="10" t="s">
        <v>6775</v>
      </c>
      <c r="C2526" s="13" t="n">
        <v>11363</v>
      </c>
      <c r="D2526" s="13" t="n">
        <v>18149</v>
      </c>
      <c r="E2526" s="6" t="n">
        <f>SUM(C2526,D2526)/2</f>
        <v>14756</v>
      </c>
      <c r="F2526" s="12" t="n">
        <v>6703</v>
      </c>
      <c r="G2526" s="12" t="n">
        <v>8649</v>
      </c>
      <c r="H2526" s="6" t="n">
        <f>SUM(F2526,G2526)/2</f>
        <v>7676</v>
      </c>
    </row>
    <row r="2527" s="18" customFormat="1" ht="14.399999999999999" customHeight="1">
      <c r="A2527" s="10" t="s">
        <v>4715</v>
      </c>
      <c r="B2527" s="10" t="s">
        <v>6776</v>
      </c>
      <c r="C2527" s="13" t="n">
        <v>14774</v>
      </c>
      <c r="D2527" s="13" t="n">
        <v>23600</v>
      </c>
      <c r="E2527" s="6" t="n">
        <f>SUM(C2527,D2527)/2</f>
        <v>19187</v>
      </c>
      <c r="F2527" s="12" t="n">
        <v>7121</v>
      </c>
      <c r="G2527" s="12" t="n">
        <v>10243</v>
      </c>
      <c r="H2527" s="6" t="n">
        <f>SUM(F2527,G2527)/2</f>
        <v>8682</v>
      </c>
    </row>
    <row r="2528" s="18" customFormat="1" ht="14.399999999999999" customHeight="1">
      <c r="A2528" s="10" t="s">
        <v>6777</v>
      </c>
      <c r="B2528" s="10" t="s">
        <v>6778</v>
      </c>
      <c r="C2528" s="13" t="n">
        <v>166842</v>
      </c>
      <c r="D2528" s="13" t="n">
        <v>266516</v>
      </c>
      <c r="E2528" s="6" t="n">
        <f>SUM(C2528,D2528)/2</f>
        <v>216679</v>
      </c>
      <c r="F2528" s="12" t="n">
        <v>73315</v>
      </c>
      <c r="G2528" s="12" t="n">
        <v>86884</v>
      </c>
      <c r="H2528" s="6" t="n">
        <f>SUM(F2528,G2528)/2</f>
        <v>80099.5</v>
      </c>
    </row>
    <row r="2529" s="18" customFormat="1" ht="14.399999999999999" customHeight="1">
      <c r="A2529" s="10" t="s">
        <v>6779</v>
      </c>
      <c r="B2529" s="10" t="s">
        <v>6780</v>
      </c>
      <c r="C2529" s="13" t="n">
        <v>30077</v>
      </c>
      <c r="D2529" s="13" t="n">
        <v>48043</v>
      </c>
      <c r="E2529" s="6" t="n">
        <f>SUM(C2529,D2529)/2</f>
        <v>39060</v>
      </c>
      <c r="F2529" s="12" t="n">
        <v>7970</v>
      </c>
      <c r="G2529" s="12" t="n">
        <v>10261</v>
      </c>
      <c r="H2529" s="6" t="n">
        <f>SUM(F2529,G2529)/2</f>
        <v>9115.5</v>
      </c>
    </row>
    <row r="2530" s="18" customFormat="1" ht="14.399999999999999" customHeight="1">
      <c r="A2530" s="10" t="s">
        <v>6781</v>
      </c>
      <c r="B2530" s="10" t="s">
        <v>6782</v>
      </c>
      <c r="C2530" s="13" t="n">
        <v>33670</v>
      </c>
      <c r="D2530" s="13" t="n">
        <v>53784</v>
      </c>
      <c r="E2530" s="6" t="n">
        <f>SUM(C2530,D2530)/2</f>
        <v>43727</v>
      </c>
      <c r="F2530" s="12" t="n">
        <v>8041</v>
      </c>
      <c r="G2530" s="12" t="n">
        <v>10199</v>
      </c>
      <c r="H2530" s="6" t="n">
        <f>SUM(F2530,G2530)/2</f>
        <v>9120</v>
      </c>
    </row>
    <row r="2531" s="18" customFormat="1" ht="14.399999999999999" customHeight="1">
      <c r="A2531" s="10" t="s">
        <v>6783</v>
      </c>
      <c r="B2531" s="10" t="s">
        <v>6784</v>
      </c>
      <c r="C2531" s="13" t="n">
        <v>8760</v>
      </c>
      <c r="D2531" s="13" t="n">
        <v>13994</v>
      </c>
      <c r="E2531" s="6" t="n">
        <f>SUM(C2531,D2531)/2</f>
        <v>11377</v>
      </c>
      <c r="F2531" s="12" t="n">
        <v>5762</v>
      </c>
      <c r="G2531" s="12" t="n">
        <v>7592</v>
      </c>
      <c r="H2531" s="6" t="n">
        <f>SUM(F2531,G2531)/2</f>
        <v>6677</v>
      </c>
    </row>
    <row r="2532" s="18" customFormat="1" ht="14.399999999999999" customHeight="1">
      <c r="A2532" s="10" t="s">
        <v>6785</v>
      </c>
      <c r="B2532" s="10" t="s">
        <v>6786</v>
      </c>
      <c r="C2532" s="13" t="n">
        <v>65020</v>
      </c>
      <c r="D2532" s="13" t="n">
        <v>103862</v>
      </c>
      <c r="E2532" s="6" t="n">
        <f>SUM(C2532,D2532)/2</f>
        <v>84441</v>
      </c>
      <c r="F2532" s="12" t="n">
        <v>17873</v>
      </c>
      <c r="G2532" s="12" t="n">
        <v>21051</v>
      </c>
      <c r="H2532" s="6" t="n">
        <f>SUM(F2532,G2532)/2</f>
        <v>19462</v>
      </c>
    </row>
    <row r="2533" s="18" customFormat="1" ht="14.399999999999999" customHeight="1">
      <c r="A2533" s="10" t="s">
        <v>6787</v>
      </c>
      <c r="B2533" s="10" t="s">
        <v>6788</v>
      </c>
      <c r="C2533" s="13" t="n">
        <v>9326</v>
      </c>
      <c r="D2533" s="13" t="n">
        <v>14898</v>
      </c>
      <c r="E2533" s="6" t="n">
        <f>SUM(C2533,D2533)/2</f>
        <v>12112</v>
      </c>
      <c r="F2533" s="12" t="n">
        <v>4215</v>
      </c>
      <c r="G2533" s="12" t="n">
        <v>5978</v>
      </c>
      <c r="H2533" s="6" t="n">
        <f>SUM(F2533,G2533)/2</f>
        <v>5096.5</v>
      </c>
    </row>
    <row r="2534" s="18" customFormat="1" ht="14.399999999999999" customHeight="1">
      <c r="A2534" s="10" t="s">
        <v>6789</v>
      </c>
      <c r="B2534" s="10" t="s">
        <v>6790</v>
      </c>
      <c r="C2534" s="13" t="n">
        <v>97757</v>
      </c>
      <c r="D2534" s="13" t="n">
        <v>156153</v>
      </c>
      <c r="E2534" s="6" t="n">
        <f>SUM(C2534,D2534)/2</f>
        <v>126955</v>
      </c>
      <c r="F2534" s="12" t="n">
        <v>12036</v>
      </c>
      <c r="G2534" s="12" t="n">
        <v>19709</v>
      </c>
      <c r="H2534" s="6" t="n">
        <f>SUM(F2534,G2534)/2</f>
        <v>15872.5</v>
      </c>
    </row>
    <row r="2535" s="18" customFormat="1" ht="14.399999999999999" customHeight="1">
      <c r="A2535" s="10" t="s">
        <v>6791</v>
      </c>
      <c r="B2535" s="10" t="s">
        <v>6792</v>
      </c>
      <c r="C2535" s="13" t="n">
        <v>2269910</v>
      </c>
      <c r="D2535" s="13" t="n">
        <v>3625960</v>
      </c>
      <c r="E2535" s="6" t="n">
        <f>SUM(C2535,D2535)/2</f>
        <v>2947935</v>
      </c>
      <c r="F2535" s="12" t="n">
        <v>351000</v>
      </c>
      <c r="G2535" s="12" t="n">
        <v>562578</v>
      </c>
      <c r="H2535" s="6" t="n">
        <f>SUM(F2535,G2535)/2</f>
        <v>456789</v>
      </c>
    </row>
    <row r="2536" s="18" customFormat="1" ht="14.399999999999999" customHeight="1">
      <c r="A2536" s="10" t="s">
        <v>3853</v>
      </c>
      <c r="B2536" s="10" t="s">
        <v>6793</v>
      </c>
      <c r="C2536" s="13" t="n">
        <v>46212</v>
      </c>
      <c r="D2536" s="13" t="n">
        <v>73816</v>
      </c>
      <c r="E2536" s="6" t="n">
        <f>SUM(C2536,D2536)/2</f>
        <v>60014</v>
      </c>
      <c r="F2536" s="12" t="n">
        <v>12927</v>
      </c>
      <c r="G2536" s="12" t="n">
        <v>18018</v>
      </c>
      <c r="H2536" s="6" t="n">
        <f>SUM(F2536,G2536)/2</f>
        <v>15472.5</v>
      </c>
    </row>
    <row r="2537" s="18" customFormat="1" ht="14.399999999999999" customHeight="1">
      <c r="A2537" s="10" t="s">
        <v>6794</v>
      </c>
      <c r="B2537" s="10" t="s">
        <v>6795</v>
      </c>
      <c r="C2537" s="13" t="n">
        <v>1359569</v>
      </c>
      <c r="D2537" s="13" t="n">
        <v>2171781</v>
      </c>
      <c r="E2537" s="6" t="n">
        <f>SUM(C2537,D2537)/2</f>
        <v>1765675</v>
      </c>
      <c r="F2537" s="12" t="n">
        <v>424897</v>
      </c>
      <c r="G2537" s="12" t="n">
        <v>650069</v>
      </c>
      <c r="H2537" s="6" t="n">
        <f>SUM(F2537,G2537)/2</f>
        <v>537483</v>
      </c>
    </row>
    <row r="2538" s="18" customFormat="1" ht="14.399999999999999" customHeight="1">
      <c r="A2538" s="10" t="s">
        <v>5099</v>
      </c>
      <c r="B2538" s="10" t="s">
        <v>6796</v>
      </c>
      <c r="C2538" s="13" t="n">
        <v>4677</v>
      </c>
      <c r="D2538" s="13" t="n">
        <v>7473</v>
      </c>
      <c r="E2538" s="6" t="n">
        <f>SUM(C2538,D2538)/2</f>
        <v>6075</v>
      </c>
      <c r="F2538" s="12" t="n">
        <v>5542</v>
      </c>
      <c r="G2538" s="12" t="n">
        <v>8172</v>
      </c>
      <c r="H2538" s="6" t="n">
        <f>SUM(F2538,G2538)/2</f>
        <v>6857</v>
      </c>
    </row>
    <row r="2539" s="18" customFormat="1" ht="14.399999999999999" customHeight="1">
      <c r="A2539" s="10" t="s">
        <v>6797</v>
      </c>
      <c r="B2539" s="10" t="s">
        <v>6798</v>
      </c>
      <c r="C2539" s="13" t="n">
        <v>19076</v>
      </c>
      <c r="D2539" s="13" t="n">
        <v>30472</v>
      </c>
      <c r="E2539" s="6" t="n">
        <f>SUM(C2539,D2539)/2</f>
        <v>24774</v>
      </c>
      <c r="F2539" s="12" t="n">
        <v>5922</v>
      </c>
      <c r="G2539" s="12" t="n">
        <v>8979</v>
      </c>
      <c r="H2539" s="6" t="n">
        <f>SUM(F2539,G2539)/2</f>
        <v>7450.5</v>
      </c>
    </row>
    <row r="2540" s="18" customFormat="1" ht="14.399999999999999" customHeight="1">
      <c r="A2540" s="10" t="s">
        <v>6799</v>
      </c>
      <c r="B2540" s="10" t="s">
        <v>6800</v>
      </c>
      <c r="C2540" s="13" t="n">
        <v>71757</v>
      </c>
      <c r="D2540" s="13" t="n">
        <v>114625</v>
      </c>
      <c r="E2540" s="6" t="n">
        <f>SUM(C2540,D2540)/2</f>
        <v>93191</v>
      </c>
      <c r="F2540" s="12" t="n">
        <v>30242</v>
      </c>
      <c r="G2540" s="12" t="n">
        <v>38321</v>
      </c>
      <c r="H2540" s="6" t="n">
        <f>SUM(F2540,G2540)/2</f>
        <v>34281.5</v>
      </c>
    </row>
    <row r="2541" s="18" customFormat="1" ht="14.399999999999999" customHeight="1">
      <c r="A2541" s="10" t="s">
        <v>6801</v>
      </c>
      <c r="B2541" s="10" t="s">
        <v>6802</v>
      </c>
      <c r="C2541" s="13" t="n">
        <v>503586</v>
      </c>
      <c r="D2541" s="13" t="n">
        <v>804432</v>
      </c>
      <c r="E2541" s="6" t="n">
        <f>SUM(C2541,D2541)/2</f>
        <v>654009</v>
      </c>
      <c r="F2541" s="12" t="n">
        <v>153205</v>
      </c>
      <c r="G2541" s="12" t="n">
        <v>221288</v>
      </c>
      <c r="H2541" s="6" t="n">
        <f>SUM(F2541,G2541)/2</f>
        <v>187246.5</v>
      </c>
    </row>
    <row r="2542" s="18" customFormat="1" ht="14.399999999999999" customHeight="1">
      <c r="A2542" s="10" t="s">
        <v>6803</v>
      </c>
      <c r="B2542" s="10" t="s">
        <v>6804</v>
      </c>
      <c r="C2542" s="13" t="n">
        <v>2362</v>
      </c>
      <c r="D2542" s="13" t="n">
        <v>3774</v>
      </c>
      <c r="E2542" s="6" t="n">
        <f>SUM(C2542,D2542)/2</f>
        <v>3068</v>
      </c>
      <c r="F2542" s="12" t="n">
        <v>7794</v>
      </c>
      <c r="G2542" s="12" t="n">
        <v>10483</v>
      </c>
      <c r="H2542" s="6" t="n">
        <f>SUM(F2542,G2542)/2</f>
        <v>9138.5</v>
      </c>
    </row>
    <row r="2543" s="18" customFormat="1" ht="14.399999999999999" customHeight="1">
      <c r="A2543" s="10" t="s">
        <v>6805</v>
      </c>
      <c r="B2543" s="10" t="s">
        <v>6806</v>
      </c>
      <c r="C2543" s="13" t="n">
        <v>12231</v>
      </c>
      <c r="D2543" s="13" t="n">
        <v>19537</v>
      </c>
      <c r="E2543" s="6" t="n">
        <f>SUM(C2543,D2543)/2</f>
        <v>15884</v>
      </c>
      <c r="F2543" s="12" t="n">
        <v>26410</v>
      </c>
      <c r="G2543" s="12" t="n">
        <v>34590</v>
      </c>
      <c r="H2543" s="6" t="n">
        <f>SUM(F2543,G2543)/2</f>
        <v>30500</v>
      </c>
    </row>
    <row r="2544" s="18" customFormat="1" ht="14.399999999999999" customHeight="1">
      <c r="A2544" s="10" t="s">
        <v>6807</v>
      </c>
      <c r="B2544" s="10" t="s">
        <v>6808</v>
      </c>
      <c r="C2544" s="13" t="n">
        <v>78829</v>
      </c>
      <c r="D2544" s="13" t="n">
        <v>125923</v>
      </c>
      <c r="E2544" s="6" t="n">
        <f>SUM(C2544,D2544)/2</f>
        <v>102376</v>
      </c>
      <c r="F2544" s="12" t="n">
        <v>18933</v>
      </c>
      <c r="G2544" s="12" t="n">
        <v>22859</v>
      </c>
      <c r="H2544" s="6" t="n">
        <f>SUM(F2544,G2544)/2</f>
        <v>20896</v>
      </c>
    </row>
    <row r="2545" s="18" customFormat="1" ht="14.399999999999999" customHeight="1">
      <c r="A2545" s="10" t="s">
        <v>6809</v>
      </c>
      <c r="B2545" s="10" t="s">
        <v>6810</v>
      </c>
      <c r="C2545" s="13" t="n">
        <v>63910</v>
      </c>
      <c r="D2545" s="13" t="n">
        <v>102090</v>
      </c>
      <c r="E2545" s="6" t="n">
        <f>SUM(C2545,D2545)/2</f>
        <v>83000</v>
      </c>
      <c r="F2545" s="12" t="n">
        <v>25970</v>
      </c>
      <c r="G2545" s="12" t="n">
        <v>36765</v>
      </c>
      <c r="H2545" s="6" t="n">
        <f>SUM(F2545,G2545)/2</f>
        <v>31367.5</v>
      </c>
    </row>
    <row r="2546" s="18" customFormat="1" ht="14.399999999999999" customHeight="1">
      <c r="A2546" s="10" t="s">
        <v>1881</v>
      </c>
      <c r="B2546" s="10" t="s">
        <v>6811</v>
      </c>
      <c r="C2546" s="10" t="n">
        <v>9</v>
      </c>
      <c r="D2546" s="10" t="n">
        <v>13</v>
      </c>
      <c r="E2546" s="6" t="n">
        <f>SUM(C2546,D2546)/2</f>
        <v>11</v>
      </c>
      <c r="F2546" s="18" t="n">
        <v>14</v>
      </c>
      <c r="G2546" s="18" t="n">
        <v>18</v>
      </c>
      <c r="H2546" s="6" t="n">
        <f>SUM(F2546,G2546)/2</f>
        <v>16</v>
      </c>
    </row>
    <row r="2547" s="18" customFormat="1" ht="14.399999999999999" customHeight="1">
      <c r="A2547" s="10" t="s">
        <v>6812</v>
      </c>
      <c r="B2547" s="10" t="s">
        <v>6813</v>
      </c>
      <c r="C2547" s="13" t="n">
        <v>5617</v>
      </c>
      <c r="D2547" s="13" t="n">
        <v>8973</v>
      </c>
      <c r="E2547" s="6" t="n">
        <f>SUM(C2547,D2547)/2</f>
        <v>7295</v>
      </c>
      <c r="F2547" s="12" t="n">
        <v>11111</v>
      </c>
      <c r="G2547" s="12" t="n">
        <v>15752</v>
      </c>
      <c r="H2547" s="6" t="n">
        <f>SUM(F2547,G2547)/2</f>
        <v>13431.5</v>
      </c>
    </row>
    <row r="2548" s="18" customFormat="1" ht="14.399999999999999" customHeight="1">
      <c r="A2548" s="10" t="s">
        <v>6814</v>
      </c>
      <c r="B2548" s="10" t="s">
        <v>6815</v>
      </c>
      <c r="C2548" s="13" t="n">
        <v>121233</v>
      </c>
      <c r="D2548" s="13" t="n">
        <v>193661</v>
      </c>
      <c r="E2548" s="6" t="n">
        <f>SUM(C2548,D2548)/2</f>
        <v>157447</v>
      </c>
      <c r="F2548" s="12" t="n">
        <v>27457</v>
      </c>
      <c r="G2548" s="12" t="n">
        <v>34568</v>
      </c>
      <c r="H2548" s="6" t="n">
        <f>SUM(F2548,G2548)/2</f>
        <v>31012.5</v>
      </c>
    </row>
    <row r="2549" s="18" customFormat="1" ht="14.399999999999999" customHeight="1">
      <c r="A2549" s="10" t="s">
        <v>4883</v>
      </c>
      <c r="B2549" s="10" t="s">
        <v>6816</v>
      </c>
      <c r="C2549" s="13" t="n">
        <v>7583</v>
      </c>
      <c r="D2549" s="13" t="n">
        <v>12113</v>
      </c>
      <c r="E2549" s="6" t="n">
        <f>SUM(C2549,D2549)/2</f>
        <v>9848</v>
      </c>
      <c r="F2549" s="12" t="n">
        <v>7410</v>
      </c>
      <c r="G2549" s="12" t="n">
        <v>10394</v>
      </c>
      <c r="H2549" s="6" t="n">
        <f>SUM(F2549,G2549)/2</f>
        <v>8902</v>
      </c>
    </row>
    <row r="2550" s="18" customFormat="1" ht="14.399999999999999" customHeight="1">
      <c r="A2550" s="10" t="s">
        <v>3999</v>
      </c>
      <c r="B2550" s="10" t="s">
        <v>6817</v>
      </c>
      <c r="C2550" s="13" t="n">
        <v>34307</v>
      </c>
      <c r="D2550" s="13" t="n">
        <v>54801</v>
      </c>
      <c r="E2550" s="6" t="n">
        <f>SUM(C2550,D2550)/2</f>
        <v>44554</v>
      </c>
      <c r="F2550" s="12" t="n">
        <v>13080</v>
      </c>
      <c r="G2550" s="12" t="n">
        <v>17574</v>
      </c>
      <c r="H2550" s="6" t="n">
        <f>SUM(F2550,G2550)/2</f>
        <v>15327</v>
      </c>
    </row>
    <row r="2551" s="18" customFormat="1" ht="14.399999999999999" customHeight="1">
      <c r="A2551" s="10" t="s">
        <v>6818</v>
      </c>
      <c r="B2551" s="10" t="s">
        <v>6819</v>
      </c>
      <c r="C2551" s="13" t="n">
        <v>50250</v>
      </c>
      <c r="D2551" s="13" t="n">
        <v>80270</v>
      </c>
      <c r="E2551" s="6" t="n">
        <f>SUM(C2551,D2551)/2</f>
        <v>65260</v>
      </c>
      <c r="F2551" s="12" t="n">
        <v>12014</v>
      </c>
      <c r="G2551" s="12" t="n">
        <v>16902</v>
      </c>
      <c r="H2551" s="6" t="n">
        <f>SUM(F2551,G2551)/2</f>
        <v>14458</v>
      </c>
    </row>
    <row r="2552" s="18" customFormat="1" ht="14.399999999999999" customHeight="1">
      <c r="A2552" s="10" t="s">
        <v>1607</v>
      </c>
      <c r="B2552" s="10" t="s">
        <v>6820</v>
      </c>
      <c r="C2552" s="10"/>
      <c r="D2552" s="10"/>
      <c r="E2552" s="6" t="n">
        <f>SUM(C2552,D2552)/2</f>
        <v>0</v>
      </c>
      <c r="F2552" s="12" t="n">
        <v>40970</v>
      </c>
      <c r="G2552" s="12" t="n">
        <v>77205</v>
      </c>
      <c r="H2552" s="6" t="n">
        <f>SUM(F2552,G2552)/2</f>
        <v>59087.5</v>
      </c>
    </row>
    <row r="2553" s="18" customFormat="1" ht="14.399999999999999" customHeight="1">
      <c r="A2553" s="10" t="s">
        <v>34</v>
      </c>
      <c r="B2553" s="10" t="s">
        <v>6821</v>
      </c>
      <c r="C2553" s="13" t="n">
        <v>1838921</v>
      </c>
      <c r="D2553" s="13" t="n">
        <v>2937501</v>
      </c>
      <c r="E2553" s="6" t="n">
        <f>SUM(C2553,D2553)/2</f>
        <v>2388211</v>
      </c>
      <c r="F2553" s="12" t="n">
        <v>1366344</v>
      </c>
      <c r="G2553" s="12" t="n">
        <v>2518280</v>
      </c>
      <c r="H2553" s="6" t="n">
        <f>SUM(F2553,G2553)/2</f>
        <v>1942312</v>
      </c>
    </row>
    <row r="2554" s="18" customFormat="1" ht="14.399999999999999" customHeight="1">
      <c r="A2554" s="10" t="s">
        <v>4163</v>
      </c>
      <c r="B2554" s="10" t="s">
        <v>6822</v>
      </c>
      <c r="C2554" s="13" t="n">
        <v>13560</v>
      </c>
      <c r="D2554" s="13" t="n">
        <v>21658</v>
      </c>
      <c r="E2554" s="6" t="n">
        <f>SUM(C2554,D2554)/2</f>
        <v>17609</v>
      </c>
      <c r="F2554" s="12" t="n">
        <v>13436</v>
      </c>
      <c r="G2554" s="12" t="n">
        <v>20789</v>
      </c>
      <c r="H2554" s="6" t="n">
        <f>SUM(F2554,G2554)/2</f>
        <v>17112.5</v>
      </c>
    </row>
    <row r="2555" s="18" customFormat="1" ht="14.399999999999999" customHeight="1">
      <c r="A2555" s="10" t="s">
        <v>6823</v>
      </c>
      <c r="B2555" s="10" t="s">
        <v>6824</v>
      </c>
      <c r="C2555" s="13" t="n">
        <v>638712</v>
      </c>
      <c r="D2555" s="13" t="n">
        <v>1020281</v>
      </c>
      <c r="E2555" s="6" t="n">
        <f>SUM(C2555,D2555)/2</f>
        <v>829496.5</v>
      </c>
      <c r="F2555" s="12" t="n">
        <v>28245</v>
      </c>
      <c r="G2555" s="12" t="n">
        <v>40993</v>
      </c>
      <c r="H2555" s="6" t="n">
        <f>SUM(F2555,G2555)/2</f>
        <v>34619</v>
      </c>
    </row>
    <row r="2556" s="18" customFormat="1" ht="14.399999999999999" customHeight="1">
      <c r="A2556" s="10" t="s">
        <v>1540</v>
      </c>
      <c r="B2556" s="10" t="s">
        <v>6825</v>
      </c>
      <c r="C2556" s="10" t="n">
        <v>18</v>
      </c>
      <c r="D2556" s="10" t="n">
        <v>30</v>
      </c>
      <c r="E2556" s="6" t="n">
        <f>SUM(C2556,D2556)/2</f>
        <v>24</v>
      </c>
      <c r="F2556" s="18" t="n">
        <v>18</v>
      </c>
      <c r="G2556" s="18" t="n">
        <v>27</v>
      </c>
      <c r="H2556" s="6" t="n">
        <f>SUM(F2556,G2556)/2</f>
        <v>22.5</v>
      </c>
    </row>
    <row r="2557" s="18" customFormat="1" ht="14.399999999999999" customHeight="1">
      <c r="A2557" s="10" t="s">
        <v>6826</v>
      </c>
      <c r="B2557" s="10" t="s">
        <v>6827</v>
      </c>
      <c r="C2557" s="13" t="n">
        <v>8737</v>
      </c>
      <c r="D2557" s="13" t="n">
        <v>13955</v>
      </c>
      <c r="E2557" s="6" t="n">
        <f>SUM(C2557,D2557)/2</f>
        <v>11346</v>
      </c>
      <c r="F2557" s="12" t="n">
        <v>2521</v>
      </c>
      <c r="G2557" s="12" t="n">
        <v>3897</v>
      </c>
      <c r="H2557" s="6" t="n">
        <f>SUM(F2557,G2557)/2</f>
        <v>3209</v>
      </c>
    </row>
    <row r="2558" s="18" customFormat="1" ht="14.399999999999999" customHeight="1">
      <c r="A2558" s="10" t="s">
        <v>6828</v>
      </c>
      <c r="B2558" s="10" t="s">
        <v>6829</v>
      </c>
      <c r="C2558" s="13" t="n">
        <v>20012</v>
      </c>
      <c r="D2558" s="13" t="n">
        <v>31969</v>
      </c>
      <c r="E2558" s="6" t="n">
        <f>SUM(C2558,D2558)/2</f>
        <v>25990.5</v>
      </c>
      <c r="F2558" s="12" t="n">
        <v>6485</v>
      </c>
      <c r="G2558" s="12" t="n">
        <v>8389</v>
      </c>
      <c r="H2558" s="6" t="n">
        <f>SUM(F2558,G2558)/2</f>
        <v>7437</v>
      </c>
    </row>
    <row r="2559" s="18" customFormat="1" ht="14.399999999999999" customHeight="1">
      <c r="A2559" s="10" t="s">
        <v>6830</v>
      </c>
      <c r="B2559" s="10" t="s">
        <v>6831</v>
      </c>
      <c r="C2559" s="13" t="n">
        <v>24512</v>
      </c>
      <c r="D2559" s="13" t="n">
        <v>39154</v>
      </c>
      <c r="E2559" s="6" t="n">
        <f>SUM(C2559,D2559)/2</f>
        <v>31833</v>
      </c>
      <c r="F2559" s="12" t="n">
        <v>6200</v>
      </c>
      <c r="G2559" s="12" t="n">
        <v>10112</v>
      </c>
      <c r="H2559" s="6" t="n">
        <f>SUM(F2559,G2559)/2</f>
        <v>8156</v>
      </c>
    </row>
    <row r="2560" s="18" customFormat="1" ht="14.399999999999999" customHeight="1">
      <c r="A2560" s="10" t="s">
        <v>2989</v>
      </c>
      <c r="B2560" s="10" t="s">
        <v>6832</v>
      </c>
      <c r="C2560" s="10"/>
      <c r="D2560" s="10"/>
      <c r="E2560" s="6" t="n">
        <f>SUM(C2560,D2560)/2</f>
        <v>0</v>
      </c>
      <c r="H2560" s="6" t="n">
        <f>SUM(F2560,G2560)/2</f>
        <v>0</v>
      </c>
    </row>
    <row r="2561" s="18" customFormat="1" ht="14.399999999999999" customHeight="1">
      <c r="A2561" s="10" t="s">
        <v>6833</v>
      </c>
      <c r="B2561" s="10" t="s">
        <v>6834</v>
      </c>
      <c r="C2561" s="13" t="n">
        <v>25729</v>
      </c>
      <c r="D2561" s="13" t="n">
        <v>41097</v>
      </c>
      <c r="E2561" s="6" t="n">
        <f>SUM(C2561,D2561)/2</f>
        <v>33413</v>
      </c>
      <c r="F2561" s="12" t="n">
        <v>8261</v>
      </c>
      <c r="G2561" s="12" t="n">
        <v>11689</v>
      </c>
      <c r="H2561" s="6" t="n">
        <f>SUM(F2561,G2561)/2</f>
        <v>9975</v>
      </c>
    </row>
    <row r="2562" s="18" customFormat="1" ht="14.399999999999999" customHeight="1">
      <c r="A2562" s="10" t="s">
        <v>3937</v>
      </c>
      <c r="B2562" s="10" t="s">
        <v>6835</v>
      </c>
      <c r="C2562" s="13" t="n">
        <v>45243</v>
      </c>
      <c r="D2562" s="13" t="n">
        <v>72271</v>
      </c>
      <c r="E2562" s="6" t="n">
        <f>SUM(C2562,D2562)/2</f>
        <v>58757</v>
      </c>
      <c r="F2562" s="12" t="n">
        <v>10945</v>
      </c>
      <c r="G2562" s="12" t="n">
        <v>15870</v>
      </c>
      <c r="H2562" s="6" t="n">
        <f>SUM(F2562,G2562)/2</f>
        <v>13407.5</v>
      </c>
    </row>
    <row r="2563" s="18" customFormat="1" ht="14.399999999999999" customHeight="1">
      <c r="A2563" s="10" t="s">
        <v>4229</v>
      </c>
      <c r="B2563" s="10" t="s">
        <v>6836</v>
      </c>
      <c r="C2563" s="13" t="n">
        <v>40073</v>
      </c>
      <c r="D2563" s="13" t="n">
        <v>64012</v>
      </c>
      <c r="E2563" s="6" t="n">
        <f>SUM(C2563,D2563)/2</f>
        <v>52042.5</v>
      </c>
      <c r="F2563" s="12" t="n">
        <v>6880</v>
      </c>
      <c r="G2563" s="12" t="n">
        <v>10212</v>
      </c>
      <c r="H2563" s="6" t="n">
        <f>SUM(F2563,G2563)/2</f>
        <v>8546</v>
      </c>
    </row>
    <row r="2564" s="18" customFormat="1" ht="14.399999999999999" customHeight="1">
      <c r="A2564" s="10" t="s">
        <v>6837</v>
      </c>
      <c r="B2564" s="10" t="s">
        <v>6838</v>
      </c>
      <c r="C2564" s="13" t="n">
        <v>8437</v>
      </c>
      <c r="D2564" s="13" t="n">
        <v>13477</v>
      </c>
      <c r="E2564" s="6" t="n">
        <f>SUM(C2564,D2564)/2</f>
        <v>10957</v>
      </c>
      <c r="F2564" s="12" t="n">
        <v>7560</v>
      </c>
      <c r="G2564" s="12" t="n">
        <v>11077</v>
      </c>
      <c r="H2564" s="6" t="n">
        <f>SUM(F2564,G2564)/2</f>
        <v>9318.5</v>
      </c>
    </row>
    <row r="2565" s="18" customFormat="1" ht="14.399999999999999" customHeight="1">
      <c r="A2565" s="10" t="s">
        <v>6839</v>
      </c>
      <c r="B2565" s="10" t="s">
        <v>6840</v>
      </c>
      <c r="C2565" s="13" t="n">
        <v>25029</v>
      </c>
      <c r="D2565" s="13" t="n">
        <v>39983</v>
      </c>
      <c r="E2565" s="6" t="n">
        <f>SUM(C2565,D2565)/2</f>
        <v>32506</v>
      </c>
      <c r="F2565" s="12" t="n">
        <v>16900</v>
      </c>
      <c r="G2565" s="12" t="n">
        <v>25879</v>
      </c>
      <c r="H2565" s="6" t="n">
        <f>SUM(F2565,G2565)/2</f>
        <v>21389.5</v>
      </c>
    </row>
    <row r="2566" s="18" customFormat="1" ht="14.399999999999999" customHeight="1">
      <c r="A2566" s="10" t="s">
        <v>4475</v>
      </c>
      <c r="B2566" s="10" t="s">
        <v>6841</v>
      </c>
      <c r="C2566" s="13" t="n">
        <v>21103</v>
      </c>
      <c r="D2566" s="13" t="n">
        <v>33711</v>
      </c>
      <c r="E2566" s="6" t="n">
        <f>SUM(C2566,D2566)/2</f>
        <v>27407</v>
      </c>
      <c r="F2566" s="12" t="n">
        <v>7207</v>
      </c>
      <c r="G2566" s="12" t="n">
        <v>12613</v>
      </c>
      <c r="H2566" s="6" t="n">
        <f>SUM(F2566,G2566)/2</f>
        <v>9910</v>
      </c>
    </row>
    <row r="2567" s="18" customFormat="1" ht="14.399999999999999" customHeight="1">
      <c r="A2567" s="10" t="s">
        <v>6842</v>
      </c>
      <c r="B2567" s="10" t="s">
        <v>6843</v>
      </c>
      <c r="C2567" s="13" t="n">
        <v>14712</v>
      </c>
      <c r="D2567" s="13" t="n">
        <v>23500</v>
      </c>
      <c r="E2567" s="6" t="n">
        <f>SUM(C2567,D2567)/2</f>
        <v>19106</v>
      </c>
      <c r="F2567" s="12" t="n">
        <v>7720</v>
      </c>
      <c r="G2567" s="12" t="n">
        <v>11247</v>
      </c>
      <c r="H2567" s="6" t="n">
        <f>SUM(F2567,G2567)/2</f>
        <v>9483.5</v>
      </c>
    </row>
    <row r="2568" s="18" customFormat="1" ht="14.399999999999999" customHeight="1">
      <c r="A2568" s="10" t="s">
        <v>4389</v>
      </c>
      <c r="B2568" s="10" t="s">
        <v>6844</v>
      </c>
      <c r="C2568" s="13" t="n">
        <v>39853</v>
      </c>
      <c r="D2568" s="13" t="n">
        <v>63659</v>
      </c>
      <c r="E2568" s="6" t="n">
        <f>SUM(C2568,D2568)/2</f>
        <v>51756</v>
      </c>
      <c r="F2568" s="12" t="n">
        <v>2451</v>
      </c>
      <c r="G2568" s="12" t="n">
        <v>9380</v>
      </c>
      <c r="H2568" s="6" t="n">
        <f>SUM(F2568,G2568)/2</f>
        <v>5915.5</v>
      </c>
    </row>
    <row r="2569" s="18" customFormat="1" ht="14.399999999999999" customHeight="1">
      <c r="A2569" s="10" t="s">
        <v>3343</v>
      </c>
      <c r="B2569" s="10" t="s">
        <v>6845</v>
      </c>
      <c r="C2569" s="13" t="n">
        <v>72279</v>
      </c>
      <c r="D2569" s="13" t="n">
        <v>115457</v>
      </c>
      <c r="E2569" s="6" t="n">
        <f>SUM(C2569,D2569)/2</f>
        <v>93868</v>
      </c>
      <c r="F2569" s="12" t="n">
        <v>24370</v>
      </c>
      <c r="G2569" s="12" t="n">
        <v>34980</v>
      </c>
      <c r="H2569" s="6" t="n">
        <f>SUM(F2569,G2569)/2</f>
        <v>29675</v>
      </c>
    </row>
    <row r="2570" s="18" customFormat="1" ht="14.399999999999999" customHeight="1">
      <c r="A2570" s="10" t="s">
        <v>4001</v>
      </c>
      <c r="B2570" s="10" t="s">
        <v>6846</v>
      </c>
      <c r="C2570" s="13" t="n">
        <v>54247</v>
      </c>
      <c r="D2570" s="13" t="n">
        <v>86653</v>
      </c>
      <c r="E2570" s="6" t="n">
        <f>SUM(C2570,D2570)/2</f>
        <v>70450</v>
      </c>
      <c r="F2570" s="12" t="n">
        <v>6879</v>
      </c>
      <c r="G2570" s="12" t="n">
        <v>12673</v>
      </c>
      <c r="H2570" s="6" t="n">
        <f>SUM(F2570,G2570)/2</f>
        <v>9776</v>
      </c>
    </row>
    <row r="2571" s="18" customFormat="1" ht="14.399999999999999" customHeight="1">
      <c r="A2571" s="10" t="s">
        <v>5516</v>
      </c>
      <c r="B2571" s="10" t="s">
        <v>6847</v>
      </c>
      <c r="C2571" s="10" t="n">
        <v>119</v>
      </c>
      <c r="D2571" s="10" t="n">
        <v>189</v>
      </c>
      <c r="E2571" s="6" t="n">
        <f>SUM(C2571,D2571)/2</f>
        <v>154</v>
      </c>
      <c r="F2571" s="18" t="n">
        <v>67</v>
      </c>
      <c r="G2571" s="18" t="n">
        <v>88</v>
      </c>
      <c r="H2571" s="6" t="n">
        <f>SUM(F2571,G2571)/2</f>
        <v>77.5</v>
      </c>
    </row>
    <row r="2572" s="18" customFormat="1" ht="14.399999999999999" customHeight="1">
      <c r="A2572" s="10" t="s">
        <v>5215</v>
      </c>
      <c r="B2572" s="10" t="s">
        <v>6848</v>
      </c>
      <c r="C2572" s="13" t="n">
        <v>3260</v>
      </c>
      <c r="D2572" s="13" t="n">
        <v>5204</v>
      </c>
      <c r="E2572" s="6" t="n">
        <f>SUM(C2572,D2572)/2</f>
        <v>4232</v>
      </c>
      <c r="F2572" s="12" t="n">
        <v>2917</v>
      </c>
      <c r="G2572" s="12" t="n">
        <v>4447</v>
      </c>
      <c r="H2572" s="6" t="n">
        <f>SUM(F2572,G2572)/2</f>
        <v>3682</v>
      </c>
    </row>
    <row r="2573" s="18" customFormat="1" ht="14.399999999999999" customHeight="1">
      <c r="A2573" s="10" t="s">
        <v>5314</v>
      </c>
      <c r="B2573" s="10" t="s">
        <v>6849</v>
      </c>
      <c r="C2573" s="13" t="n">
        <v>1309</v>
      </c>
      <c r="D2573" s="13" t="n">
        <v>2091</v>
      </c>
      <c r="E2573" s="6" t="n">
        <f>SUM(C2573,D2573)/2</f>
        <v>1700</v>
      </c>
      <c r="F2573" s="18" t="n">
        <v>251</v>
      </c>
      <c r="G2573" s="18" t="n">
        <v>314</v>
      </c>
      <c r="H2573" s="6" t="n">
        <f>SUM(F2573,G2573)/2</f>
        <v>282.5</v>
      </c>
    </row>
    <row r="2574" s="18" customFormat="1" ht="14.399999999999999" customHeight="1">
      <c r="A2574" s="10" t="s">
        <v>74</v>
      </c>
      <c r="B2574" s="10" t="s">
        <v>6850</v>
      </c>
      <c r="C2574" s="13" t="n">
        <v>814646</v>
      </c>
      <c r="D2574" s="13" t="n">
        <v>1301318</v>
      </c>
      <c r="E2574" s="6" t="n">
        <f>SUM(C2574,D2574)/2</f>
        <v>1057982</v>
      </c>
      <c r="F2574" s="12" t="n">
        <v>7600</v>
      </c>
      <c r="G2574" s="12" t="n">
        <v>10492</v>
      </c>
      <c r="H2574" s="6" t="n">
        <f>SUM(F2574,G2574)/2</f>
        <v>9046</v>
      </c>
    </row>
    <row r="2575" s="18" customFormat="1" ht="14.399999999999999" customHeight="1">
      <c r="A2575" s="10" t="s">
        <v>5410</v>
      </c>
      <c r="B2575" s="10" t="s">
        <v>6851</v>
      </c>
      <c r="C2575" s="13" t="n">
        <v>209704</v>
      </c>
      <c r="D2575" s="13" t="n">
        <v>334980</v>
      </c>
      <c r="E2575" s="6" t="n">
        <f>SUM(C2575,D2575)/2</f>
        <v>272342</v>
      </c>
      <c r="F2575" s="12" t="n">
        <v>57187</v>
      </c>
      <c r="G2575" s="12" t="n">
        <v>85042</v>
      </c>
      <c r="H2575" s="6" t="n">
        <f>SUM(F2575,G2575)/2</f>
        <v>71114.5</v>
      </c>
    </row>
    <row r="2576" s="18" customFormat="1" ht="14.399999999999999" customHeight="1">
      <c r="A2576" s="10" t="s">
        <v>3389</v>
      </c>
      <c r="B2576" s="10" t="s">
        <v>6852</v>
      </c>
      <c r="C2576" s="13" t="n">
        <v>32022</v>
      </c>
      <c r="D2576" s="13" t="n">
        <v>51150</v>
      </c>
      <c r="E2576" s="6" t="n">
        <f>SUM(C2576,D2576)/2</f>
        <v>41586</v>
      </c>
      <c r="F2576" s="12" t="n">
        <v>31165</v>
      </c>
      <c r="G2576" s="12" t="n">
        <v>45476</v>
      </c>
      <c r="H2576" s="6" t="n">
        <f>SUM(F2576,G2576)/2</f>
        <v>38320.5</v>
      </c>
    </row>
    <row r="2577" s="18" customFormat="1" ht="14.399999999999999" customHeight="1">
      <c r="A2577" s="10" t="s">
        <v>6853</v>
      </c>
      <c r="B2577" s="10" t="s">
        <v>6854</v>
      </c>
      <c r="C2577" s="13" t="n">
        <v>36733</v>
      </c>
      <c r="D2577" s="13" t="n">
        <v>58677</v>
      </c>
      <c r="E2577" s="6" t="n">
        <f>SUM(C2577,D2577)/2</f>
        <v>47705</v>
      </c>
      <c r="F2577" s="12" t="n">
        <v>17218</v>
      </c>
      <c r="G2577" s="12" t="n">
        <v>27373</v>
      </c>
      <c r="H2577" s="6" t="n">
        <f>SUM(F2577,G2577)/2</f>
        <v>22295.5</v>
      </c>
    </row>
    <row r="2578" s="18" customFormat="1" ht="14.399999999999999" customHeight="1">
      <c r="A2578" s="10" t="s">
        <v>2089</v>
      </c>
      <c r="B2578" s="10" t="s">
        <v>6855</v>
      </c>
      <c r="C2578" s="10" t="n">
        <v>24</v>
      </c>
      <c r="D2578" s="10" t="n">
        <v>38</v>
      </c>
      <c r="E2578" s="6" t="n">
        <f>SUM(C2578,D2578)/2</f>
        <v>31</v>
      </c>
      <c r="F2578" s="18" t="n">
        <v>3</v>
      </c>
      <c r="G2578" s="18" t="n">
        <v>3</v>
      </c>
      <c r="H2578" s="6" t="n">
        <f>SUM(F2578,G2578)/2</f>
        <v>3</v>
      </c>
    </row>
    <row r="2579" s="18" customFormat="1" ht="14.399999999999999" customHeight="1">
      <c r="A2579" s="10" t="s">
        <v>490</v>
      </c>
      <c r="B2579" s="10" t="s">
        <v>491</v>
      </c>
      <c r="C2579" s="13" t="n">
        <v>1161</v>
      </c>
      <c r="D2579" s="13" t="n">
        <v>1853</v>
      </c>
      <c r="E2579" s="6" t="n">
        <f>SUM(C2579,D2579)/2</f>
        <v>1507</v>
      </c>
      <c r="F2579" s="18" t="n">
        <v>339</v>
      </c>
      <c r="G2579" s="18" t="n">
        <v>485</v>
      </c>
      <c r="H2579" s="6" t="n">
        <f>SUM(F2579,G2579)/2</f>
        <v>412</v>
      </c>
    </row>
    <row r="2580" s="18" customFormat="1" ht="14.399999999999999" customHeight="1">
      <c r="A2580" s="10" t="s">
        <v>6856</v>
      </c>
      <c r="B2580" s="10" t="s">
        <v>6857</v>
      </c>
      <c r="C2580" s="13" t="n">
        <v>208280</v>
      </c>
      <c r="D2580" s="13" t="n">
        <v>332708</v>
      </c>
      <c r="E2580" s="6" t="n">
        <f>SUM(C2580,D2580)/2</f>
        <v>270494</v>
      </c>
      <c r="F2580" s="12" t="n">
        <v>27808</v>
      </c>
      <c r="G2580" s="12" t="n">
        <v>37390</v>
      </c>
      <c r="H2580" s="6" t="n">
        <f>SUM(F2580,G2580)/2</f>
        <v>32599</v>
      </c>
    </row>
    <row r="2581" s="18" customFormat="1" ht="14.399999999999999" customHeight="1">
      <c r="A2581" s="10" t="s">
        <v>6858</v>
      </c>
      <c r="B2581" s="10" t="s">
        <v>6859</v>
      </c>
      <c r="C2581" s="13" t="n">
        <v>99290</v>
      </c>
      <c r="D2581" s="13" t="n">
        <v>158606</v>
      </c>
      <c r="E2581" s="6" t="n">
        <f>SUM(C2581,D2581)/2</f>
        <v>128948</v>
      </c>
      <c r="F2581" s="12" t="n">
        <v>10251</v>
      </c>
      <c r="G2581" s="12" t="n">
        <v>17394</v>
      </c>
      <c r="H2581" s="6" t="n">
        <f>SUM(F2581,G2581)/2</f>
        <v>13822.5</v>
      </c>
    </row>
    <row r="2582" s="18" customFormat="1" ht="14.399999999999999" customHeight="1">
      <c r="A2582" s="10" t="s">
        <v>1567</v>
      </c>
      <c r="B2582" s="10" t="s">
        <v>6860</v>
      </c>
      <c r="C2582" s="10" t="n">
        <v>148</v>
      </c>
      <c r="D2582" s="10" t="n">
        <v>238</v>
      </c>
      <c r="E2582" s="6" t="n">
        <f>SUM(C2582,D2582)/2</f>
        <v>193</v>
      </c>
      <c r="F2582" s="18" t="n">
        <v>7</v>
      </c>
      <c r="G2582" s="18" t="n">
        <v>9</v>
      </c>
      <c r="H2582" s="6" t="n">
        <f>SUM(F2582,G2582)/2</f>
        <v>8</v>
      </c>
    </row>
    <row r="2583" s="18" customFormat="1" ht="14.399999999999999" customHeight="1">
      <c r="A2583" s="10" t="s">
        <v>4753</v>
      </c>
      <c r="B2583" s="10" t="s">
        <v>6861</v>
      </c>
      <c r="C2583" s="13" t="n">
        <v>17722</v>
      </c>
      <c r="D2583" s="13" t="n">
        <v>28310</v>
      </c>
      <c r="E2583" s="6" t="n">
        <f>SUM(C2583,D2583)/2</f>
        <v>23016</v>
      </c>
      <c r="F2583" s="12" t="n">
        <v>6188</v>
      </c>
      <c r="G2583" s="12" t="n">
        <v>8522</v>
      </c>
      <c r="H2583" s="6" t="n">
        <f>SUM(F2583,G2583)/2</f>
        <v>7355</v>
      </c>
    </row>
    <row r="2584" s="18" customFormat="1" ht="14.399999999999999" customHeight="1">
      <c r="A2584" s="10" t="s">
        <v>2498</v>
      </c>
      <c r="B2584" s="10" t="s">
        <v>6862</v>
      </c>
      <c r="C2584" s="10" t="n">
        <v>8</v>
      </c>
      <c r="D2584" s="10" t="n">
        <v>12</v>
      </c>
      <c r="E2584" s="6" t="n">
        <f>SUM(C2584,D2584)/2</f>
        <v>10</v>
      </c>
      <c r="F2584" s="18" t="n">
        <v>1</v>
      </c>
      <c r="G2584" s="18" t="n">
        <v>1</v>
      </c>
      <c r="H2584" s="6" t="n">
        <f>SUM(F2584,G2584)/2</f>
        <v>1</v>
      </c>
    </row>
    <row r="2585" s="18" customFormat="1" ht="14.399999999999999" customHeight="1">
      <c r="A2585" s="10" t="s">
        <v>5037</v>
      </c>
      <c r="B2585" s="10" t="s">
        <v>6863</v>
      </c>
      <c r="C2585" s="13" t="n">
        <v>14805</v>
      </c>
      <c r="D2585" s="13" t="n">
        <v>23649</v>
      </c>
      <c r="E2585" s="6" t="n">
        <f>SUM(C2585,D2585)/2</f>
        <v>19227</v>
      </c>
      <c r="F2585" s="12" t="n">
        <v>4757</v>
      </c>
      <c r="G2585" s="12" t="n">
        <v>5693</v>
      </c>
      <c r="H2585" s="6" t="n">
        <f>SUM(F2585,G2585)/2</f>
        <v>5225</v>
      </c>
    </row>
    <row r="2586" s="18" customFormat="1" ht="14.399999999999999" customHeight="1">
      <c r="A2586" s="10" t="s">
        <v>6864</v>
      </c>
      <c r="B2586" s="10" t="s">
        <v>6865</v>
      </c>
      <c r="C2586" s="13" t="n">
        <v>220885</v>
      </c>
      <c r="D2586" s="13" t="n">
        <v>352841</v>
      </c>
      <c r="E2586" s="6" t="n">
        <f>SUM(C2586,D2586)/2</f>
        <v>286863</v>
      </c>
      <c r="F2586" s="12" t="n">
        <v>61815</v>
      </c>
      <c r="G2586" s="12" t="n">
        <v>94881</v>
      </c>
      <c r="H2586" s="6" t="n">
        <f>SUM(F2586,G2586)/2</f>
        <v>78348</v>
      </c>
    </row>
    <row r="2587" s="18" customFormat="1" ht="14.399999999999999" customHeight="1">
      <c r="A2587" s="10" t="s">
        <v>316</v>
      </c>
      <c r="B2587" s="10" t="s">
        <v>317</v>
      </c>
      <c r="C2587" s="13" t="n">
        <v>3203</v>
      </c>
      <c r="D2587" s="13" t="n">
        <v>5117</v>
      </c>
      <c r="E2587" s="6" t="n">
        <f>SUM(C2587,D2587)/2</f>
        <v>4160</v>
      </c>
      <c r="F2587" s="18" t="n">
        <v>264</v>
      </c>
      <c r="G2587" s="18" t="n">
        <v>402</v>
      </c>
      <c r="H2587" s="6" t="n">
        <f>SUM(F2587,G2587)/2</f>
        <v>333</v>
      </c>
    </row>
    <row r="2588" s="18" customFormat="1" ht="14.399999999999999" customHeight="1">
      <c r="A2588" s="10" t="s">
        <v>4111</v>
      </c>
      <c r="B2588" s="10" t="s">
        <v>6866</v>
      </c>
      <c r="C2588" s="13" t="n">
        <v>52786</v>
      </c>
      <c r="D2588" s="13" t="n">
        <v>84320</v>
      </c>
      <c r="E2588" s="6" t="n">
        <f>SUM(C2588,D2588)/2</f>
        <v>68553</v>
      </c>
      <c r="F2588" s="12" t="n">
        <v>5894</v>
      </c>
      <c r="G2588" s="12" t="n">
        <v>8825</v>
      </c>
      <c r="H2588" s="6" t="n">
        <f>SUM(F2588,G2588)/2</f>
        <v>7359.5</v>
      </c>
    </row>
    <row r="2589" s="18" customFormat="1" ht="14.399999999999999" customHeight="1">
      <c r="A2589" s="10" t="s">
        <v>1815</v>
      </c>
      <c r="B2589" s="10" t="s">
        <v>6867</v>
      </c>
      <c r="C2589" s="10" t="n">
        <v>73</v>
      </c>
      <c r="D2589" s="10" t="n">
        <v>119</v>
      </c>
      <c r="E2589" s="6" t="n">
        <f>SUM(C2589,D2589)/2</f>
        <v>96</v>
      </c>
      <c r="F2589" s="18" t="n">
        <v>1</v>
      </c>
      <c r="G2589" s="18" t="n">
        <v>1</v>
      </c>
      <c r="H2589" s="6" t="n">
        <f>SUM(F2589,G2589)/2</f>
        <v>1</v>
      </c>
    </row>
    <row r="2590" s="18" customFormat="1" ht="14.399999999999999" customHeight="1">
      <c r="A2590" s="10" t="s">
        <v>5045</v>
      </c>
      <c r="B2590" s="10" t="s">
        <v>6868</v>
      </c>
      <c r="C2590" s="13" t="n">
        <v>3067</v>
      </c>
      <c r="D2590" s="13" t="n">
        <v>4901</v>
      </c>
      <c r="E2590" s="6" t="n">
        <f>SUM(C2590,D2590)/2</f>
        <v>3984</v>
      </c>
      <c r="F2590" s="12" t="n">
        <v>6915</v>
      </c>
      <c r="G2590" s="12" t="n">
        <v>9831</v>
      </c>
      <c r="H2590" s="6" t="n">
        <f>SUM(F2590,G2590)/2</f>
        <v>8373</v>
      </c>
    </row>
    <row r="2591" s="18" customFormat="1" ht="14.399999999999999" customHeight="1">
      <c r="A2591" s="10" t="s">
        <v>6869</v>
      </c>
      <c r="B2591" s="10" t="s">
        <v>6870</v>
      </c>
      <c r="C2591" s="13" t="n">
        <v>21645</v>
      </c>
      <c r="D2591" s="13" t="n">
        <v>34575</v>
      </c>
      <c r="E2591" s="6" t="n">
        <f>SUM(C2591,D2591)/2</f>
        <v>28110</v>
      </c>
      <c r="F2591" s="12" t="n">
        <v>7443</v>
      </c>
      <c r="G2591" s="12" t="n">
        <v>12212</v>
      </c>
      <c r="H2591" s="6" t="n">
        <f>SUM(F2591,G2591)/2</f>
        <v>9827.5</v>
      </c>
    </row>
    <row r="2592" s="18" customFormat="1" ht="14.399999999999999" customHeight="1">
      <c r="A2592" s="10" t="s">
        <v>5233</v>
      </c>
      <c r="B2592" s="10" t="s">
        <v>6871</v>
      </c>
      <c r="C2592" s="13" t="n">
        <v>5706</v>
      </c>
      <c r="D2592" s="13" t="n">
        <v>9114</v>
      </c>
      <c r="E2592" s="6" t="n">
        <f>SUM(C2592,D2592)/2</f>
        <v>7410</v>
      </c>
      <c r="F2592" s="18" t="n">
        <v>1609</v>
      </c>
      <c r="G2592" s="18" t="n">
        <v>2340</v>
      </c>
      <c r="H2592" s="6" t="n">
        <f>SUM(F2592,G2592)/2</f>
        <v>1974.5</v>
      </c>
    </row>
    <row r="2593" s="18" customFormat="1" ht="14.399999999999999" customHeight="1">
      <c r="A2593" s="10" t="s">
        <v>6872</v>
      </c>
      <c r="B2593" s="10" t="s">
        <v>6873</v>
      </c>
      <c r="C2593" s="13" t="n">
        <v>95385</v>
      </c>
      <c r="D2593" s="13" t="n">
        <v>152367</v>
      </c>
      <c r="E2593" s="6" t="n">
        <f>SUM(C2593,D2593)/2</f>
        <v>123876</v>
      </c>
      <c r="F2593" s="12" t="n">
        <v>25659</v>
      </c>
      <c r="G2593" s="12" t="n">
        <v>37462</v>
      </c>
      <c r="H2593" s="6" t="n">
        <f>SUM(F2593,G2593)/2</f>
        <v>31560.5</v>
      </c>
    </row>
    <row r="2594" s="18" customFormat="1" ht="14.399999999999999" customHeight="1">
      <c r="A2594" s="10" t="s">
        <v>5454</v>
      </c>
      <c r="B2594" s="10" t="s">
        <v>6874</v>
      </c>
      <c r="C2594" s="10" t="n">
        <v>715</v>
      </c>
      <c r="D2594" s="13" t="n">
        <v>1141</v>
      </c>
      <c r="E2594" s="6" t="n">
        <f>SUM(C2594,D2594)/2</f>
        <v>928</v>
      </c>
      <c r="F2594" s="18" t="n">
        <v>2</v>
      </c>
      <c r="G2594" s="18" t="n">
        <v>3</v>
      </c>
      <c r="H2594" s="6" t="n">
        <f>SUM(F2594,G2594)/2</f>
        <v>2.5</v>
      </c>
    </row>
    <row r="2595" s="18" customFormat="1" ht="14.399999999999999" customHeight="1">
      <c r="A2595" s="10" t="s">
        <v>4969</v>
      </c>
      <c r="B2595" s="10" t="s">
        <v>6875</v>
      </c>
      <c r="C2595" s="13" t="n">
        <v>3859</v>
      </c>
      <c r="D2595" s="13" t="n">
        <v>6165</v>
      </c>
      <c r="E2595" s="6" t="n">
        <f>SUM(C2595,D2595)/2</f>
        <v>5012</v>
      </c>
      <c r="F2595" s="12" t="n">
        <v>7348</v>
      </c>
      <c r="G2595" s="12" t="n">
        <v>10539</v>
      </c>
      <c r="H2595" s="6" t="n">
        <f>SUM(F2595,G2595)/2</f>
        <v>8943.5</v>
      </c>
    </row>
    <row r="2596" s="18" customFormat="1" ht="14.399999999999999" customHeight="1">
      <c r="A2596" s="10" t="s">
        <v>5380</v>
      </c>
      <c r="B2596" s="10" t="s">
        <v>6876</v>
      </c>
      <c r="C2596" s="10" t="n">
        <v>481</v>
      </c>
      <c r="D2596" s="10" t="n">
        <v>769</v>
      </c>
      <c r="E2596" s="6" t="n">
        <f>SUM(C2596,D2596)/2</f>
        <v>625</v>
      </c>
      <c r="F2596" s="18" t="n">
        <v>213</v>
      </c>
      <c r="G2596" s="18" t="n">
        <v>264</v>
      </c>
      <c r="H2596" s="6" t="n">
        <f>SUM(F2596,G2596)/2</f>
        <v>238.5</v>
      </c>
    </row>
    <row r="2597" s="18" customFormat="1" ht="14.399999999999999" customHeight="1">
      <c r="A2597" s="10" t="s">
        <v>6877</v>
      </c>
      <c r="B2597" s="10" t="s">
        <v>6878</v>
      </c>
      <c r="C2597" s="13" t="n">
        <v>6095</v>
      </c>
      <c r="D2597" s="13" t="n">
        <v>9737</v>
      </c>
      <c r="E2597" s="6" t="n">
        <f>SUM(C2597,D2597)/2</f>
        <v>7916</v>
      </c>
      <c r="F2597" s="12" t="n">
        <v>3802</v>
      </c>
      <c r="G2597" s="12" t="n">
        <v>4568</v>
      </c>
      <c r="H2597" s="6" t="n">
        <f>SUM(F2597,G2597)/2</f>
        <v>4185</v>
      </c>
    </row>
    <row r="2598" s="18" customFormat="1" ht="14.399999999999999" customHeight="1">
      <c r="A2598" s="10" t="s">
        <v>6879</v>
      </c>
      <c r="B2598" s="10" t="s">
        <v>6880</v>
      </c>
      <c r="C2598" s="13" t="n">
        <v>53160</v>
      </c>
      <c r="D2598" s="13" t="n">
        <v>84916</v>
      </c>
      <c r="E2598" s="6" t="n">
        <f>SUM(C2598,D2598)/2</f>
        <v>69038</v>
      </c>
      <c r="F2598" s="12" t="n">
        <v>22588</v>
      </c>
      <c r="G2598" s="12" t="n">
        <v>32471</v>
      </c>
      <c r="H2598" s="6" t="n">
        <f>SUM(F2598,G2598)/2</f>
        <v>27529.5</v>
      </c>
    </row>
    <row r="2599" s="18" customFormat="1" ht="14.399999999999999" customHeight="1">
      <c r="A2599" s="10" t="s">
        <v>4711</v>
      </c>
      <c r="B2599" s="10" t="s">
        <v>6881</v>
      </c>
      <c r="C2599" s="13" t="n">
        <v>45363</v>
      </c>
      <c r="D2599" s="13" t="n">
        <v>72461</v>
      </c>
      <c r="E2599" s="6" t="n">
        <f>SUM(C2599,D2599)/2</f>
        <v>58912</v>
      </c>
      <c r="F2599" s="18" t="n">
        <v>490</v>
      </c>
      <c r="G2599" s="18"/>
      <c r="H2599" s="6" t="n">
        <f>SUM(F2599,G2599)/2</f>
        <v>245</v>
      </c>
    </row>
    <row r="2600" s="18" customFormat="1" ht="14.399999999999999" customHeight="1">
      <c r="A2600" s="10" t="s">
        <v>6882</v>
      </c>
      <c r="B2600" s="10" t="s">
        <v>6883</v>
      </c>
      <c r="C2600" s="13" t="n">
        <v>11675</v>
      </c>
      <c r="D2600" s="13" t="n">
        <v>18649</v>
      </c>
      <c r="E2600" s="6" t="n">
        <f>SUM(C2600,D2600)/2</f>
        <v>15162</v>
      </c>
      <c r="F2600" s="12" t="n">
        <v>6827</v>
      </c>
      <c r="G2600" s="12" t="n">
        <v>8002</v>
      </c>
      <c r="H2600" s="6" t="n">
        <f>SUM(F2600,G2600)/2</f>
        <v>7414.5</v>
      </c>
    </row>
    <row r="2601" s="18" customFormat="1" ht="14.399999999999999" customHeight="1">
      <c r="A2601" s="10" t="s">
        <v>5378</v>
      </c>
      <c r="B2601" s="10" t="s">
        <v>6884</v>
      </c>
      <c r="C2601" s="10" t="n">
        <v>652</v>
      </c>
      <c r="D2601" s="13" t="n">
        <v>1042</v>
      </c>
      <c r="E2601" s="6" t="n">
        <f>SUM(C2601,D2601)/2</f>
        <v>847</v>
      </c>
      <c r="F2601" s="18" t="n">
        <v>179</v>
      </c>
      <c r="G2601" s="18" t="n">
        <v>279</v>
      </c>
      <c r="H2601" s="6" t="n">
        <f>SUM(F2601,G2601)/2</f>
        <v>229</v>
      </c>
    </row>
    <row r="2602" s="18" customFormat="1" ht="14.399999999999999" customHeight="1">
      <c r="A2602" s="10" t="s">
        <v>3521</v>
      </c>
      <c r="B2602" s="10" t="s">
        <v>6885</v>
      </c>
      <c r="C2602" s="13" t="n">
        <v>30016</v>
      </c>
      <c r="D2602" s="13" t="n">
        <v>47946</v>
      </c>
      <c r="E2602" s="6" t="n">
        <f>SUM(C2602,D2602)/2</f>
        <v>38981</v>
      </c>
      <c r="F2602" s="12" t="n">
        <v>26529</v>
      </c>
      <c r="G2602" s="12" t="n">
        <v>39954</v>
      </c>
      <c r="H2602" s="6" t="n">
        <f>SUM(F2602,G2602)/2</f>
        <v>33241.5</v>
      </c>
    </row>
    <row r="2603" s="18" customFormat="1" ht="14.399999999999999" customHeight="1">
      <c r="A2603" s="10" t="s">
        <v>6886</v>
      </c>
      <c r="B2603" s="10" t="s">
        <v>6887</v>
      </c>
      <c r="C2603" s="13" t="n">
        <v>34805</v>
      </c>
      <c r="D2603" s="13" t="n">
        <v>55597</v>
      </c>
      <c r="E2603" s="6" t="n">
        <f>SUM(C2603,D2603)/2</f>
        <v>45201</v>
      </c>
      <c r="F2603" s="12" t="n">
        <v>6040</v>
      </c>
      <c r="G2603" s="12" t="n">
        <v>9849</v>
      </c>
      <c r="H2603" s="6" t="n">
        <f>SUM(F2603,G2603)/2</f>
        <v>7944.5</v>
      </c>
    </row>
    <row r="2604" s="18" customFormat="1" ht="14.399999999999999" customHeight="1">
      <c r="A2604" s="10" t="s">
        <v>6888</v>
      </c>
      <c r="B2604" s="10" t="s">
        <v>6889</v>
      </c>
      <c r="C2604" s="13" t="n">
        <v>18745</v>
      </c>
      <c r="D2604" s="13" t="n">
        <v>29943</v>
      </c>
      <c r="E2604" s="6" t="n">
        <f>SUM(C2604,D2604)/2</f>
        <v>24344</v>
      </c>
      <c r="F2604" s="12" t="n">
        <v>17453</v>
      </c>
      <c r="G2604" s="12" t="n">
        <v>39907</v>
      </c>
      <c r="H2604" s="6" t="n">
        <f>SUM(F2604,G2604)/2</f>
        <v>28680</v>
      </c>
    </row>
    <row r="2605" s="18" customFormat="1" ht="14.399999999999999" customHeight="1">
      <c r="A2605" s="10" t="s">
        <v>1889</v>
      </c>
      <c r="B2605" s="10" t="s">
        <v>6890</v>
      </c>
      <c r="C2605" s="10" t="n">
        <v>55</v>
      </c>
      <c r="D2605" s="10" t="n">
        <v>87</v>
      </c>
      <c r="E2605" s="6" t="n">
        <f>SUM(C2605,D2605)/2</f>
        <v>71</v>
      </c>
      <c r="F2605" s="18" t="n">
        <v>3</v>
      </c>
      <c r="G2605" s="18" t="n">
        <v>3</v>
      </c>
      <c r="H2605" s="6" t="n">
        <f>SUM(F2605,G2605)/2</f>
        <v>3</v>
      </c>
    </row>
    <row r="2606" s="18" customFormat="1" ht="14.399999999999999" customHeight="1">
      <c r="A2606" s="10" t="s">
        <v>6891</v>
      </c>
      <c r="B2606" s="10" t="s">
        <v>6892</v>
      </c>
      <c r="C2606" s="13" t="n">
        <v>108372</v>
      </c>
      <c r="D2606" s="13" t="n">
        <v>173117</v>
      </c>
      <c r="E2606" s="6" t="n">
        <f>SUM(C2606,D2606)/2</f>
        <v>140744.5</v>
      </c>
      <c r="F2606" s="12" t="n">
        <v>40015</v>
      </c>
      <c r="G2606" s="12" t="n">
        <v>53943</v>
      </c>
      <c r="H2606" s="6" t="n">
        <f>SUM(F2606,G2606)/2</f>
        <v>46979</v>
      </c>
    </row>
    <row r="2607" s="18" customFormat="1" ht="14.399999999999999" customHeight="1">
      <c r="A2607" s="10" t="s">
        <v>6893</v>
      </c>
      <c r="B2607" s="10" t="s">
        <v>6894</v>
      </c>
      <c r="C2607" s="13" t="n">
        <v>9958</v>
      </c>
      <c r="D2607" s="13" t="n">
        <v>15906</v>
      </c>
      <c r="E2607" s="6" t="n">
        <f>SUM(C2607,D2607)/2</f>
        <v>12932</v>
      </c>
      <c r="F2607" s="12" t="n">
        <v>7977</v>
      </c>
      <c r="G2607" s="12" t="n">
        <v>11419</v>
      </c>
      <c r="H2607" s="6" t="n">
        <f>SUM(F2607,G2607)/2</f>
        <v>9698</v>
      </c>
    </row>
    <row r="2608" s="18" customFormat="1" ht="14.399999999999999" customHeight="1">
      <c r="A2608" s="10" t="s">
        <v>1381</v>
      </c>
      <c r="B2608" s="10" t="s">
        <v>6895</v>
      </c>
      <c r="C2608" s="10" t="n">
        <v>27</v>
      </c>
      <c r="D2608" s="10" t="n">
        <v>43</v>
      </c>
      <c r="E2608" s="6" t="n">
        <f>SUM(C2608,D2608)/2</f>
        <v>35</v>
      </c>
      <c r="F2608" s="18" t="n">
        <v>2</v>
      </c>
      <c r="G2608" s="18" t="n">
        <v>3</v>
      </c>
      <c r="H2608" s="6" t="n">
        <f>SUM(F2608,G2608)/2</f>
        <v>2.5</v>
      </c>
    </row>
    <row r="2609" s="18" customFormat="1" ht="14.399999999999999" customHeight="1">
      <c r="A2609" s="10" t="s">
        <v>6896</v>
      </c>
      <c r="B2609" s="10" t="s">
        <v>6897</v>
      </c>
      <c r="C2609" s="13" t="n">
        <v>103910</v>
      </c>
      <c r="D2609" s="13" t="n">
        <v>165984</v>
      </c>
      <c r="E2609" s="6" t="n">
        <f>SUM(C2609,D2609)/2</f>
        <v>134947</v>
      </c>
      <c r="F2609" s="12" t="n">
        <v>54263</v>
      </c>
      <c r="G2609" s="12" t="n">
        <v>80091</v>
      </c>
      <c r="H2609" s="6" t="n">
        <f>SUM(F2609,G2609)/2</f>
        <v>67177</v>
      </c>
    </row>
    <row r="2610" s="18" customFormat="1" ht="14.399999999999999" customHeight="1">
      <c r="A2610" s="10" t="s">
        <v>6898</v>
      </c>
      <c r="B2610" s="10" t="s">
        <v>6899</v>
      </c>
      <c r="C2610" s="13" t="n">
        <v>22359</v>
      </c>
      <c r="D2610" s="13" t="n">
        <v>35715</v>
      </c>
      <c r="E2610" s="6" t="n">
        <f>SUM(C2610,D2610)/2</f>
        <v>29037</v>
      </c>
      <c r="F2610" s="12" t="n">
        <v>9445</v>
      </c>
      <c r="G2610" s="12" t="n">
        <v>12122</v>
      </c>
      <c r="H2610" s="6" t="n">
        <f>SUM(F2610,G2610)/2</f>
        <v>10783.5</v>
      </c>
    </row>
    <row r="2611" s="18" customFormat="1" ht="14.399999999999999" customHeight="1">
      <c r="A2611" s="10" t="s">
        <v>6900</v>
      </c>
      <c r="B2611" s="10" t="s">
        <v>6901</v>
      </c>
      <c r="C2611" s="13" t="n">
        <v>34626</v>
      </c>
      <c r="D2611" s="13" t="n">
        <v>55312</v>
      </c>
      <c r="E2611" s="6" t="n">
        <f>SUM(C2611,D2611)/2</f>
        <v>44969</v>
      </c>
      <c r="F2611" s="12" t="n">
        <v>79540</v>
      </c>
      <c r="G2611" s="12" t="n">
        <v>91071</v>
      </c>
      <c r="H2611" s="6" t="n">
        <f>SUM(F2611,G2611)/2</f>
        <v>85305.5</v>
      </c>
    </row>
    <row r="2612" s="18" customFormat="1" ht="14.399999999999999" customHeight="1">
      <c r="A2612" s="10" t="s">
        <v>6902</v>
      </c>
      <c r="B2612" s="10" t="s">
        <v>6903</v>
      </c>
      <c r="C2612" s="13" t="n">
        <v>23095</v>
      </c>
      <c r="D2612" s="13" t="n">
        <v>36889</v>
      </c>
      <c r="E2612" s="6" t="n">
        <f>SUM(C2612,D2612)/2</f>
        <v>29992</v>
      </c>
      <c r="F2612" s="12" t="n">
        <v>19477</v>
      </c>
      <c r="G2612" s="12" t="n">
        <v>22617</v>
      </c>
      <c r="H2612" s="6" t="n">
        <f>SUM(F2612,G2612)/2</f>
        <v>21047</v>
      </c>
    </row>
    <row r="2613" s="18" customFormat="1" ht="14.399999999999999" customHeight="1">
      <c r="A2613" s="10" t="s">
        <v>4499</v>
      </c>
      <c r="B2613" s="10" t="s">
        <v>6904</v>
      </c>
      <c r="C2613" s="13" t="n">
        <v>23906</v>
      </c>
      <c r="D2613" s="13" t="n">
        <v>38186</v>
      </c>
      <c r="E2613" s="6" t="n">
        <f>SUM(C2613,D2613)/2</f>
        <v>31046</v>
      </c>
      <c r="F2613" s="12" t="n">
        <v>8149</v>
      </c>
      <c r="G2613" s="12" t="n">
        <v>9586</v>
      </c>
      <c r="H2613" s="6" t="n">
        <f>SUM(F2613,G2613)/2</f>
        <v>8867.5</v>
      </c>
    </row>
    <row r="2614" s="18" customFormat="1" ht="14.399999999999999" customHeight="1">
      <c r="A2614" s="10" t="s">
        <v>1781</v>
      </c>
      <c r="B2614" s="10" t="s">
        <v>6905</v>
      </c>
      <c r="C2614" s="10" t="n">
        <v>51</v>
      </c>
      <c r="D2614" s="10" t="n">
        <v>81</v>
      </c>
      <c r="E2614" s="6" t="n">
        <f>SUM(C2614,D2614)/2</f>
        <v>66</v>
      </c>
      <c r="F2614" s="18" t="n">
        <v>7</v>
      </c>
      <c r="G2614" s="18" t="n">
        <v>12</v>
      </c>
      <c r="H2614" s="6" t="n">
        <f>SUM(F2614,G2614)/2</f>
        <v>9.5</v>
      </c>
    </row>
    <row r="2615" s="18" customFormat="1" ht="14.399999999999999" customHeight="1">
      <c r="A2615" s="10" t="s">
        <v>6906</v>
      </c>
      <c r="B2615" s="10" t="s">
        <v>6907</v>
      </c>
      <c r="C2615" s="13" t="n">
        <v>23359</v>
      </c>
      <c r="D2615" s="13" t="n">
        <v>37313</v>
      </c>
      <c r="E2615" s="6" t="n">
        <f>SUM(C2615,D2615)/2</f>
        <v>30336</v>
      </c>
      <c r="F2615" s="12" t="n">
        <v>10753</v>
      </c>
      <c r="G2615" s="12" t="n">
        <v>12606</v>
      </c>
      <c r="H2615" s="6" t="n">
        <f>SUM(F2615,G2615)/2</f>
        <v>11679.5</v>
      </c>
    </row>
    <row r="2616" s="18" customFormat="1" ht="14.399999999999999" customHeight="1">
      <c r="A2616" s="10" t="s">
        <v>6908</v>
      </c>
      <c r="B2616" s="10" t="s">
        <v>6909</v>
      </c>
      <c r="C2616" s="13" t="n">
        <v>44139</v>
      </c>
      <c r="D2616" s="13" t="n">
        <v>70505</v>
      </c>
      <c r="E2616" s="6" t="n">
        <f>SUM(C2616,D2616)/2</f>
        <v>57322</v>
      </c>
      <c r="F2616" s="12" t="n">
        <v>10396</v>
      </c>
      <c r="G2616" s="12" t="n">
        <v>16056</v>
      </c>
      <c r="H2616" s="6" t="n">
        <f>SUM(F2616,G2616)/2</f>
        <v>13226</v>
      </c>
    </row>
    <row r="2617" s="18" customFormat="1" ht="14.399999999999999" customHeight="1">
      <c r="A2617" s="10" t="s">
        <v>5356</v>
      </c>
      <c r="B2617" s="10" t="s">
        <v>6910</v>
      </c>
      <c r="C2617" s="13" t="n">
        <v>1152</v>
      </c>
      <c r="D2617" s="13" t="n">
        <v>1842</v>
      </c>
      <c r="E2617" s="6" t="n">
        <f>SUM(C2617,D2617)/2</f>
        <v>1497</v>
      </c>
      <c r="F2617" s="18" t="n">
        <v>127</v>
      </c>
      <c r="G2617" s="18" t="n">
        <v>167</v>
      </c>
      <c r="H2617" s="6" t="n">
        <f>SUM(F2617,G2617)/2</f>
        <v>147</v>
      </c>
    </row>
    <row r="2618" s="18" customFormat="1" ht="14.399999999999999" customHeight="1">
      <c r="A2618" s="10" t="s">
        <v>606</v>
      </c>
      <c r="B2618" s="10" t="s">
        <v>607</v>
      </c>
      <c r="C2618" s="10" t="n">
        <v>653</v>
      </c>
      <c r="D2618" s="13" t="n">
        <v>1041</v>
      </c>
      <c r="E2618" s="6" t="n">
        <f>SUM(C2618,D2618)/2</f>
        <v>847</v>
      </c>
      <c r="F2618" s="18" t="n">
        <v>698</v>
      </c>
      <c r="G2618" s="18" t="n">
        <v>778</v>
      </c>
      <c r="H2618" s="6" t="n">
        <f>SUM(F2618,G2618)/2</f>
        <v>738</v>
      </c>
    </row>
    <row r="2619" s="18" customFormat="1" ht="14.399999999999999" customHeight="1">
      <c r="A2619" s="10" t="s">
        <v>658</v>
      </c>
      <c r="B2619" s="10" t="s">
        <v>659</v>
      </c>
      <c r="C2619" s="10" t="n">
        <v>718</v>
      </c>
      <c r="D2619" s="13" t="n">
        <v>1148</v>
      </c>
      <c r="E2619" s="6" t="n">
        <f>SUM(C2619,D2619)/2</f>
        <v>933</v>
      </c>
      <c r="F2619" s="18" t="n">
        <v>294</v>
      </c>
      <c r="G2619" s="18" t="n">
        <v>446</v>
      </c>
      <c r="H2619" s="6" t="n">
        <f>SUM(F2619,G2619)/2</f>
        <v>370</v>
      </c>
    </row>
    <row r="2620" s="18" customFormat="1" ht="14.399999999999999" customHeight="1">
      <c r="A2620" s="10" t="s">
        <v>5213</v>
      </c>
      <c r="B2620" s="10" t="s">
        <v>6911</v>
      </c>
      <c r="C2620" s="13" t="n">
        <v>12108</v>
      </c>
      <c r="D2620" s="13" t="n">
        <v>19340</v>
      </c>
      <c r="E2620" s="6" t="n">
        <f>SUM(C2620,D2620)/2</f>
        <v>15724</v>
      </c>
      <c r="F2620" s="18" t="n">
        <v>1042</v>
      </c>
      <c r="G2620" s="18" t="n">
        <v>1606</v>
      </c>
      <c r="H2620" s="6" t="n">
        <f>SUM(F2620,G2620)/2</f>
        <v>1324</v>
      </c>
    </row>
    <row r="2621" s="18" customFormat="1" ht="14.399999999999999" customHeight="1">
      <c r="A2621" s="10" t="s">
        <v>849</v>
      </c>
      <c r="B2621" s="10" t="s">
        <v>6912</v>
      </c>
      <c r="C2621" s="13" t="n">
        <v>652388</v>
      </c>
      <c r="D2621" s="13" t="n">
        <v>1042128</v>
      </c>
      <c r="E2621" s="6" t="n">
        <f>SUM(C2621,D2621)/2</f>
        <v>847258</v>
      </c>
      <c r="F2621" s="12" t="n">
        <v>254109</v>
      </c>
      <c r="G2621" s="12" t="n">
        <v>340271</v>
      </c>
      <c r="H2621" s="6" t="n">
        <f>SUM(F2621,G2621)/2</f>
        <v>297190</v>
      </c>
    </row>
    <row r="2622" s="18" customFormat="1" ht="14.399999999999999" customHeight="1">
      <c r="A2622" s="10" t="s">
        <v>2348</v>
      </c>
      <c r="B2622" s="10" t="s">
        <v>6913</v>
      </c>
      <c r="C2622" s="10" t="n">
        <v>13</v>
      </c>
      <c r="D2622" s="10" t="n">
        <v>21</v>
      </c>
      <c r="E2622" s="6" t="n">
        <f>SUM(C2622,D2622)/2</f>
        <v>17</v>
      </c>
      <c r="F2622" s="18" t="n">
        <v>1</v>
      </c>
      <c r="G2622" s="18" t="n">
        <v>2</v>
      </c>
      <c r="H2622" s="6" t="n">
        <f>SUM(F2622,G2622)/2</f>
        <v>1.5</v>
      </c>
    </row>
    <row r="2623" s="18" customFormat="1" ht="14.399999999999999" customHeight="1">
      <c r="A2623" s="10" t="s">
        <v>6914</v>
      </c>
      <c r="B2623" s="10" t="s">
        <v>6915</v>
      </c>
      <c r="C2623" s="13" t="n">
        <v>14428</v>
      </c>
      <c r="D2623" s="13" t="n">
        <v>23046</v>
      </c>
      <c r="E2623" s="6" t="n">
        <f>SUM(C2623,D2623)/2</f>
        <v>18737</v>
      </c>
      <c r="F2623" s="12" t="n">
        <v>6452</v>
      </c>
      <c r="G2623" s="12" t="n">
        <v>7417</v>
      </c>
      <c r="H2623" s="6" t="n">
        <f>SUM(F2623,G2623)/2</f>
        <v>6934.5</v>
      </c>
    </row>
    <row r="2624" s="18" customFormat="1" ht="14.399999999999999" customHeight="1">
      <c r="A2624" s="10" t="s">
        <v>1729</v>
      </c>
      <c r="B2624" s="10" t="s">
        <v>6916</v>
      </c>
      <c r="C2624" s="10" t="n">
        <v>86</v>
      </c>
      <c r="D2624" s="10" t="n">
        <v>138</v>
      </c>
      <c r="E2624" s="6" t="n">
        <f>SUM(C2624,D2624)/2</f>
        <v>112</v>
      </c>
      <c r="F2624" s="18" t="n">
        <v>5</v>
      </c>
      <c r="G2624" s="18" t="n">
        <v>6</v>
      </c>
      <c r="H2624" s="6" t="n">
        <f>SUM(F2624,G2624)/2</f>
        <v>5.5</v>
      </c>
    </row>
    <row r="2625" s="18" customFormat="1" ht="14.399999999999999" customHeight="1">
      <c r="A2625" s="10" t="s">
        <v>2188</v>
      </c>
      <c r="B2625" s="10" t="s">
        <v>6917</v>
      </c>
      <c r="C2625" s="10" t="n">
        <v>245</v>
      </c>
      <c r="D2625" s="10" t="n">
        <v>393</v>
      </c>
      <c r="E2625" s="6" t="n">
        <f>SUM(C2625,D2625)/2</f>
        <v>319</v>
      </c>
      <c r="F2625" s="18" t="n">
        <v>32</v>
      </c>
      <c r="G2625" s="18" t="n">
        <v>39</v>
      </c>
      <c r="H2625" s="6" t="n">
        <f>SUM(F2625,G2625)/2</f>
        <v>35.5</v>
      </c>
    </row>
    <row r="2626" s="18" customFormat="1" ht="14.399999999999999" customHeight="1">
      <c r="A2626" s="10" t="s">
        <v>3859</v>
      </c>
      <c r="B2626" s="10" t="s">
        <v>6918</v>
      </c>
      <c r="C2626" s="13" t="n">
        <v>50675</v>
      </c>
      <c r="D2626" s="13" t="n">
        <v>80947</v>
      </c>
      <c r="E2626" s="6" t="n">
        <f>SUM(C2626,D2626)/2</f>
        <v>65811</v>
      </c>
      <c r="F2626" s="12" t="n">
        <v>12717</v>
      </c>
      <c r="G2626" s="12" t="n">
        <v>15527</v>
      </c>
      <c r="H2626" s="6" t="n">
        <f>SUM(F2626,G2626)/2</f>
        <v>14122</v>
      </c>
    </row>
    <row r="2627" s="18" customFormat="1" ht="14.399999999999999" customHeight="1">
      <c r="A2627" s="10" t="s">
        <v>5171</v>
      </c>
      <c r="B2627" s="10" t="s">
        <v>6919</v>
      </c>
      <c r="C2627" s="13" t="n">
        <v>3238</v>
      </c>
      <c r="D2627" s="13" t="n">
        <v>5172</v>
      </c>
      <c r="E2627" s="6" t="n">
        <f>SUM(C2627,D2627)/2</f>
        <v>4205</v>
      </c>
      <c r="F2627" s="12" t="n">
        <v>4818</v>
      </c>
      <c r="G2627" s="12" t="n">
        <v>6883</v>
      </c>
      <c r="H2627" s="6" t="n">
        <f>SUM(F2627,G2627)/2</f>
        <v>5850.5</v>
      </c>
    </row>
    <row r="2628" s="18" customFormat="1" ht="14.399999999999999" customHeight="1">
      <c r="A2628" s="10" t="s">
        <v>6920</v>
      </c>
      <c r="B2628" s="10" t="s">
        <v>6921</v>
      </c>
      <c r="C2628" s="13" t="n">
        <v>31593</v>
      </c>
      <c r="D2628" s="13" t="n">
        <v>50465</v>
      </c>
      <c r="E2628" s="6" t="n">
        <f>SUM(C2628,D2628)/2</f>
        <v>41029</v>
      </c>
      <c r="F2628" s="12" t="n">
        <v>9606</v>
      </c>
      <c r="G2628" s="12" t="n">
        <v>13950</v>
      </c>
      <c r="H2628" s="6" t="n">
        <f>SUM(F2628,G2628)/2</f>
        <v>11778</v>
      </c>
    </row>
    <row r="2629" s="18" customFormat="1" ht="14.399999999999999" customHeight="1">
      <c r="A2629" s="10" t="s">
        <v>1829</v>
      </c>
      <c r="B2629" s="10" t="s">
        <v>6922</v>
      </c>
      <c r="C2629" s="10" t="n">
        <v>40</v>
      </c>
      <c r="D2629" s="10" t="n">
        <v>64</v>
      </c>
      <c r="E2629" s="6" t="n">
        <f>SUM(C2629,D2629)/2</f>
        <v>52</v>
      </c>
      <c r="F2629" s="18" t="n">
        <v>8</v>
      </c>
      <c r="G2629" s="18" t="n">
        <v>11</v>
      </c>
      <c r="H2629" s="6" t="n">
        <f>SUM(F2629,G2629)/2</f>
        <v>9.5</v>
      </c>
    </row>
    <row r="2630" s="18" customFormat="1" ht="14.399999999999999" customHeight="1">
      <c r="A2630" s="10" t="s">
        <v>6923</v>
      </c>
      <c r="B2630" s="10" t="s">
        <v>6924</v>
      </c>
      <c r="C2630" s="13" t="n">
        <v>24126</v>
      </c>
      <c r="D2630" s="13" t="n">
        <v>38538</v>
      </c>
      <c r="E2630" s="6" t="n">
        <f>SUM(C2630,D2630)/2</f>
        <v>31332</v>
      </c>
      <c r="F2630" s="12" t="n">
        <v>8623</v>
      </c>
      <c r="G2630" s="12" t="n">
        <v>10990</v>
      </c>
      <c r="H2630" s="6" t="n">
        <f>SUM(F2630,G2630)/2</f>
        <v>9806.5</v>
      </c>
    </row>
    <row r="2631" s="18" customFormat="1" ht="14.399999999999999" customHeight="1">
      <c r="A2631" s="10" t="s">
        <v>6925</v>
      </c>
      <c r="B2631" s="10" t="s">
        <v>6926</v>
      </c>
      <c r="C2631" s="13" t="n">
        <v>2009727</v>
      </c>
      <c r="D2631" s="13" t="n">
        <v>3210343</v>
      </c>
      <c r="E2631" s="6" t="n">
        <f>SUM(C2631,D2631)/2</f>
        <v>2610035</v>
      </c>
      <c r="H2631" s="6" t="n">
        <f>SUM(F2631,G2631)/2</f>
        <v>0</v>
      </c>
    </row>
    <row r="2632" s="18" customFormat="1" ht="14.399999999999999" customHeight="1">
      <c r="A2632" s="10" t="s">
        <v>2991</v>
      </c>
      <c r="B2632" s="10" t="s">
        <v>6927</v>
      </c>
      <c r="C2632" s="10" t="n">
        <v>0</v>
      </c>
      <c r="D2632" s="10" t="n">
        <v>0</v>
      </c>
      <c r="E2632" s="6" t="n">
        <f>SUM(C2632,D2632)/2</f>
        <v>0</v>
      </c>
      <c r="F2632" s="18" t="n">
        <v>0</v>
      </c>
      <c r="G2632" s="18" t="n">
        <v>0</v>
      </c>
      <c r="H2632" s="6" t="n">
        <f>SUM(F2632,G2632)/2</f>
        <v>0</v>
      </c>
    </row>
    <row r="2633" s="18" customFormat="1" ht="14.399999999999999" customHeight="1">
      <c r="A2633" s="10" t="s">
        <v>1449</v>
      </c>
      <c r="B2633" s="10" t="s">
        <v>6928</v>
      </c>
      <c r="C2633" s="10" t="n">
        <v>63</v>
      </c>
      <c r="D2633" s="10" t="n">
        <v>103</v>
      </c>
      <c r="E2633" s="6" t="n">
        <f>SUM(C2633,D2633)/2</f>
        <v>83</v>
      </c>
      <c r="F2633" s="18" t="n">
        <v>7</v>
      </c>
      <c r="G2633" s="18" t="n">
        <v>24</v>
      </c>
      <c r="H2633" s="6" t="n">
        <f>SUM(F2633,G2633)/2</f>
        <v>15.5</v>
      </c>
    </row>
    <row r="2634" s="18" customFormat="1" ht="14.399999999999999" customHeight="1">
      <c r="A2634" s="10" t="s">
        <v>4957</v>
      </c>
      <c r="B2634" s="10" t="s">
        <v>6929</v>
      </c>
      <c r="C2634" s="13" t="n">
        <v>6724</v>
      </c>
      <c r="D2634" s="13" t="n">
        <v>10741</v>
      </c>
      <c r="E2634" s="6" t="n">
        <f>SUM(C2634,D2634)/2</f>
        <v>8732.5</v>
      </c>
      <c r="F2634" s="12" t="n">
        <v>6678</v>
      </c>
      <c r="G2634" s="12" t="n">
        <v>9883</v>
      </c>
      <c r="H2634" s="6" t="n">
        <f>SUM(F2634,G2634)/2</f>
        <v>8280.5</v>
      </c>
    </row>
    <row r="2635" s="18" customFormat="1" ht="14.399999999999999" customHeight="1">
      <c r="A2635" s="10" t="s">
        <v>1571</v>
      </c>
      <c r="B2635" s="10" t="s">
        <v>6930</v>
      </c>
      <c r="C2635" s="10" t="n">
        <v>83</v>
      </c>
      <c r="D2635" s="10" t="n">
        <v>133</v>
      </c>
      <c r="E2635" s="6" t="n">
        <f>SUM(C2635,D2635)/2</f>
        <v>108</v>
      </c>
      <c r="F2635" s="18" t="n">
        <v>23</v>
      </c>
      <c r="G2635" s="18" t="n">
        <v>28</v>
      </c>
      <c r="H2635" s="6" t="n">
        <f>SUM(F2635,G2635)/2</f>
        <v>25.5</v>
      </c>
    </row>
    <row r="2636" s="18" customFormat="1" ht="14.399999999999999" customHeight="1">
      <c r="A2636" s="10" t="s">
        <v>6931</v>
      </c>
      <c r="B2636" s="10" t="s">
        <v>6932</v>
      </c>
      <c r="C2636" s="13" t="n">
        <v>22496</v>
      </c>
      <c r="D2636" s="13" t="n">
        <v>35938</v>
      </c>
      <c r="E2636" s="6" t="n">
        <f>SUM(C2636,D2636)/2</f>
        <v>29217</v>
      </c>
      <c r="F2636" s="12" t="n">
        <v>8671</v>
      </c>
      <c r="G2636" s="12" t="n">
        <v>10342</v>
      </c>
      <c r="H2636" s="6" t="n">
        <f>SUM(F2636,G2636)/2</f>
        <v>9506.5</v>
      </c>
    </row>
    <row r="2637" s="18" customFormat="1" ht="14.399999999999999" customHeight="1">
      <c r="A2637" s="10" t="s">
        <v>6933</v>
      </c>
      <c r="B2637" s="10" t="s">
        <v>6934</v>
      </c>
      <c r="C2637" s="13" t="n">
        <v>12267</v>
      </c>
      <c r="D2637" s="13" t="n">
        <v>19595</v>
      </c>
      <c r="E2637" s="6" t="n">
        <f>SUM(C2637,D2637)/2</f>
        <v>15931</v>
      </c>
      <c r="F2637" s="12" t="n">
        <v>14419</v>
      </c>
      <c r="G2637" s="12" t="n">
        <v>21971</v>
      </c>
      <c r="H2637" s="6" t="n">
        <f>SUM(F2637,G2637)/2</f>
        <v>18195</v>
      </c>
    </row>
    <row r="2638" s="18" customFormat="1" ht="14.399999999999999" customHeight="1">
      <c r="A2638" s="10" t="s">
        <v>2346</v>
      </c>
      <c r="B2638" s="10" t="s">
        <v>6935</v>
      </c>
      <c r="C2638" s="10" t="n">
        <v>2</v>
      </c>
      <c r="D2638" s="10" t="n">
        <v>4</v>
      </c>
      <c r="E2638" s="6" t="n">
        <f>SUM(C2638,D2638)/2</f>
        <v>3</v>
      </c>
      <c r="F2638" s="18" t="n">
        <v>4</v>
      </c>
      <c r="G2638" s="18" t="n">
        <v>5</v>
      </c>
      <c r="H2638" s="6" t="n">
        <f>SUM(F2638,G2638)/2</f>
        <v>4.5</v>
      </c>
    </row>
    <row r="2639" s="18" customFormat="1" ht="14.399999999999999" customHeight="1">
      <c r="A2639" s="10" t="s">
        <v>4125</v>
      </c>
      <c r="B2639" s="10" t="s">
        <v>6936</v>
      </c>
      <c r="C2639" s="13" t="n">
        <v>25893</v>
      </c>
      <c r="D2639" s="13" t="n">
        <v>41363</v>
      </c>
      <c r="E2639" s="6" t="n">
        <f>SUM(C2639,D2639)/2</f>
        <v>33628</v>
      </c>
      <c r="F2639" s="12" t="n">
        <v>11226</v>
      </c>
      <c r="G2639" s="12" t="n">
        <v>17776</v>
      </c>
      <c r="H2639" s="6" t="n">
        <f>SUM(F2639,G2639)/2</f>
        <v>14501</v>
      </c>
    </row>
    <row r="2640" s="18" customFormat="1" ht="14.399999999999999" customHeight="1">
      <c r="A2640" s="10" t="s">
        <v>6937</v>
      </c>
      <c r="B2640" s="10" t="s">
        <v>6938</v>
      </c>
      <c r="C2640" s="10" t="n">
        <v>0</v>
      </c>
      <c r="D2640" s="10" t="n">
        <v>0</v>
      </c>
      <c r="E2640" s="6" t="n">
        <f>SUM(C2640,D2640)/2</f>
        <v>0</v>
      </c>
      <c r="F2640" s="18" t="n">
        <v>0</v>
      </c>
      <c r="G2640" s="18" t="n">
        <v>0</v>
      </c>
      <c r="H2640" s="6" t="n">
        <f>SUM(F2640,G2640)/2</f>
        <v>0</v>
      </c>
    </row>
    <row r="2641" s="18" customFormat="1" ht="14.399999999999999" customHeight="1">
      <c r="A2641" s="10" t="s">
        <v>5406</v>
      </c>
      <c r="B2641" s="10" t="s">
        <v>6939</v>
      </c>
      <c r="C2641" s="13" t="n">
        <v>290825</v>
      </c>
      <c r="D2641" s="13" t="n">
        <v>464567</v>
      </c>
      <c r="E2641" s="6" t="n">
        <f>SUM(C2641,D2641)/2</f>
        <v>377696</v>
      </c>
      <c r="F2641" s="12" t="n">
        <v>42116</v>
      </c>
      <c r="G2641" s="12" t="n">
        <v>62910</v>
      </c>
      <c r="H2641" s="6" t="n">
        <f>SUM(F2641,G2641)/2</f>
        <v>52513</v>
      </c>
    </row>
    <row r="2642" s="18" customFormat="1" ht="14.399999999999999" customHeight="1">
      <c r="A2642" s="10" t="s">
        <v>3055</v>
      </c>
      <c r="B2642" s="10" t="s">
        <v>6940</v>
      </c>
      <c r="C2642" s="13" t="n">
        <v>81065</v>
      </c>
      <c r="D2642" s="13" t="n">
        <v>129493</v>
      </c>
      <c r="E2642" s="6" t="n">
        <f>SUM(C2642,D2642)/2</f>
        <v>105279</v>
      </c>
      <c r="F2642" s="12" t="n">
        <v>20781</v>
      </c>
      <c r="G2642" s="12" t="n">
        <v>76133</v>
      </c>
      <c r="H2642" s="6" t="n">
        <f>SUM(F2642,G2642)/2</f>
        <v>48457</v>
      </c>
    </row>
    <row r="2643" s="18" customFormat="1" ht="14.399999999999999" customHeight="1">
      <c r="A2643" s="10" t="s">
        <v>1342</v>
      </c>
      <c r="B2643" s="10" t="s">
        <v>6941</v>
      </c>
      <c r="C2643" s="10" t="n">
        <v>160</v>
      </c>
      <c r="D2643" s="10" t="n">
        <v>256</v>
      </c>
      <c r="E2643" s="6" t="n">
        <f>SUM(C2643,D2643)/2</f>
        <v>208</v>
      </c>
      <c r="F2643" s="18" t="n">
        <v>20</v>
      </c>
      <c r="G2643" s="18" t="n">
        <v>42</v>
      </c>
      <c r="H2643" s="6" t="n">
        <f>SUM(F2643,G2643)/2</f>
        <v>31</v>
      </c>
    </row>
    <row r="2644" s="18" customFormat="1" ht="14.399999999999999" customHeight="1">
      <c r="A2644" s="10" t="s">
        <v>1330</v>
      </c>
      <c r="B2644" s="10" t="s">
        <v>6942</v>
      </c>
      <c r="C2644" s="10" t="n">
        <v>152</v>
      </c>
      <c r="D2644" s="10" t="n">
        <v>242</v>
      </c>
      <c r="E2644" s="6" t="n">
        <f>SUM(C2644,D2644)/2</f>
        <v>197</v>
      </c>
      <c r="F2644" s="18" t="n">
        <v>41</v>
      </c>
      <c r="G2644" s="18" t="n">
        <v>60</v>
      </c>
      <c r="H2644" s="6" t="n">
        <f>SUM(F2644,G2644)/2</f>
        <v>50.5</v>
      </c>
    </row>
    <row r="2645" s="18" customFormat="1" ht="14.399999999999999" customHeight="1">
      <c r="A2645" s="10" t="s">
        <v>5418</v>
      </c>
      <c r="B2645" s="10" t="s">
        <v>6943</v>
      </c>
      <c r="C2645" s="10" t="n">
        <v>786</v>
      </c>
      <c r="D2645" s="13" t="n">
        <v>1254</v>
      </c>
      <c r="E2645" s="6" t="n">
        <f>SUM(C2645,D2645)/2</f>
        <v>1020</v>
      </c>
      <c r="F2645" s="18" t="n">
        <v>36</v>
      </c>
      <c r="G2645" s="18" t="n">
        <v>73</v>
      </c>
      <c r="H2645" s="6" t="n">
        <f>SUM(F2645,G2645)/2</f>
        <v>54.5</v>
      </c>
    </row>
    <row r="2646" s="18" customFormat="1" ht="14.399999999999999" customHeight="1">
      <c r="A2646" s="10" t="s">
        <v>5424</v>
      </c>
      <c r="B2646" s="10" t="s">
        <v>6944</v>
      </c>
      <c r="C2646" s="10" t="n">
        <v>466</v>
      </c>
      <c r="D2646" s="10" t="n">
        <v>746</v>
      </c>
      <c r="E2646" s="6" t="n">
        <f>SUM(C2646,D2646)/2</f>
        <v>606</v>
      </c>
      <c r="F2646" s="18" t="n">
        <v>50</v>
      </c>
      <c r="G2646" s="18" t="n">
        <v>172</v>
      </c>
      <c r="H2646" s="6" t="n">
        <f>SUM(F2646,G2646)/2</f>
        <v>111</v>
      </c>
    </row>
    <row r="2647" s="18" customFormat="1" ht="14.399999999999999" customHeight="1">
      <c r="A2647" s="10" t="s">
        <v>4295</v>
      </c>
      <c r="B2647" s="10" t="s">
        <v>6945</v>
      </c>
      <c r="C2647" s="13" t="n">
        <v>42013</v>
      </c>
      <c r="D2647" s="13" t="n">
        <v>67111</v>
      </c>
      <c r="E2647" s="6" t="n">
        <f>SUM(C2647,D2647)/2</f>
        <v>54562</v>
      </c>
      <c r="F2647" s="12" t="n">
        <v>4722</v>
      </c>
      <c r="G2647" s="12" t="n">
        <v>9208</v>
      </c>
      <c r="H2647" s="6" t="n">
        <f>SUM(F2647,G2647)/2</f>
        <v>6965</v>
      </c>
    </row>
    <row r="2648" s="18" customFormat="1" ht="14.399999999999999" customHeight="1">
      <c r="A2648" s="10" t="s">
        <v>1863</v>
      </c>
      <c r="B2648" s="10" t="s">
        <v>6946</v>
      </c>
      <c r="C2648" s="10" t="n">
        <v>70</v>
      </c>
      <c r="D2648" s="10" t="n">
        <v>110</v>
      </c>
      <c r="E2648" s="6" t="n">
        <f>SUM(C2648,D2648)/2</f>
        <v>90</v>
      </c>
      <c r="F2648" s="18" t="n">
        <v>0</v>
      </c>
      <c r="G2648" s="18" t="n">
        <v>0</v>
      </c>
      <c r="H2648" s="6" t="n">
        <f>SUM(F2648,G2648)/2</f>
        <v>0</v>
      </c>
    </row>
    <row r="2649" s="18" customFormat="1" ht="14.399999999999999" customHeight="1">
      <c r="A2649" s="10" t="s">
        <v>6947</v>
      </c>
      <c r="B2649" s="10" t="s">
        <v>6948</v>
      </c>
      <c r="C2649" s="13" t="n">
        <v>13910</v>
      </c>
      <c r="D2649" s="13" t="n">
        <v>22220</v>
      </c>
      <c r="E2649" s="6" t="n">
        <f>SUM(C2649,D2649)/2</f>
        <v>18065</v>
      </c>
      <c r="F2649" s="12" t="n">
        <v>10797</v>
      </c>
      <c r="G2649" s="12" t="n">
        <v>15198</v>
      </c>
      <c r="H2649" s="6" t="n">
        <f>SUM(F2649,G2649)/2</f>
        <v>12997.5</v>
      </c>
    </row>
    <row r="2650" s="18" customFormat="1" ht="14.399999999999999" customHeight="1">
      <c r="A2650" s="10" t="s">
        <v>4493</v>
      </c>
      <c r="B2650" s="10" t="s">
        <v>6949</v>
      </c>
      <c r="C2650" s="13" t="n">
        <v>13138</v>
      </c>
      <c r="D2650" s="13" t="n">
        <v>20984</v>
      </c>
      <c r="E2650" s="6" t="n">
        <f>SUM(C2650,D2650)/2</f>
        <v>17061</v>
      </c>
      <c r="F2650" s="12" t="n">
        <v>9391</v>
      </c>
      <c r="G2650" s="12" t="n">
        <v>14391</v>
      </c>
      <c r="H2650" s="6" t="n">
        <f>SUM(F2650,G2650)/2</f>
        <v>11891</v>
      </c>
    </row>
    <row r="2651" s="18" customFormat="1" ht="14.399999999999999" customHeight="1">
      <c r="A2651" s="10" t="s">
        <v>6950</v>
      </c>
      <c r="B2651" s="10" t="s">
        <v>6951</v>
      </c>
      <c r="C2651" s="13" t="n">
        <v>22439</v>
      </c>
      <c r="D2651" s="13" t="n">
        <v>35844</v>
      </c>
      <c r="E2651" s="6" t="n">
        <f>SUM(C2651,D2651)/2</f>
        <v>29141.5</v>
      </c>
      <c r="F2651" s="12" t="n">
        <v>6110</v>
      </c>
      <c r="G2651" s="12" t="n">
        <v>9916</v>
      </c>
      <c r="H2651" s="6" t="n">
        <f>SUM(F2651,G2651)/2</f>
        <v>8013</v>
      </c>
    </row>
    <row r="2652" s="18" customFormat="1" ht="14.399999999999999" customHeight="1">
      <c r="A2652" s="10" t="s">
        <v>10</v>
      </c>
      <c r="B2652" s="10" t="s">
        <v>6952</v>
      </c>
      <c r="C2652" s="13" t="n">
        <v>7457382</v>
      </c>
      <c r="D2652" s="13" t="n">
        <v>11912444</v>
      </c>
      <c r="E2652" s="6" t="n">
        <f>SUM(C2652,D2652)/2</f>
        <v>9684913</v>
      </c>
      <c r="F2652" s="13" t="n">
        <v>4847862</v>
      </c>
      <c r="G2652" s="12" t="n">
        <v>7481179</v>
      </c>
      <c r="H2652" s="6" t="n">
        <f>SUM(F2652,G2652)/2</f>
        <v>6164520.5</v>
      </c>
    </row>
    <row r="2653" s="18" customFormat="1" ht="14.399999999999999" customHeight="1">
      <c r="A2653" s="10" t="s">
        <v>4925</v>
      </c>
      <c r="B2653" s="10" t="s">
        <v>6953</v>
      </c>
      <c r="C2653" s="13" t="n">
        <v>11028</v>
      </c>
      <c r="D2653" s="13" t="n">
        <v>17616</v>
      </c>
      <c r="E2653" s="6" t="n">
        <f>SUM(C2653,D2653)/2</f>
        <v>14322</v>
      </c>
      <c r="F2653" s="12" t="n">
        <v>6774</v>
      </c>
      <c r="G2653" s="12" t="n">
        <v>8219</v>
      </c>
      <c r="H2653" s="6" t="n">
        <f>SUM(F2653,G2653)/2</f>
        <v>7496.5</v>
      </c>
    </row>
    <row r="2654" s="18" customFormat="1" ht="14.399999999999999" customHeight="1">
      <c r="A2654" s="10" t="s">
        <v>2372</v>
      </c>
      <c r="B2654" s="10" t="s">
        <v>6954</v>
      </c>
      <c r="C2654" s="10" t="n">
        <v>7</v>
      </c>
      <c r="D2654" s="10" t="n">
        <v>11</v>
      </c>
      <c r="E2654" s="6" t="n">
        <f>SUM(C2654,D2654)/2</f>
        <v>9</v>
      </c>
      <c r="F2654" s="18" t="n">
        <v>3</v>
      </c>
      <c r="G2654" s="18" t="n">
        <v>3</v>
      </c>
      <c r="H2654" s="6" t="n">
        <f>SUM(F2654,G2654)/2</f>
        <v>3</v>
      </c>
    </row>
    <row r="2655" s="18" customFormat="1" ht="14.399999999999999" customHeight="1">
      <c r="A2655" s="10" t="s">
        <v>6955</v>
      </c>
      <c r="B2655" s="10" t="s">
        <v>6956</v>
      </c>
      <c r="C2655" s="13" t="n">
        <v>17744</v>
      </c>
      <c r="D2655" s="13" t="n">
        <v>28346</v>
      </c>
      <c r="E2655" s="6" t="n">
        <f>SUM(C2655,D2655)/2</f>
        <v>23045</v>
      </c>
      <c r="F2655" s="12" t="n">
        <v>17569</v>
      </c>
      <c r="G2655" s="12" t="n">
        <v>20656</v>
      </c>
      <c r="H2655" s="6" t="n">
        <f>SUM(F2655,G2655)/2</f>
        <v>19112.5</v>
      </c>
    </row>
    <row r="2656" s="18" customFormat="1" ht="14.399999999999999" customHeight="1">
      <c r="A2656" s="10" t="s">
        <v>6957</v>
      </c>
      <c r="B2656" s="10" t="s">
        <v>6958</v>
      </c>
      <c r="C2656" s="13" t="n">
        <v>24880</v>
      </c>
      <c r="D2656" s="13" t="n">
        <v>39744</v>
      </c>
      <c r="E2656" s="6" t="n">
        <f>SUM(C2656,D2656)/2</f>
        <v>32312</v>
      </c>
      <c r="F2656" s="12" t="n">
        <v>12885</v>
      </c>
      <c r="G2656" s="12" t="n">
        <v>17072</v>
      </c>
      <c r="H2656" s="6" t="n">
        <f>SUM(F2656,G2656)/2</f>
        <v>14978.5</v>
      </c>
    </row>
    <row r="2657" s="18" customFormat="1" ht="14.399999999999999" customHeight="1">
      <c r="A2657" s="10" t="s">
        <v>6959</v>
      </c>
      <c r="B2657" s="10" t="s">
        <v>6960</v>
      </c>
      <c r="C2657" s="13" t="n">
        <v>90154</v>
      </c>
      <c r="D2657" s="13" t="n">
        <v>144012</v>
      </c>
      <c r="E2657" s="6" t="n">
        <f>SUM(C2657,D2657)/2</f>
        <v>117083</v>
      </c>
      <c r="F2657" s="12" t="n">
        <v>33075</v>
      </c>
      <c r="G2657" s="12" t="n">
        <v>45846</v>
      </c>
      <c r="H2657" s="6" t="n">
        <f>SUM(F2657,G2657)/2</f>
        <v>39460.5</v>
      </c>
    </row>
    <row r="2658" s="18" customFormat="1" ht="14.399999999999999" customHeight="1">
      <c r="A2658" s="10" t="s">
        <v>6961</v>
      </c>
      <c r="B2658" s="10" t="s">
        <v>6962</v>
      </c>
      <c r="C2658" s="13" t="n">
        <v>28633</v>
      </c>
      <c r="D2658" s="13" t="n">
        <v>45739</v>
      </c>
      <c r="E2658" s="6" t="n">
        <f>SUM(C2658,D2658)/2</f>
        <v>37186</v>
      </c>
      <c r="F2658" s="12" t="n">
        <v>9103</v>
      </c>
      <c r="G2658" s="12" t="n">
        <v>11357</v>
      </c>
      <c r="H2658" s="6" t="n">
        <f>SUM(F2658,G2658)/2</f>
        <v>10230</v>
      </c>
    </row>
    <row r="2659" s="18" customFormat="1" ht="14.399999999999999" customHeight="1">
      <c r="A2659" s="10" t="s">
        <v>6963</v>
      </c>
      <c r="B2659" s="10" t="s">
        <v>6964</v>
      </c>
      <c r="C2659" s="13" t="n">
        <v>6606</v>
      </c>
      <c r="D2659" s="13" t="n">
        <v>10551</v>
      </c>
      <c r="E2659" s="6" t="n">
        <f>SUM(C2659,D2659)/2</f>
        <v>8578.5</v>
      </c>
      <c r="F2659" s="12" t="n">
        <v>5904</v>
      </c>
      <c r="G2659" s="12" t="n">
        <v>8565</v>
      </c>
      <c r="H2659" s="6" t="n">
        <f>SUM(F2659,G2659)/2</f>
        <v>7234.5</v>
      </c>
    </row>
    <row r="2660" s="18" customFormat="1" ht="14.399999999999999" customHeight="1">
      <c r="A2660" s="10" t="s">
        <v>6965</v>
      </c>
      <c r="B2660" s="10" t="s">
        <v>6966</v>
      </c>
      <c r="C2660" s="13" t="n">
        <v>41098</v>
      </c>
      <c r="D2660" s="13" t="n">
        <v>65648</v>
      </c>
      <c r="E2660" s="6" t="n">
        <f>SUM(C2660,D2660)/2</f>
        <v>53373</v>
      </c>
      <c r="F2660" s="12" t="n">
        <v>9698</v>
      </c>
      <c r="G2660" s="12" t="n">
        <v>13982</v>
      </c>
      <c r="H2660" s="6" t="n">
        <f>SUM(F2660,G2660)/2</f>
        <v>11840</v>
      </c>
    </row>
    <row r="2661" s="18" customFormat="1" ht="14.399999999999999" customHeight="1">
      <c r="A2661" s="10" t="s">
        <v>1635</v>
      </c>
      <c r="B2661" s="10" t="s">
        <v>6967</v>
      </c>
      <c r="C2661" s="10" t="n">
        <v>120</v>
      </c>
      <c r="D2661" s="10" t="n">
        <v>190</v>
      </c>
      <c r="E2661" s="6" t="n">
        <f>SUM(C2661,D2661)/2</f>
        <v>155</v>
      </c>
      <c r="F2661" s="18" t="n">
        <v>8</v>
      </c>
      <c r="G2661" s="18" t="n">
        <v>16</v>
      </c>
      <c r="H2661" s="6" t="n">
        <f>SUM(F2661,G2661)/2</f>
        <v>12</v>
      </c>
    </row>
    <row r="2662" s="18" customFormat="1" ht="14.399999999999999" customHeight="1">
      <c r="A2662" s="10" t="s">
        <v>6968</v>
      </c>
      <c r="B2662" s="10" t="s">
        <v>6969</v>
      </c>
      <c r="C2662" s="13" t="n">
        <v>235944</v>
      </c>
      <c r="D2662" s="13" t="n">
        <v>376894</v>
      </c>
      <c r="E2662" s="6" t="n">
        <f>SUM(C2662,D2662)/2</f>
        <v>306419</v>
      </c>
      <c r="F2662" s="12" t="n">
        <v>61560</v>
      </c>
      <c r="G2662" s="12" t="n">
        <v>90916</v>
      </c>
      <c r="H2662" s="6" t="n">
        <f>SUM(F2662,G2662)/2</f>
        <v>76238</v>
      </c>
    </row>
    <row r="2663" s="18" customFormat="1" ht="14.399999999999999" customHeight="1">
      <c r="A2663" s="10" t="s">
        <v>5348</v>
      </c>
      <c r="B2663" s="10" t="s">
        <v>6970</v>
      </c>
      <c r="C2663" s="13" t="n">
        <v>167274</v>
      </c>
      <c r="D2663" s="13" t="n">
        <v>267202</v>
      </c>
      <c r="E2663" s="6" t="n">
        <f>SUM(C2663,D2663)/2</f>
        <v>217238</v>
      </c>
      <c r="F2663" s="12" t="n">
        <v>84674</v>
      </c>
      <c r="G2663" s="12" t="n">
        <v>177972</v>
      </c>
      <c r="H2663" s="6" t="n">
        <f>SUM(F2663,G2663)/2</f>
        <v>131323</v>
      </c>
    </row>
    <row r="2664" s="18" customFormat="1" ht="14.399999999999999" customHeight="1">
      <c r="A2664" s="10" t="s">
        <v>1186</v>
      </c>
      <c r="B2664" s="10" t="s">
        <v>6971</v>
      </c>
      <c r="C2664" s="10" t="n">
        <v>258</v>
      </c>
      <c r="D2664" s="10" t="n">
        <v>412</v>
      </c>
      <c r="E2664" s="6" t="n">
        <f>SUM(C2664,D2664)/2</f>
        <v>335</v>
      </c>
      <c r="F2664" s="18" t="n">
        <v>112</v>
      </c>
      <c r="G2664" s="18" t="n">
        <v>151</v>
      </c>
      <c r="H2664" s="6" t="n">
        <f>SUM(F2664,G2664)/2</f>
        <v>131.5</v>
      </c>
    </row>
    <row r="2665" s="18" customFormat="1" ht="14.399999999999999" customHeight="1">
      <c r="A2665" s="10" t="s">
        <v>6972</v>
      </c>
      <c r="B2665" s="10" t="s">
        <v>6973</v>
      </c>
      <c r="C2665" s="13" t="n">
        <v>37530</v>
      </c>
      <c r="D2665" s="13" t="n">
        <v>59952</v>
      </c>
      <c r="E2665" s="6" t="n">
        <f>SUM(C2665,D2665)/2</f>
        <v>48741</v>
      </c>
      <c r="F2665" s="12" t="n">
        <v>10345</v>
      </c>
      <c r="G2665" s="12" t="n">
        <v>14956</v>
      </c>
      <c r="H2665" s="6" t="n">
        <f>SUM(F2665,G2665)/2</f>
        <v>12650.5</v>
      </c>
    </row>
    <row r="2666" s="18" customFormat="1" ht="14.399999999999999" customHeight="1">
      <c r="A2666" s="10" t="s">
        <v>6974</v>
      </c>
      <c r="B2666" s="10" t="s">
        <v>6975</v>
      </c>
      <c r="C2666" s="13" t="n">
        <v>6447</v>
      </c>
      <c r="D2666" s="13" t="n">
        <v>10297</v>
      </c>
      <c r="E2666" s="6" t="n">
        <f>SUM(C2666,D2666)/2</f>
        <v>8372</v>
      </c>
      <c r="F2666" s="12" t="n">
        <v>3591</v>
      </c>
      <c r="G2666" s="12" t="n">
        <v>4918</v>
      </c>
      <c r="H2666" s="6" t="n">
        <f>SUM(F2666,G2666)/2</f>
        <v>4254.5</v>
      </c>
    </row>
    <row r="2667" s="18" customFormat="1" ht="14.399999999999999" customHeight="1">
      <c r="A2667" s="10" t="s">
        <v>1509</v>
      </c>
      <c r="B2667" s="10" t="s">
        <v>6976</v>
      </c>
      <c r="C2667" s="10" t="n">
        <v>0</v>
      </c>
      <c r="D2667" s="10" t="n">
        <v>0</v>
      </c>
      <c r="E2667" s="6" t="n">
        <f>SUM(C2667,D2667)/2</f>
        <v>0</v>
      </c>
      <c r="F2667" s="18" t="n">
        <v>1</v>
      </c>
      <c r="G2667" s="18" t="n">
        <v>1</v>
      </c>
      <c r="H2667" s="6" t="n">
        <f>SUM(F2667,G2667)/2</f>
        <v>1</v>
      </c>
    </row>
    <row r="2668" s="18" customFormat="1" ht="14.399999999999999" customHeight="1">
      <c r="A2668" s="10" t="s">
        <v>5316</v>
      </c>
      <c r="B2668" s="10" t="s">
        <v>6977</v>
      </c>
      <c r="C2668" s="10" t="n">
        <v>752</v>
      </c>
      <c r="D2668" s="13" t="n">
        <v>1204</v>
      </c>
      <c r="E2668" s="6" t="n">
        <f>SUM(C2668,D2668)/2</f>
        <v>978</v>
      </c>
      <c r="F2668" s="18" t="n">
        <v>399</v>
      </c>
      <c r="G2668" s="18" t="n">
        <v>452</v>
      </c>
      <c r="H2668" s="6" t="n">
        <f>SUM(F2668,G2668)/2</f>
        <v>425.5</v>
      </c>
    </row>
    <row r="2669" s="18" customFormat="1" ht="14.399999999999999" customHeight="1">
      <c r="A2669" s="10" t="s">
        <v>2053</v>
      </c>
      <c r="B2669" s="10" t="s">
        <v>6978</v>
      </c>
      <c r="C2669" s="10" t="n">
        <v>14</v>
      </c>
      <c r="D2669" s="10" t="n">
        <v>24</v>
      </c>
      <c r="E2669" s="6" t="n">
        <f>SUM(C2669,D2669)/2</f>
        <v>19</v>
      </c>
      <c r="F2669" s="18" t="n">
        <v>6</v>
      </c>
      <c r="G2669" s="18" t="n">
        <v>8</v>
      </c>
      <c r="H2669" s="6" t="n">
        <f>SUM(F2669,G2669)/2</f>
        <v>7</v>
      </c>
    </row>
    <row r="2670" s="18" customFormat="1" ht="14.399999999999999" customHeight="1">
      <c r="A2670" s="10" t="s">
        <v>6979</v>
      </c>
      <c r="B2670" s="10" t="s">
        <v>6980</v>
      </c>
      <c r="C2670" s="13" t="n">
        <v>1547</v>
      </c>
      <c r="D2670" s="13" t="n">
        <v>2469</v>
      </c>
      <c r="E2670" s="6" t="n">
        <f>SUM(C2670,D2670)/2</f>
        <v>2008</v>
      </c>
      <c r="F2670" s="12" t="n">
        <v>4810</v>
      </c>
      <c r="G2670" s="12" t="n">
        <v>7945</v>
      </c>
      <c r="H2670" s="6" t="n">
        <f>SUM(F2670,G2670)/2</f>
        <v>6377.5</v>
      </c>
    </row>
    <row r="2671" s="18" customFormat="1" ht="14.399999999999999" customHeight="1">
      <c r="A2671" s="10" t="s">
        <v>1148</v>
      </c>
      <c r="B2671" s="10" t="s">
        <v>6981</v>
      </c>
      <c r="C2671" s="13" t="n">
        <v>234320</v>
      </c>
      <c r="D2671" s="13" t="n">
        <v>374304</v>
      </c>
      <c r="E2671" s="6" t="n">
        <f>SUM(C2671,D2671)/2</f>
        <v>304312</v>
      </c>
      <c r="F2671" s="12" t="n">
        <v>73915</v>
      </c>
      <c r="G2671" s="12" t="n">
        <v>99943</v>
      </c>
      <c r="H2671" s="6" t="n">
        <f>SUM(F2671,G2671)/2</f>
        <v>86929</v>
      </c>
    </row>
    <row r="2672" s="18" customFormat="1" ht="14.399999999999999" customHeight="1">
      <c r="A2672" s="10" t="s">
        <v>6982</v>
      </c>
      <c r="B2672" s="10" t="s">
        <v>6983</v>
      </c>
      <c r="C2672" s="13" t="n">
        <v>334074</v>
      </c>
      <c r="D2672" s="13" t="n">
        <v>533652</v>
      </c>
      <c r="E2672" s="6" t="n">
        <f>SUM(C2672,D2672)/2</f>
        <v>433863</v>
      </c>
      <c r="F2672" s="12" t="n">
        <v>18137</v>
      </c>
      <c r="G2672" s="12" t="n">
        <v>28812</v>
      </c>
      <c r="H2672" s="6" t="n">
        <f>SUM(F2672,G2672)/2</f>
        <v>23474.5</v>
      </c>
    </row>
    <row r="2673" s="18" customFormat="1" ht="14.399999999999999" customHeight="1">
      <c r="A2673" s="10" t="s">
        <v>3705</v>
      </c>
      <c r="B2673" s="10" t="s">
        <v>6984</v>
      </c>
      <c r="C2673" s="13" t="n">
        <v>64560</v>
      </c>
      <c r="D2673" s="13" t="n">
        <v>103128</v>
      </c>
      <c r="E2673" s="6" t="n">
        <f>SUM(C2673,D2673)/2</f>
        <v>83844</v>
      </c>
      <c r="F2673" s="12" t="n">
        <v>13581</v>
      </c>
      <c r="G2673" s="12" t="n">
        <v>18065</v>
      </c>
      <c r="H2673" s="6" t="n">
        <f>SUM(F2673,G2673)/2</f>
        <v>15823</v>
      </c>
    </row>
    <row r="2674" s="18" customFormat="1" ht="14.399999999999999" customHeight="1">
      <c r="A2674" s="10" t="s">
        <v>1827</v>
      </c>
      <c r="B2674" s="10" t="s">
        <v>6985</v>
      </c>
      <c r="C2674" s="10" t="n">
        <v>61</v>
      </c>
      <c r="D2674" s="10" t="n">
        <v>97</v>
      </c>
      <c r="E2674" s="6" t="n">
        <f>SUM(C2674,D2674)/2</f>
        <v>79</v>
      </c>
      <c r="F2674" s="18" t="n">
        <v>3</v>
      </c>
      <c r="G2674" s="18" t="n">
        <v>5</v>
      </c>
      <c r="H2674" s="6" t="n">
        <f>SUM(F2674,G2674)/2</f>
        <v>4</v>
      </c>
    </row>
    <row r="2675" s="18" customFormat="1" ht="14.399999999999999" customHeight="1">
      <c r="A2675" s="10" t="s">
        <v>6986</v>
      </c>
      <c r="B2675" s="10" t="s">
        <v>6987</v>
      </c>
      <c r="C2675" s="13" t="n">
        <v>34327</v>
      </c>
      <c r="D2675" s="13" t="n">
        <v>54835</v>
      </c>
      <c r="E2675" s="6" t="n">
        <f>SUM(C2675,D2675)/2</f>
        <v>44581</v>
      </c>
      <c r="F2675" s="12" t="n">
        <v>9879</v>
      </c>
      <c r="G2675" s="12" t="n">
        <v>13319</v>
      </c>
      <c r="H2675" s="6" t="n">
        <f>SUM(F2675,G2675)/2</f>
        <v>11599</v>
      </c>
    </row>
    <row r="2676" s="18" customFormat="1" ht="14.399999999999999" customHeight="1">
      <c r="A2676" s="10" t="s">
        <v>6988</v>
      </c>
      <c r="B2676" s="10" t="s">
        <v>6989</v>
      </c>
      <c r="C2676" s="13" t="n">
        <v>30513</v>
      </c>
      <c r="D2676" s="13" t="n">
        <v>48741</v>
      </c>
      <c r="E2676" s="6" t="n">
        <f>SUM(C2676,D2676)/2</f>
        <v>39627</v>
      </c>
      <c r="F2676" s="12" t="n">
        <v>9009</v>
      </c>
      <c r="G2676" s="12" t="n">
        <v>12304</v>
      </c>
      <c r="H2676" s="6" t="n">
        <f>SUM(F2676,G2676)/2</f>
        <v>10656.5</v>
      </c>
    </row>
    <row r="2677" s="18" customFormat="1" ht="14.399999999999999" customHeight="1">
      <c r="A2677" s="10" t="s">
        <v>6990</v>
      </c>
      <c r="B2677" s="10" t="s">
        <v>6991</v>
      </c>
      <c r="C2677" s="10" t="n">
        <v>75</v>
      </c>
      <c r="D2677" s="10" t="n">
        <v>121</v>
      </c>
      <c r="E2677" s="6" t="n">
        <f>SUM(C2677,D2677)/2</f>
        <v>98</v>
      </c>
      <c r="F2677" s="18" t="n">
        <v>0</v>
      </c>
      <c r="G2677" s="18" t="n">
        <v>0</v>
      </c>
      <c r="H2677" s="6" t="n">
        <f>SUM(F2677,G2677)/2</f>
        <v>0</v>
      </c>
    </row>
    <row r="2678" s="18" customFormat="1" ht="14.399999999999999" customHeight="1">
      <c r="A2678" s="10" t="s">
        <v>5229</v>
      </c>
      <c r="B2678" s="10" t="s">
        <v>6992</v>
      </c>
      <c r="C2678" s="13" t="n">
        <v>8341</v>
      </c>
      <c r="D2678" s="13" t="n">
        <v>13325</v>
      </c>
      <c r="E2678" s="6" t="n">
        <f>SUM(C2678,D2678)/2</f>
        <v>10833</v>
      </c>
      <c r="F2678" s="18" t="n">
        <v>1373</v>
      </c>
      <c r="G2678" s="18" t="n">
        <v>2097</v>
      </c>
      <c r="H2678" s="6" t="n">
        <f>SUM(F2678,G2678)/2</f>
        <v>1735</v>
      </c>
    </row>
    <row r="2679" s="18" customFormat="1" ht="14.399999999999999" customHeight="1">
      <c r="A2679" s="10" t="s">
        <v>6993</v>
      </c>
      <c r="B2679" s="10" t="s">
        <v>6994</v>
      </c>
      <c r="C2679" s="13" t="n">
        <v>59216</v>
      </c>
      <c r="D2679" s="13" t="n">
        <v>94594</v>
      </c>
      <c r="E2679" s="6" t="n">
        <f>SUM(C2679,D2679)/2</f>
        <v>76905</v>
      </c>
      <c r="F2679" s="12" t="n">
        <v>17576</v>
      </c>
      <c r="G2679" s="12" t="n">
        <v>21885</v>
      </c>
      <c r="H2679" s="6" t="n">
        <f>SUM(F2679,G2679)/2</f>
        <v>19730.5</v>
      </c>
    </row>
    <row r="2680" s="18" customFormat="1" ht="14.399999999999999" customHeight="1">
      <c r="A2680" s="10" t="s">
        <v>6995</v>
      </c>
      <c r="B2680" s="10" t="s">
        <v>6996</v>
      </c>
      <c r="C2680" s="13" t="n">
        <v>12369</v>
      </c>
      <c r="D2680" s="13" t="n">
        <v>19759</v>
      </c>
      <c r="E2680" s="6" t="n">
        <f>SUM(C2680,D2680)/2</f>
        <v>16064</v>
      </c>
      <c r="F2680" s="12" t="n">
        <v>7189</v>
      </c>
      <c r="G2680" s="12" t="n">
        <v>8911</v>
      </c>
      <c r="H2680" s="6" t="n">
        <f>SUM(F2680,G2680)/2</f>
        <v>8050</v>
      </c>
    </row>
    <row r="2681" s="18" customFormat="1" ht="14.399999999999999" customHeight="1">
      <c r="A2681" s="10" t="s">
        <v>6997</v>
      </c>
      <c r="B2681" s="10" t="s">
        <v>6998</v>
      </c>
      <c r="C2681" s="13" t="n">
        <v>14362</v>
      </c>
      <c r="D2681" s="13" t="n">
        <v>22946</v>
      </c>
      <c r="E2681" s="6" t="n">
        <f>SUM(C2681,D2681)/2</f>
        <v>18654</v>
      </c>
      <c r="F2681" s="12" t="n">
        <v>2457</v>
      </c>
      <c r="G2681" s="12" t="n">
        <v>3302</v>
      </c>
      <c r="H2681" s="6" t="n">
        <f>SUM(F2681,G2681)/2</f>
        <v>2879.5</v>
      </c>
    </row>
    <row r="2682" s="18" customFormat="1" ht="14.399999999999999" customHeight="1">
      <c r="A2682" s="10" t="s">
        <v>6999</v>
      </c>
      <c r="B2682" s="10" t="s">
        <v>7000</v>
      </c>
      <c r="C2682" s="13" t="n">
        <v>280934</v>
      </c>
      <c r="D2682" s="13" t="n">
        <v>448764</v>
      </c>
      <c r="E2682" s="6" t="n">
        <f>SUM(C2682,D2682)/2</f>
        <v>364849</v>
      </c>
      <c r="F2682" s="12" t="n">
        <v>68031</v>
      </c>
      <c r="G2682" s="12" t="n">
        <v>162620</v>
      </c>
      <c r="H2682" s="6" t="n">
        <f>SUM(F2682,G2682)/2</f>
        <v>115325.5</v>
      </c>
    </row>
    <row r="2683" s="18" customFormat="1" ht="14.399999999999999" customHeight="1">
      <c r="A2683" s="10" t="s">
        <v>4593</v>
      </c>
      <c r="B2683" s="10" t="s">
        <v>7001</v>
      </c>
      <c r="C2683" s="13" t="n">
        <v>10611</v>
      </c>
      <c r="D2683" s="13" t="n">
        <v>16951</v>
      </c>
      <c r="E2683" s="6" t="n">
        <f>SUM(C2683,D2683)/2</f>
        <v>13781</v>
      </c>
      <c r="F2683" s="12" t="n">
        <v>9459</v>
      </c>
      <c r="G2683" s="12" t="n">
        <v>13240</v>
      </c>
      <c r="H2683" s="6" t="n">
        <f>SUM(F2683,G2683)/2</f>
        <v>11349.5</v>
      </c>
    </row>
    <row r="2684" s="18" customFormat="1" ht="14.399999999999999" customHeight="1">
      <c r="A2684" s="10" t="s">
        <v>7002</v>
      </c>
      <c r="B2684" s="10" t="s">
        <v>7003</v>
      </c>
      <c r="C2684" s="13" t="n">
        <v>40279</v>
      </c>
      <c r="D2684" s="13" t="n">
        <v>64341</v>
      </c>
      <c r="E2684" s="6" t="n">
        <f>SUM(C2684,D2684)/2</f>
        <v>52310</v>
      </c>
      <c r="F2684" s="12" t="n">
        <v>6684</v>
      </c>
      <c r="G2684" s="12" t="n">
        <v>9502</v>
      </c>
      <c r="H2684" s="6" t="n">
        <f>SUM(F2684,G2684)/2</f>
        <v>8093</v>
      </c>
    </row>
    <row r="2685" s="18" customFormat="1" ht="14.399999999999999" customHeight="1">
      <c r="A2685" s="10" t="s">
        <v>7004</v>
      </c>
      <c r="B2685" s="10" t="s">
        <v>7005</v>
      </c>
      <c r="C2685" s="13" t="n">
        <v>8792</v>
      </c>
      <c r="D2685" s="13" t="n">
        <v>14043</v>
      </c>
      <c r="E2685" s="6" t="n">
        <f>SUM(C2685,D2685)/2</f>
        <v>11417.5</v>
      </c>
      <c r="F2685" s="12" t="n">
        <v>5684</v>
      </c>
      <c r="G2685" s="12" t="n">
        <v>6487</v>
      </c>
      <c r="H2685" s="6" t="n">
        <f>SUM(F2685,G2685)/2</f>
        <v>6085.5</v>
      </c>
    </row>
    <row r="2686" s="18" customFormat="1" ht="14.399999999999999" customHeight="1">
      <c r="A2686" s="10" t="s">
        <v>7006</v>
      </c>
      <c r="B2686" s="10" t="s">
        <v>7007</v>
      </c>
      <c r="C2686" s="13" t="n">
        <v>3355</v>
      </c>
      <c r="D2686" s="13" t="n">
        <v>5359</v>
      </c>
      <c r="E2686" s="6" t="n">
        <f>SUM(C2686,D2686)/2</f>
        <v>4357</v>
      </c>
      <c r="F2686" s="12" t="n">
        <v>5018</v>
      </c>
      <c r="G2686" s="12" t="n">
        <v>7851</v>
      </c>
      <c r="H2686" s="6" t="n">
        <f>SUM(F2686,G2686)/2</f>
        <v>6434.5</v>
      </c>
    </row>
    <row r="2687" s="18" customFormat="1" ht="14.399999999999999" customHeight="1">
      <c r="A2687" s="10" t="s">
        <v>7008</v>
      </c>
      <c r="B2687" s="10" t="s">
        <v>7009</v>
      </c>
      <c r="C2687" s="13" t="n">
        <v>72176</v>
      </c>
      <c r="D2687" s="13" t="n">
        <v>115296</v>
      </c>
      <c r="E2687" s="6" t="n">
        <f>SUM(C2687,D2687)/2</f>
        <v>93736</v>
      </c>
      <c r="F2687" s="12" t="n">
        <v>10586</v>
      </c>
      <c r="G2687" s="12" t="n">
        <v>13876</v>
      </c>
      <c r="H2687" s="6" t="n">
        <f>SUM(F2687,G2687)/2</f>
        <v>12231</v>
      </c>
    </row>
    <row r="2688" s="18" customFormat="1" ht="14.399999999999999" customHeight="1">
      <c r="A2688" s="10" t="s">
        <v>1322</v>
      </c>
      <c r="B2688" s="10" t="s">
        <v>7010</v>
      </c>
      <c r="C2688" s="10" t="n">
        <v>315</v>
      </c>
      <c r="D2688" s="10" t="n">
        <v>503</v>
      </c>
      <c r="E2688" s="6" t="n">
        <f>SUM(C2688,D2688)/2</f>
        <v>409</v>
      </c>
      <c r="F2688" s="18" t="n">
        <v>8</v>
      </c>
      <c r="G2688" s="18" t="n">
        <v>11</v>
      </c>
      <c r="H2688" s="6" t="n">
        <f>SUM(F2688,G2688)/2</f>
        <v>9.5</v>
      </c>
    </row>
    <row r="2689" s="18" customFormat="1" ht="14.399999999999999" customHeight="1">
      <c r="A2689" s="10" t="s">
        <v>7011</v>
      </c>
      <c r="B2689" s="10" t="s">
        <v>7012</v>
      </c>
      <c r="C2689" s="13" t="n">
        <v>45169</v>
      </c>
      <c r="D2689" s="13" t="n">
        <v>72151</v>
      </c>
      <c r="E2689" s="6" t="n">
        <f>SUM(C2689,D2689)/2</f>
        <v>58660</v>
      </c>
      <c r="F2689" s="12" t="n">
        <v>11281</v>
      </c>
      <c r="G2689" s="12" t="n">
        <v>14036</v>
      </c>
      <c r="H2689" s="6" t="n">
        <f>SUM(F2689,G2689)/2</f>
        <v>12658.5</v>
      </c>
    </row>
    <row r="2690" s="18" customFormat="1" ht="14.399999999999999" customHeight="1">
      <c r="A2690" s="10" t="s">
        <v>7013</v>
      </c>
      <c r="B2690" s="10" t="s">
        <v>7014</v>
      </c>
      <c r="C2690" s="13" t="n">
        <v>30815</v>
      </c>
      <c r="D2690" s="13" t="n">
        <v>49221</v>
      </c>
      <c r="E2690" s="6" t="n">
        <f>SUM(C2690,D2690)/2</f>
        <v>40018</v>
      </c>
      <c r="F2690" s="12" t="n">
        <v>4701</v>
      </c>
      <c r="G2690" s="12" t="n">
        <v>7169</v>
      </c>
      <c r="H2690" s="6" t="n">
        <f>SUM(F2690,G2690)/2</f>
        <v>5935</v>
      </c>
    </row>
    <row r="2691" s="18" customFormat="1" ht="14.399999999999999" customHeight="1">
      <c r="A2691" s="10" t="s">
        <v>7015</v>
      </c>
      <c r="B2691" s="10" t="s">
        <v>7016</v>
      </c>
      <c r="C2691" s="13" t="n">
        <v>29076</v>
      </c>
      <c r="D2691" s="13" t="n">
        <v>46448</v>
      </c>
      <c r="E2691" s="6" t="n">
        <f>SUM(C2691,D2691)/2</f>
        <v>37762</v>
      </c>
      <c r="F2691" s="12" t="n">
        <v>5438</v>
      </c>
      <c r="G2691" s="12" t="n">
        <v>7099</v>
      </c>
      <c r="H2691" s="6" t="n">
        <f>SUM(F2691,G2691)/2</f>
        <v>6268.5</v>
      </c>
    </row>
    <row r="2692" s="18" customFormat="1" ht="14.399999999999999" customHeight="1">
      <c r="A2692" s="10" t="s">
        <v>4239</v>
      </c>
      <c r="B2692" s="10" t="s">
        <v>7017</v>
      </c>
      <c r="C2692" s="13" t="n">
        <v>48077</v>
      </c>
      <c r="D2692" s="13" t="n">
        <v>76797</v>
      </c>
      <c r="E2692" s="6" t="n">
        <f>SUM(C2692,D2692)/2</f>
        <v>62437</v>
      </c>
      <c r="F2692" s="12" t="n">
        <v>5092</v>
      </c>
      <c r="G2692" s="12" t="n">
        <v>7452</v>
      </c>
      <c r="H2692" s="6" t="n">
        <f>SUM(F2692,G2692)/2</f>
        <v>6272</v>
      </c>
    </row>
    <row r="2693" s="18" customFormat="1" ht="14.399999999999999" customHeight="1">
      <c r="A2693" s="10" t="s">
        <v>3291</v>
      </c>
      <c r="B2693" s="10" t="s">
        <v>7018</v>
      </c>
      <c r="C2693" s="13" t="n">
        <v>100112</v>
      </c>
      <c r="D2693" s="13" t="n">
        <v>159920</v>
      </c>
      <c r="E2693" s="6" t="n">
        <f>SUM(C2693,D2693)/2</f>
        <v>130016</v>
      </c>
      <c r="F2693" s="12" t="n">
        <v>22456</v>
      </c>
      <c r="G2693" s="12" t="n">
        <v>30198</v>
      </c>
      <c r="H2693" s="6" t="n">
        <f>SUM(F2693,G2693)/2</f>
        <v>26327</v>
      </c>
    </row>
    <row r="2694" s="18" customFormat="1" ht="14.399999999999999" customHeight="1">
      <c r="A2694" s="10" t="s">
        <v>7019</v>
      </c>
      <c r="B2694" s="10" t="s">
        <v>7020</v>
      </c>
      <c r="C2694" s="13" t="n">
        <v>432663</v>
      </c>
      <c r="D2694" s="13" t="n">
        <v>691137</v>
      </c>
      <c r="E2694" s="6" t="n">
        <f>SUM(C2694,D2694)/2</f>
        <v>561900</v>
      </c>
      <c r="F2694" s="12" t="n">
        <v>66534</v>
      </c>
      <c r="G2694" s="12" t="n">
        <v>97407</v>
      </c>
      <c r="H2694" s="6" t="n">
        <f>SUM(F2694,G2694)/2</f>
        <v>81970.5</v>
      </c>
    </row>
    <row r="2695" s="18" customFormat="1" ht="14.399999999999999" customHeight="1">
      <c r="A2695" s="10" t="s">
        <v>7021</v>
      </c>
      <c r="B2695" s="10" t="s">
        <v>7022</v>
      </c>
      <c r="C2695" s="13" t="n">
        <v>7569</v>
      </c>
      <c r="D2695" s="13" t="n">
        <v>12093</v>
      </c>
      <c r="E2695" s="6" t="n">
        <f>SUM(C2695,D2695)/2</f>
        <v>9831</v>
      </c>
      <c r="F2695" s="12" t="n">
        <v>7198</v>
      </c>
      <c r="G2695" s="12" t="n">
        <v>9949</v>
      </c>
      <c r="H2695" s="6" t="n">
        <f>SUM(F2695,G2695)/2</f>
        <v>8573.5</v>
      </c>
    </row>
    <row r="2696" s="18" customFormat="1" ht="14.399999999999999" customHeight="1">
      <c r="A2696" s="10" t="s">
        <v>7023</v>
      </c>
      <c r="B2696" s="10" t="s">
        <v>7024</v>
      </c>
      <c r="C2696" s="13" t="n">
        <v>35409</v>
      </c>
      <c r="D2696" s="13" t="n">
        <v>56561</v>
      </c>
      <c r="E2696" s="6" t="n">
        <f>SUM(C2696,D2696)/2</f>
        <v>45985</v>
      </c>
      <c r="F2696" s="12" t="n">
        <v>7193</v>
      </c>
      <c r="G2696" s="12" t="n">
        <v>10392</v>
      </c>
      <c r="H2696" s="6" t="n">
        <f>SUM(F2696,G2696)/2</f>
        <v>8792.5</v>
      </c>
    </row>
    <row r="2697" s="18" customFormat="1" ht="14.399999999999999" customHeight="1">
      <c r="A2697" s="10" t="s">
        <v>7025</v>
      </c>
      <c r="B2697" s="10" t="s">
        <v>7026</v>
      </c>
      <c r="C2697" s="13" t="n">
        <v>37723</v>
      </c>
      <c r="D2697" s="13" t="n">
        <v>60259</v>
      </c>
      <c r="E2697" s="6" t="n">
        <f>SUM(C2697,D2697)/2</f>
        <v>48991</v>
      </c>
      <c r="F2697" s="12" t="n">
        <v>4633</v>
      </c>
      <c r="G2697" s="12" t="n">
        <v>6813</v>
      </c>
      <c r="H2697" s="6" t="n">
        <f>SUM(F2697,G2697)/2</f>
        <v>5723</v>
      </c>
    </row>
    <row r="2698" s="18" customFormat="1" ht="14.399999999999999" customHeight="1">
      <c r="A2698" s="10" t="s">
        <v>7027</v>
      </c>
      <c r="B2698" s="10" t="s">
        <v>7028</v>
      </c>
      <c r="C2698" s="13" t="n">
        <v>71985</v>
      </c>
      <c r="D2698" s="13" t="n">
        <v>114989</v>
      </c>
      <c r="E2698" s="6" t="n">
        <f>SUM(C2698,D2698)/2</f>
        <v>93487</v>
      </c>
      <c r="F2698" s="12" t="n">
        <v>105035</v>
      </c>
      <c r="G2698" s="12" t="n">
        <v>169770</v>
      </c>
      <c r="H2698" s="6" t="n">
        <f>SUM(F2698,G2698)/2</f>
        <v>137402.5</v>
      </c>
    </row>
    <row r="2699" s="18" customFormat="1" ht="14.399999999999999" customHeight="1">
      <c r="A2699" s="10" t="s">
        <v>7029</v>
      </c>
      <c r="B2699" s="10" t="s">
        <v>7030</v>
      </c>
      <c r="C2699" s="13" t="n">
        <v>31560</v>
      </c>
      <c r="D2699" s="13" t="n">
        <v>50414</v>
      </c>
      <c r="E2699" s="6" t="n">
        <f>SUM(C2699,D2699)/2</f>
        <v>40987</v>
      </c>
      <c r="F2699" s="12" t="n">
        <v>9158</v>
      </c>
      <c r="G2699" s="12" t="n">
        <v>14027</v>
      </c>
      <c r="H2699" s="6" t="n">
        <f>SUM(F2699,G2699)/2</f>
        <v>11592.5</v>
      </c>
    </row>
    <row r="2700" s="18" customFormat="1" ht="14.399999999999999" customHeight="1">
      <c r="A2700" s="10" t="s">
        <v>7031</v>
      </c>
      <c r="B2700" s="10" t="s">
        <v>7032</v>
      </c>
      <c r="C2700" s="13" t="n">
        <v>18475</v>
      </c>
      <c r="D2700" s="13" t="n">
        <v>29514</v>
      </c>
      <c r="E2700" s="6" t="n">
        <f>SUM(C2700,D2700)/2</f>
        <v>23994.5</v>
      </c>
      <c r="F2700" s="12" t="n">
        <v>7854</v>
      </c>
      <c r="G2700" s="12" t="n">
        <v>12288</v>
      </c>
      <c r="H2700" s="6" t="n">
        <f>SUM(F2700,G2700)/2</f>
        <v>10071</v>
      </c>
    </row>
    <row r="2701" s="18" customFormat="1" ht="14.399999999999999" customHeight="1">
      <c r="A2701" s="10" t="s">
        <v>7033</v>
      </c>
      <c r="B2701" s="10" t="s">
        <v>7034</v>
      </c>
      <c r="C2701" s="13" t="n">
        <v>91019</v>
      </c>
      <c r="D2701" s="13" t="n">
        <v>145397</v>
      </c>
      <c r="E2701" s="6" t="n">
        <f>SUM(C2701,D2701)/2</f>
        <v>118208</v>
      </c>
      <c r="F2701" s="12" t="n">
        <v>17054</v>
      </c>
      <c r="G2701" s="12" t="n">
        <v>22401</v>
      </c>
      <c r="H2701" s="6" t="n">
        <f>SUM(F2701,G2701)/2</f>
        <v>19727.5</v>
      </c>
    </row>
    <row r="2702" s="18" customFormat="1" ht="14.399999999999999" customHeight="1">
      <c r="A2702" s="10" t="s">
        <v>7035</v>
      </c>
      <c r="B2702" s="10" t="s">
        <v>7036</v>
      </c>
      <c r="C2702" s="13" t="n">
        <v>32671</v>
      </c>
      <c r="D2702" s="13" t="n">
        <v>52187</v>
      </c>
      <c r="E2702" s="6" t="n">
        <f>SUM(C2702,D2702)/2</f>
        <v>42429</v>
      </c>
      <c r="F2702" s="12" t="n">
        <v>16836</v>
      </c>
      <c r="G2702" s="12" t="n">
        <v>20558</v>
      </c>
      <c r="H2702" s="6" t="n">
        <f>SUM(F2702,G2702)/2</f>
        <v>18697</v>
      </c>
    </row>
    <row r="2703" s="18" customFormat="1" ht="14.399999999999999" customHeight="1">
      <c r="A2703" s="10" t="s">
        <v>7037</v>
      </c>
      <c r="B2703" s="10" t="s">
        <v>7038</v>
      </c>
      <c r="C2703" s="13" t="n">
        <v>83735</v>
      </c>
      <c r="D2703" s="13" t="n">
        <v>133759</v>
      </c>
      <c r="E2703" s="6" t="n">
        <f>SUM(C2703,D2703)/2</f>
        <v>108747</v>
      </c>
      <c r="F2703" s="12" t="n">
        <v>21766</v>
      </c>
      <c r="G2703" s="12" t="n">
        <v>31820</v>
      </c>
      <c r="H2703" s="6" t="n">
        <f>SUM(F2703,G2703)/2</f>
        <v>26793</v>
      </c>
    </row>
    <row r="2704" s="18" customFormat="1" ht="14.399999999999999" customHeight="1">
      <c r="A2704" s="10" t="s">
        <v>3225</v>
      </c>
      <c r="B2704" s="10" t="s">
        <v>7039</v>
      </c>
      <c r="C2704" s="13" t="n">
        <v>64805</v>
      </c>
      <c r="D2704" s="13" t="n">
        <v>103517</v>
      </c>
      <c r="E2704" s="6" t="n">
        <f>SUM(C2704,D2704)/2</f>
        <v>84161</v>
      </c>
      <c r="F2704" s="12" t="n">
        <v>33442</v>
      </c>
      <c r="G2704" s="12" t="n">
        <v>46895</v>
      </c>
      <c r="H2704" s="6" t="n">
        <f>SUM(F2704,G2704)/2</f>
        <v>40168.5</v>
      </c>
    </row>
    <row r="2705" s="18" customFormat="1" ht="14.399999999999999" customHeight="1">
      <c r="A2705" s="10" t="s">
        <v>7040</v>
      </c>
      <c r="B2705" s="10" t="s">
        <v>7041</v>
      </c>
      <c r="C2705" s="13" t="n">
        <v>2946</v>
      </c>
      <c r="D2705" s="13" t="n">
        <v>4704</v>
      </c>
      <c r="E2705" s="6" t="n">
        <f>SUM(C2705,D2705)/2</f>
        <v>3825</v>
      </c>
      <c r="F2705" s="12" t="n">
        <v>3782</v>
      </c>
      <c r="G2705" s="12" t="n">
        <v>5584</v>
      </c>
      <c r="H2705" s="6" t="n">
        <f>SUM(F2705,G2705)/2</f>
        <v>4683</v>
      </c>
    </row>
    <row r="2706" s="18" customFormat="1" ht="14.399999999999999" customHeight="1">
      <c r="A2706" s="10" t="s">
        <v>2055</v>
      </c>
      <c r="B2706" s="10" t="s">
        <v>7042</v>
      </c>
      <c r="C2706" s="10" t="n">
        <v>18</v>
      </c>
      <c r="D2706" s="10" t="n">
        <v>28</v>
      </c>
      <c r="E2706" s="6" t="n">
        <f>SUM(C2706,D2706)/2</f>
        <v>23</v>
      </c>
      <c r="F2706" s="18" t="n">
        <v>5</v>
      </c>
      <c r="G2706" s="18" t="n">
        <v>7</v>
      </c>
      <c r="H2706" s="6" t="n">
        <f>SUM(F2706,G2706)/2</f>
        <v>6</v>
      </c>
    </row>
    <row r="2707" s="18" customFormat="1" ht="14.399999999999999" customHeight="1">
      <c r="A2707" s="10" t="s">
        <v>7043</v>
      </c>
      <c r="B2707" s="10" t="s">
        <v>7044</v>
      </c>
      <c r="C2707" s="13" t="n">
        <v>31740</v>
      </c>
      <c r="D2707" s="13" t="n">
        <v>50704</v>
      </c>
      <c r="E2707" s="6" t="n">
        <f>SUM(C2707,D2707)/2</f>
        <v>41222</v>
      </c>
      <c r="F2707" s="12" t="n">
        <v>6213</v>
      </c>
      <c r="G2707" s="12" t="n">
        <v>7999</v>
      </c>
      <c r="H2707" s="6" t="n">
        <f>SUM(F2707,G2707)/2</f>
        <v>7106</v>
      </c>
    </row>
    <row r="2708" s="18" customFormat="1" ht="14.399999999999999" customHeight="1">
      <c r="A2708" s="10" t="s">
        <v>7045</v>
      </c>
      <c r="B2708" s="10" t="s">
        <v>7046</v>
      </c>
      <c r="C2708" s="13" t="n">
        <v>11742</v>
      </c>
      <c r="D2708" s="13" t="n">
        <v>18758</v>
      </c>
      <c r="E2708" s="6" t="n">
        <f>SUM(C2708,D2708)/2</f>
        <v>15250</v>
      </c>
      <c r="F2708" s="12" t="n">
        <v>6373</v>
      </c>
      <c r="G2708" s="12" t="n">
        <v>7502</v>
      </c>
      <c r="H2708" s="6" t="n">
        <f>SUM(F2708,G2708)/2</f>
        <v>6937.5</v>
      </c>
    </row>
    <row r="2709" s="18" customFormat="1" ht="14.399999999999999" customHeight="1">
      <c r="A2709" s="10" t="s">
        <v>4583</v>
      </c>
      <c r="B2709" s="10" t="s">
        <v>7047</v>
      </c>
      <c r="C2709" s="13" t="n">
        <v>22638</v>
      </c>
      <c r="D2709" s="13" t="n">
        <v>36162</v>
      </c>
      <c r="E2709" s="6" t="n">
        <f>SUM(C2709,D2709)/2</f>
        <v>29400</v>
      </c>
      <c r="F2709" s="12" t="n">
        <v>7071</v>
      </c>
      <c r="G2709" s="12" t="n">
        <v>9277</v>
      </c>
      <c r="H2709" s="6" t="n">
        <f>SUM(F2709,G2709)/2</f>
        <v>8174</v>
      </c>
    </row>
    <row r="2710" s="18" customFormat="1" ht="14.399999999999999" customHeight="1">
      <c r="A2710" s="10" t="s">
        <v>7048</v>
      </c>
      <c r="B2710" s="10" t="s">
        <v>7049</v>
      </c>
      <c r="C2710" s="13" t="n">
        <v>11907</v>
      </c>
      <c r="D2710" s="13" t="n">
        <v>19021</v>
      </c>
      <c r="E2710" s="6" t="n">
        <f>SUM(C2710,D2710)/2</f>
        <v>15464</v>
      </c>
      <c r="F2710" s="12" t="n">
        <v>6173</v>
      </c>
      <c r="G2710" s="12" t="n">
        <v>8272</v>
      </c>
      <c r="H2710" s="6" t="n">
        <f>SUM(F2710,G2710)/2</f>
        <v>7222.5</v>
      </c>
    </row>
    <row r="2711" s="18" customFormat="1" ht="14.399999999999999" customHeight="1">
      <c r="A2711" s="10" t="s">
        <v>7050</v>
      </c>
      <c r="B2711" s="10" t="s">
        <v>7051</v>
      </c>
      <c r="C2711" s="13" t="n">
        <v>19823</v>
      </c>
      <c r="D2711" s="13" t="n">
        <v>31665</v>
      </c>
      <c r="E2711" s="6" t="n">
        <f>SUM(C2711,D2711)/2</f>
        <v>25744</v>
      </c>
      <c r="F2711" s="12" t="n">
        <v>7239</v>
      </c>
      <c r="G2711" s="12" t="n">
        <v>9825</v>
      </c>
      <c r="H2711" s="6" t="n">
        <f>SUM(F2711,G2711)/2</f>
        <v>8532</v>
      </c>
    </row>
    <row r="2712" s="18" customFormat="1" ht="14.399999999999999" customHeight="1">
      <c r="A2712" s="10" t="s">
        <v>7052</v>
      </c>
      <c r="B2712" s="10" t="s">
        <v>7053</v>
      </c>
      <c r="C2712" s="13" t="n">
        <v>27099</v>
      </c>
      <c r="D2712" s="13" t="n">
        <v>43287</v>
      </c>
      <c r="E2712" s="6" t="n">
        <f>SUM(C2712,D2712)/2</f>
        <v>35193</v>
      </c>
      <c r="F2712" s="12" t="n">
        <v>14484</v>
      </c>
      <c r="G2712" s="12" t="n">
        <v>22165</v>
      </c>
      <c r="H2712" s="6" t="n">
        <f>SUM(F2712,G2712)/2</f>
        <v>18324.5</v>
      </c>
    </row>
    <row r="2713" s="18" customFormat="1" ht="14.399999999999999" customHeight="1">
      <c r="A2713" s="10" t="s">
        <v>2154</v>
      </c>
      <c r="B2713" s="10" t="s">
        <v>7054</v>
      </c>
      <c r="C2713" s="10" t="n">
        <v>9</v>
      </c>
      <c r="D2713" s="10" t="n">
        <v>15</v>
      </c>
      <c r="E2713" s="6" t="n">
        <f>SUM(C2713,D2713)/2</f>
        <v>12</v>
      </c>
      <c r="F2713" s="18" t="n">
        <v>5</v>
      </c>
      <c r="G2713" s="18" t="n">
        <v>6</v>
      </c>
      <c r="H2713" s="6" t="n">
        <f>SUM(F2713,G2713)/2</f>
        <v>5.5</v>
      </c>
    </row>
    <row r="2714" s="18" customFormat="1" ht="14.399999999999999" customHeight="1">
      <c r="A2714" s="10" t="s">
        <v>2993</v>
      </c>
      <c r="B2714" s="10" t="s">
        <v>7055</v>
      </c>
      <c r="C2714" s="10" t="n">
        <v>0</v>
      </c>
      <c r="D2714" s="10" t="n">
        <v>0</v>
      </c>
      <c r="E2714" s="6" t="n">
        <f>SUM(C2714,D2714)/2</f>
        <v>0</v>
      </c>
      <c r="F2714" s="18" t="n">
        <v>0</v>
      </c>
      <c r="G2714" s="18" t="n">
        <v>0</v>
      </c>
      <c r="H2714" s="6" t="n">
        <f>SUM(F2714,G2714)/2</f>
        <v>0</v>
      </c>
    </row>
    <row r="2715" s="18" customFormat="1" ht="14.399999999999999" customHeight="1">
      <c r="A2715" s="10" t="s">
        <v>7056</v>
      </c>
      <c r="B2715" s="10" t="s">
        <v>7057</v>
      </c>
      <c r="C2715" s="13" t="n">
        <v>84105</v>
      </c>
      <c r="D2715" s="13" t="n">
        <v>134347</v>
      </c>
      <c r="E2715" s="6" t="n">
        <f>SUM(C2715,D2715)/2</f>
        <v>109226</v>
      </c>
      <c r="F2715" s="12" t="n">
        <v>17757</v>
      </c>
      <c r="G2715" s="12" t="n">
        <v>26467</v>
      </c>
      <c r="H2715" s="6" t="n">
        <f>SUM(F2715,G2715)/2</f>
        <v>22112</v>
      </c>
    </row>
    <row r="2716" s="18" customFormat="1" ht="14.399999999999999" customHeight="1">
      <c r="A2716" s="10" t="s">
        <v>7058</v>
      </c>
      <c r="B2716" s="10" t="s">
        <v>7059</v>
      </c>
      <c r="C2716" s="13" t="n">
        <v>18003</v>
      </c>
      <c r="D2716" s="13" t="n">
        <v>28757</v>
      </c>
      <c r="E2716" s="6" t="n">
        <f>SUM(C2716,D2716)/2</f>
        <v>23380</v>
      </c>
      <c r="F2716" s="12" t="n">
        <v>7001</v>
      </c>
      <c r="G2716" s="12" t="n">
        <v>8471</v>
      </c>
      <c r="H2716" s="6" t="n">
        <f>SUM(F2716,G2716)/2</f>
        <v>7736</v>
      </c>
    </row>
    <row r="2717" s="18" customFormat="1" ht="14.399999999999999" customHeight="1">
      <c r="A2717" s="10" t="s">
        <v>1559</v>
      </c>
      <c r="B2717" s="10" t="s">
        <v>7060</v>
      </c>
      <c r="C2717" s="10" t="n">
        <v>154</v>
      </c>
      <c r="D2717" s="10" t="n">
        <v>244</v>
      </c>
      <c r="E2717" s="6" t="n">
        <f>SUM(C2717,D2717)/2</f>
        <v>199</v>
      </c>
      <c r="F2717" s="18" t="n">
        <v>7</v>
      </c>
      <c r="G2717" s="18" t="n">
        <v>10</v>
      </c>
      <c r="H2717" s="6" t="n">
        <f>SUM(F2717,G2717)/2</f>
        <v>8.5</v>
      </c>
    </row>
    <row r="2718" s="18" customFormat="1" ht="14.399999999999999" customHeight="1">
      <c r="A2718" s="10" t="s">
        <v>7061</v>
      </c>
      <c r="B2718" s="10" t="s">
        <v>7062</v>
      </c>
      <c r="C2718" s="10" t="n">
        <v>393</v>
      </c>
      <c r="D2718" s="10" t="n">
        <v>629</v>
      </c>
      <c r="E2718" s="6" t="n">
        <f>SUM(C2718,D2718)/2</f>
        <v>511</v>
      </c>
      <c r="F2718" s="12" t="n">
        <v>11065</v>
      </c>
      <c r="G2718" s="12" t="n">
        <v>17318</v>
      </c>
      <c r="H2718" s="6" t="n">
        <f>SUM(F2718,G2718)/2</f>
        <v>14191.5</v>
      </c>
    </row>
    <row r="2719" s="18" customFormat="1" ht="14.399999999999999" customHeight="1">
      <c r="A2719" s="10" t="s">
        <v>2240</v>
      </c>
      <c r="B2719" s="10" t="s">
        <v>7063</v>
      </c>
      <c r="C2719" s="13" t="n">
        <v>102054</v>
      </c>
      <c r="D2719" s="13" t="n">
        <v>163022</v>
      </c>
      <c r="E2719" s="6" t="n">
        <f>SUM(C2719,D2719)/2</f>
        <v>132538</v>
      </c>
      <c r="F2719" s="12" t="n">
        <v>48514</v>
      </c>
      <c r="G2719" s="12" t="n">
        <v>60015</v>
      </c>
      <c r="H2719" s="6" t="n">
        <f>SUM(F2719,G2719)/2</f>
        <v>54264.5</v>
      </c>
    </row>
    <row r="2720" s="18" customFormat="1" ht="14.399999999999999" customHeight="1">
      <c r="A2720" s="10" t="s">
        <v>3637</v>
      </c>
      <c r="B2720" s="10" t="s">
        <v>7064</v>
      </c>
      <c r="C2720" s="13" t="n">
        <v>92564</v>
      </c>
      <c r="D2720" s="13" t="n">
        <v>147864</v>
      </c>
      <c r="E2720" s="6" t="n">
        <f>SUM(C2720,D2720)/2</f>
        <v>120214</v>
      </c>
      <c r="F2720" s="12" t="n">
        <v>6182</v>
      </c>
      <c r="G2720" s="12" t="n">
        <v>15262</v>
      </c>
      <c r="H2720" s="6" t="n">
        <f>SUM(F2720,G2720)/2</f>
        <v>10722</v>
      </c>
    </row>
    <row r="2721" s="18" customFormat="1" ht="14.399999999999999" customHeight="1">
      <c r="A2721" s="10" t="s">
        <v>5470</v>
      </c>
      <c r="B2721" s="10" t="s">
        <v>7065</v>
      </c>
      <c r="C2721" s="13" t="n">
        <v>257937</v>
      </c>
      <c r="D2721" s="13" t="n">
        <v>412029</v>
      </c>
      <c r="E2721" s="6" t="n">
        <f>SUM(C2721,D2721)/2</f>
        <v>334983</v>
      </c>
      <c r="F2721" s="12" t="n">
        <v>11491</v>
      </c>
      <c r="G2721" s="12" t="n">
        <v>29540</v>
      </c>
      <c r="H2721" s="6" t="n">
        <f>SUM(F2721,G2721)/2</f>
        <v>20515.5</v>
      </c>
    </row>
    <row r="2722" s="18" customFormat="1" ht="14.399999999999999" customHeight="1">
      <c r="A2722" s="10" t="s">
        <v>7066</v>
      </c>
      <c r="B2722" s="10" t="s">
        <v>7067</v>
      </c>
      <c r="C2722" s="13" t="n">
        <v>40504</v>
      </c>
      <c r="D2722" s="13" t="n">
        <v>64704</v>
      </c>
      <c r="E2722" s="6" t="n">
        <f>SUM(C2722,D2722)/2</f>
        <v>52604</v>
      </c>
      <c r="F2722" s="12" t="n">
        <v>9906</v>
      </c>
      <c r="G2722" s="12" t="n">
        <v>15596</v>
      </c>
      <c r="H2722" s="6" t="n">
        <f>SUM(F2722,G2722)/2</f>
        <v>12751</v>
      </c>
    </row>
    <row r="2723" s="18" customFormat="1" ht="14.399999999999999" customHeight="1">
      <c r="A2723" s="10" t="s">
        <v>5514</v>
      </c>
      <c r="B2723" s="10" t="s">
        <v>7068</v>
      </c>
      <c r="C2723" s="10" t="n">
        <v>303</v>
      </c>
      <c r="D2723" s="10" t="n">
        <v>483</v>
      </c>
      <c r="E2723" s="6" t="n">
        <f>SUM(C2723,D2723)/2</f>
        <v>393</v>
      </c>
      <c r="F2723" s="18" t="n">
        <v>23</v>
      </c>
      <c r="G2723" s="18" t="n">
        <v>34</v>
      </c>
      <c r="H2723" s="6" t="n">
        <f>SUM(F2723,G2723)/2</f>
        <v>28.5</v>
      </c>
    </row>
    <row r="2724" s="18" customFormat="1" ht="14.399999999999999" customHeight="1">
      <c r="A2724" s="10" t="s">
        <v>538</v>
      </c>
      <c r="B2724" s="10" t="s">
        <v>539</v>
      </c>
      <c r="C2724" s="10" t="n">
        <v>754</v>
      </c>
      <c r="D2724" s="13" t="n">
        <v>1202</v>
      </c>
      <c r="E2724" s="6" t="n">
        <f>SUM(C2724,D2724)/2</f>
        <v>978</v>
      </c>
      <c r="F2724" s="18" t="n">
        <v>110</v>
      </c>
      <c r="G2724" s="18" t="n">
        <v>161</v>
      </c>
      <c r="H2724" s="6" t="n">
        <f>SUM(F2724,G2724)/2</f>
        <v>135.5</v>
      </c>
    </row>
    <row r="2725" s="18" customFormat="1" ht="14.399999999999999" customHeight="1">
      <c r="A2725" s="10" t="s">
        <v>7069</v>
      </c>
      <c r="B2725" s="10" t="s">
        <v>7070</v>
      </c>
      <c r="C2725" s="13" t="n">
        <v>12713</v>
      </c>
      <c r="D2725" s="13" t="n">
        <v>20305</v>
      </c>
      <c r="E2725" s="6" t="n">
        <f>SUM(C2725,D2725)/2</f>
        <v>16509</v>
      </c>
      <c r="F2725" s="12" t="n">
        <v>3607</v>
      </c>
      <c r="G2725" s="12" t="n">
        <v>4543</v>
      </c>
      <c r="H2725" s="6" t="n">
        <f>SUM(F2725,G2725)/2</f>
        <v>4075</v>
      </c>
    </row>
    <row r="2726" s="18" customFormat="1" ht="14.399999999999999" customHeight="1">
      <c r="A2726" s="10" t="s">
        <v>1587</v>
      </c>
      <c r="B2726" s="10" t="s">
        <v>7071</v>
      </c>
      <c r="C2726" s="13" t="n">
        <v>280589</v>
      </c>
      <c r="D2726" s="13" t="n">
        <v>448215</v>
      </c>
      <c r="E2726" s="6" t="n">
        <f>SUM(C2726,D2726)/2</f>
        <v>364402</v>
      </c>
      <c r="F2726" s="12" t="n">
        <v>36677</v>
      </c>
      <c r="G2726" s="12" t="n">
        <v>56203</v>
      </c>
      <c r="H2726" s="6" t="n">
        <f>SUM(F2726,G2726)/2</f>
        <v>46440</v>
      </c>
    </row>
    <row r="2727" s="18" customFormat="1" ht="14.399999999999999" customHeight="1">
      <c r="A2727" s="10" t="s">
        <v>4603</v>
      </c>
      <c r="B2727" s="10" t="s">
        <v>7072</v>
      </c>
      <c r="C2727" s="13" t="n">
        <v>15098</v>
      </c>
      <c r="D2727" s="13" t="n">
        <v>24118</v>
      </c>
      <c r="E2727" s="6" t="n">
        <f>SUM(C2727,D2727)/2</f>
        <v>19608</v>
      </c>
      <c r="F2727" s="12" t="n">
        <v>9656</v>
      </c>
      <c r="G2727" s="12" t="n">
        <v>10355</v>
      </c>
      <c r="H2727" s="6" t="n">
        <f>SUM(F2727,G2727)/2</f>
        <v>10005.5</v>
      </c>
    </row>
    <row r="2728" s="18" customFormat="1" ht="14.399999999999999" customHeight="1">
      <c r="A2728" s="10" t="s">
        <v>458</v>
      </c>
      <c r="B2728" s="10" t="s">
        <v>459</v>
      </c>
      <c r="C2728" s="13" t="n">
        <v>1183</v>
      </c>
      <c r="D2728" s="13" t="n">
        <v>1889</v>
      </c>
      <c r="E2728" s="6" t="n">
        <f>SUM(C2728,D2728)/2</f>
        <v>1536</v>
      </c>
      <c r="F2728" s="18" t="n">
        <v>1</v>
      </c>
      <c r="G2728" s="18" t="n">
        <v>1</v>
      </c>
      <c r="H2728" s="6" t="n">
        <f>SUM(F2728,G2728)/2</f>
        <v>1</v>
      </c>
    </row>
    <row r="2729" s="18" customFormat="1" ht="14.399999999999999" customHeight="1">
      <c r="A2729" s="10" t="s">
        <v>7073</v>
      </c>
      <c r="B2729" s="10" t="s">
        <v>7074</v>
      </c>
      <c r="C2729" s="13" t="n">
        <v>159137</v>
      </c>
      <c r="D2729" s="13" t="n">
        <v>254204</v>
      </c>
      <c r="E2729" s="6" t="n">
        <f>SUM(C2729,D2729)/2</f>
        <v>206670.5</v>
      </c>
      <c r="F2729" s="12" t="n">
        <v>74081</v>
      </c>
      <c r="G2729" s="12" t="n">
        <v>103739</v>
      </c>
      <c r="H2729" s="6" t="n">
        <f>SUM(F2729,G2729)/2</f>
        <v>88910</v>
      </c>
    </row>
    <row r="2730" s="18" customFormat="1" ht="14.399999999999999" customHeight="1">
      <c r="A2730" s="10" t="s">
        <v>3387</v>
      </c>
      <c r="B2730" s="10" t="s">
        <v>7075</v>
      </c>
      <c r="C2730" s="13" t="n">
        <v>21786</v>
      </c>
      <c r="D2730" s="13" t="n">
        <v>34802</v>
      </c>
      <c r="E2730" s="6" t="n">
        <f>SUM(C2730,D2730)/2</f>
        <v>28294</v>
      </c>
      <c r="F2730" s="12" t="n">
        <v>31714</v>
      </c>
      <c r="G2730" s="12" t="n">
        <v>50673</v>
      </c>
      <c r="H2730" s="6" t="n">
        <f>SUM(F2730,G2730)/2</f>
        <v>41193.5</v>
      </c>
    </row>
    <row r="2731" s="18" customFormat="1" ht="14.399999999999999" customHeight="1">
      <c r="A2731" s="10" t="s">
        <v>1023</v>
      </c>
      <c r="B2731" s="10" t="s">
        <v>7076</v>
      </c>
      <c r="C2731" s="10" t="n">
        <v>0</v>
      </c>
      <c r="D2731" s="10" t="n">
        <v>0</v>
      </c>
      <c r="E2731" s="6" t="n">
        <f>SUM(C2731,D2731)/2</f>
        <v>0</v>
      </c>
      <c r="F2731" s="18" t="n">
        <v>5</v>
      </c>
      <c r="G2731" s="18" t="n">
        <v>7</v>
      </c>
      <c r="H2731" s="6" t="n">
        <f>SUM(F2731,G2731)/2</f>
        <v>6</v>
      </c>
    </row>
    <row r="2732" s="18" customFormat="1" ht="14.399999999999999" customHeight="1">
      <c r="A2732" s="10" t="s">
        <v>1314</v>
      </c>
      <c r="B2732" s="10" t="s">
        <v>7077</v>
      </c>
      <c r="C2732" s="13" t="n">
        <v>2016</v>
      </c>
      <c r="D2732" s="13" t="n">
        <v>3222</v>
      </c>
      <c r="E2732" s="6" t="n">
        <f>SUM(C2732,D2732)/2</f>
        <v>2619</v>
      </c>
      <c r="F2732" s="12" t="n">
        <v>9708</v>
      </c>
      <c r="G2732" s="12" t="n">
        <v>14499</v>
      </c>
      <c r="H2732" s="6" t="n">
        <f>SUM(F2732,G2732)/2</f>
        <v>12103.5</v>
      </c>
    </row>
    <row r="2733" s="18" customFormat="1" ht="14.399999999999999" customHeight="1">
      <c r="A2733" s="10" t="s">
        <v>1891</v>
      </c>
      <c r="B2733" s="10" t="s">
        <v>7078</v>
      </c>
      <c r="C2733" s="10" t="n">
        <v>30</v>
      </c>
      <c r="D2733" s="10" t="n">
        <v>46</v>
      </c>
      <c r="E2733" s="6" t="n">
        <f>SUM(C2733,D2733)/2</f>
        <v>38</v>
      </c>
      <c r="F2733" s="18" t="n">
        <v>8</v>
      </c>
      <c r="G2733" s="18" t="n">
        <v>12</v>
      </c>
      <c r="H2733" s="6" t="n">
        <f>SUM(F2733,G2733)/2</f>
        <v>10</v>
      </c>
    </row>
    <row r="2734" s="18" customFormat="1" ht="14.399999999999999" customHeight="1">
      <c r="A2734" s="10" t="s">
        <v>1362</v>
      </c>
      <c r="B2734" s="10" t="s">
        <v>7079</v>
      </c>
      <c r="C2734" s="10" t="n">
        <v>172</v>
      </c>
      <c r="D2734" s="10" t="n">
        <v>274</v>
      </c>
      <c r="E2734" s="6" t="n">
        <f>SUM(C2734,D2734)/2</f>
        <v>223</v>
      </c>
      <c r="F2734" s="18" t="n">
        <v>11</v>
      </c>
      <c r="G2734" s="18" t="n">
        <v>14</v>
      </c>
      <c r="H2734" s="6" t="n">
        <f>SUM(F2734,G2734)/2</f>
        <v>12.5</v>
      </c>
    </row>
    <row r="2735" s="18" customFormat="1" ht="14.399999999999999" customHeight="1">
      <c r="A2735" s="10" t="s">
        <v>4637</v>
      </c>
      <c r="B2735" s="10" t="s">
        <v>7080</v>
      </c>
      <c r="C2735" s="13" t="n">
        <v>12755</v>
      </c>
      <c r="D2735" s="13" t="n">
        <v>20373</v>
      </c>
      <c r="E2735" s="6" t="n">
        <f>SUM(C2735,D2735)/2</f>
        <v>16564</v>
      </c>
      <c r="F2735" s="12" t="n">
        <v>8167</v>
      </c>
      <c r="G2735" s="12" t="n">
        <v>12069</v>
      </c>
      <c r="H2735" s="6" t="n">
        <f>SUM(F2735,G2735)/2</f>
        <v>10118</v>
      </c>
    </row>
    <row r="2736" s="18" customFormat="1" ht="14.399999999999999" customHeight="1">
      <c r="A2736" s="10" t="s">
        <v>7081</v>
      </c>
      <c r="B2736" s="10" t="s">
        <v>7082</v>
      </c>
      <c r="C2736" s="13" t="n">
        <v>37728</v>
      </c>
      <c r="D2736" s="13" t="n">
        <v>60268</v>
      </c>
      <c r="E2736" s="6" t="n">
        <f>SUM(C2736,D2736)/2</f>
        <v>48998</v>
      </c>
      <c r="F2736" s="12" t="n">
        <v>7748</v>
      </c>
      <c r="G2736" s="12" t="n">
        <v>10731</v>
      </c>
      <c r="H2736" s="6" t="n">
        <f>SUM(F2736,G2736)/2</f>
        <v>9239.5</v>
      </c>
    </row>
    <row r="2737" s="18" customFormat="1" ht="14.399999999999999" customHeight="1">
      <c r="A2737" s="10" t="s">
        <v>2722</v>
      </c>
      <c r="B2737" s="10" t="s">
        <v>7083</v>
      </c>
      <c r="C2737" s="10" t="n">
        <v>3</v>
      </c>
      <c r="D2737" s="10" t="n">
        <v>5</v>
      </c>
      <c r="E2737" s="6" t="n">
        <f>SUM(C2737,D2737)/2</f>
        <v>4</v>
      </c>
      <c r="F2737" s="18" t="n">
        <v>0</v>
      </c>
      <c r="G2737" s="18" t="n">
        <v>0</v>
      </c>
      <c r="H2737" s="6" t="n">
        <f>SUM(F2737,G2737)/2</f>
        <v>0</v>
      </c>
    </row>
    <row r="2738" s="18" customFormat="1" ht="14.399999999999999" customHeight="1">
      <c r="A2738" s="10" t="s">
        <v>4019</v>
      </c>
      <c r="B2738" s="10" t="s">
        <v>7084</v>
      </c>
      <c r="C2738" s="13" t="n">
        <v>44481</v>
      </c>
      <c r="D2738" s="13" t="n">
        <v>71054</v>
      </c>
      <c r="E2738" s="6" t="n">
        <f>SUM(C2738,D2738)/2</f>
        <v>57767.5</v>
      </c>
      <c r="F2738" s="12" t="n">
        <v>10695</v>
      </c>
      <c r="G2738" s="12" t="n">
        <v>13708</v>
      </c>
      <c r="H2738" s="6" t="n">
        <f>SUM(F2738,G2738)/2</f>
        <v>12201.5</v>
      </c>
    </row>
    <row r="2739" s="18" customFormat="1" ht="14.399999999999999" customHeight="1">
      <c r="A2739" s="10" t="s">
        <v>7085</v>
      </c>
      <c r="B2739" s="10" t="s">
        <v>7086</v>
      </c>
      <c r="C2739" s="13" t="n">
        <v>35028</v>
      </c>
      <c r="D2739" s="13" t="n">
        <v>55954</v>
      </c>
      <c r="E2739" s="6" t="n">
        <f>SUM(C2739,D2739)/2</f>
        <v>45491</v>
      </c>
      <c r="F2739" s="12" t="n">
        <v>9839</v>
      </c>
      <c r="G2739" s="12" t="n">
        <v>14836</v>
      </c>
      <c r="H2739" s="6" t="n">
        <f>SUM(F2739,G2739)/2</f>
        <v>12337.5</v>
      </c>
    </row>
    <row r="2740" s="18" customFormat="1" ht="14.399999999999999" customHeight="1">
      <c r="A2740" s="10" t="s">
        <v>7087</v>
      </c>
      <c r="B2740" s="10" t="s">
        <v>7088</v>
      </c>
      <c r="C2740" s="13" t="n">
        <v>136687</v>
      </c>
      <c r="D2740" s="13" t="n">
        <v>218346</v>
      </c>
      <c r="E2740" s="6" t="n">
        <f>SUM(C2740,D2740)/2</f>
        <v>177516.5</v>
      </c>
      <c r="F2740" s="12" t="n">
        <v>52901</v>
      </c>
      <c r="G2740" s="12" t="n">
        <v>69184</v>
      </c>
      <c r="H2740" s="6" t="n">
        <f>SUM(F2740,G2740)/2</f>
        <v>61042.5</v>
      </c>
    </row>
    <row r="2741" s="18" customFormat="1" ht="14.399999999999999" customHeight="1">
      <c r="A2741" s="10" t="s">
        <v>7089</v>
      </c>
      <c r="B2741" s="10" t="s">
        <v>7090</v>
      </c>
      <c r="C2741" s="13" t="n">
        <v>53905</v>
      </c>
      <c r="D2741" s="13" t="n">
        <v>86109</v>
      </c>
      <c r="E2741" s="6" t="n">
        <f>SUM(C2741,D2741)/2</f>
        <v>70007</v>
      </c>
      <c r="F2741" s="12" t="n">
        <v>8987</v>
      </c>
      <c r="G2741" s="12" t="n">
        <v>14062</v>
      </c>
      <c r="H2741" s="6" t="n">
        <f>SUM(F2741,G2741)/2</f>
        <v>11524.5</v>
      </c>
    </row>
    <row r="2742" s="18" customFormat="1" ht="14.399999999999999" customHeight="1">
      <c r="A2742" s="10" t="s">
        <v>7091</v>
      </c>
      <c r="B2742" s="10" t="s">
        <v>7092</v>
      </c>
      <c r="C2742" s="13" t="n">
        <v>30725</v>
      </c>
      <c r="D2742" s="13" t="n">
        <v>49077</v>
      </c>
      <c r="E2742" s="6" t="n">
        <f>SUM(C2742,D2742)/2</f>
        <v>39901</v>
      </c>
      <c r="F2742" s="12" t="n">
        <v>6629</v>
      </c>
      <c r="G2742" s="12" t="n">
        <v>11905</v>
      </c>
      <c r="H2742" s="6" t="n">
        <f>SUM(F2742,G2742)/2</f>
        <v>9267</v>
      </c>
    </row>
    <row r="2743" s="18" customFormat="1" ht="14.399999999999999" customHeight="1">
      <c r="A2743" s="10" t="s">
        <v>7093</v>
      </c>
      <c r="B2743" s="10" t="s">
        <v>7094</v>
      </c>
      <c r="C2743" s="13" t="n">
        <v>23194</v>
      </c>
      <c r="D2743" s="13" t="n">
        <v>37050</v>
      </c>
      <c r="E2743" s="6" t="n">
        <f>SUM(C2743,D2743)/2</f>
        <v>30122</v>
      </c>
      <c r="F2743" s="12" t="n">
        <v>14516</v>
      </c>
      <c r="G2743" s="12" t="n">
        <v>18099</v>
      </c>
      <c r="H2743" s="6" t="n">
        <f>SUM(F2743,G2743)/2</f>
        <v>16307.5</v>
      </c>
    </row>
    <row r="2744" s="18" customFormat="1" ht="14.399999999999999" customHeight="1">
      <c r="A2744" s="10" t="s">
        <v>2035</v>
      </c>
      <c r="B2744" s="10" t="s">
        <v>7095</v>
      </c>
      <c r="C2744" s="10" t="n">
        <v>0</v>
      </c>
      <c r="D2744" s="10" t="n">
        <v>0</v>
      </c>
      <c r="E2744" s="6" t="n">
        <f>SUM(C2744,D2744)/2</f>
        <v>0</v>
      </c>
      <c r="F2744" s="18" t="n">
        <v>8</v>
      </c>
      <c r="G2744" s="18" t="n">
        <v>15</v>
      </c>
      <c r="H2744" s="6" t="n">
        <f>SUM(F2744,G2744)/2</f>
        <v>11.5</v>
      </c>
    </row>
    <row r="2745" s="18" customFormat="1" ht="14.399999999999999" customHeight="1">
      <c r="A2745" s="10" t="s">
        <v>7096</v>
      </c>
      <c r="B2745" s="10" t="s">
        <v>7097</v>
      </c>
      <c r="C2745" s="13" t="n">
        <v>39118</v>
      </c>
      <c r="D2745" s="13" t="n">
        <v>62486</v>
      </c>
      <c r="E2745" s="6" t="n">
        <f>SUM(C2745,D2745)/2</f>
        <v>50802</v>
      </c>
      <c r="F2745" s="12" t="n">
        <v>9649</v>
      </c>
      <c r="G2745" s="12" t="n">
        <v>13224</v>
      </c>
      <c r="H2745" s="6" t="n">
        <f>SUM(F2745,G2745)/2</f>
        <v>11436.5</v>
      </c>
    </row>
    <row r="2746" s="18" customFormat="1" ht="14.399999999999999" customHeight="1">
      <c r="A2746" s="10" t="s">
        <v>2995</v>
      </c>
      <c r="B2746" s="10" t="s">
        <v>7098</v>
      </c>
      <c r="C2746" s="10"/>
      <c r="D2746" s="10"/>
      <c r="E2746" s="6" t="n">
        <f>SUM(C2746,D2746)/2</f>
        <v>0</v>
      </c>
      <c r="F2746" s="18" t="n">
        <v>0</v>
      </c>
      <c r="G2746" s="18" t="n">
        <v>0</v>
      </c>
      <c r="H2746" s="6" t="n">
        <f>SUM(F2746,G2746)/2</f>
        <v>0</v>
      </c>
    </row>
    <row r="2747" s="18" customFormat="1" ht="14.399999999999999" customHeight="1">
      <c r="A2747" s="10" t="s">
        <v>5049</v>
      </c>
      <c r="B2747" s="10" t="s">
        <v>7099</v>
      </c>
      <c r="C2747" s="13" t="n">
        <v>4870</v>
      </c>
      <c r="D2747" s="13" t="n">
        <v>7778</v>
      </c>
      <c r="E2747" s="6" t="n">
        <f>SUM(C2747,D2747)/2</f>
        <v>6324</v>
      </c>
      <c r="F2747" s="12" t="n">
        <v>6256</v>
      </c>
      <c r="G2747" s="12" t="n">
        <v>9174</v>
      </c>
      <c r="H2747" s="6" t="n">
        <f>SUM(F2747,G2747)/2</f>
        <v>7715</v>
      </c>
    </row>
    <row r="2748" s="18" customFormat="1" ht="14.399999999999999" customHeight="1">
      <c r="A2748" s="10" t="s">
        <v>7100</v>
      </c>
      <c r="B2748" s="10" t="s">
        <v>7101</v>
      </c>
      <c r="C2748" s="13" t="n">
        <v>34754</v>
      </c>
      <c r="D2748" s="13" t="n">
        <v>55514</v>
      </c>
      <c r="E2748" s="6" t="n">
        <f>SUM(C2748,D2748)/2</f>
        <v>45134</v>
      </c>
      <c r="F2748" s="12" t="n">
        <v>25300</v>
      </c>
      <c r="G2748" s="12" t="n">
        <v>28708</v>
      </c>
      <c r="H2748" s="6" t="n">
        <f>SUM(F2748,G2748)/2</f>
        <v>27004</v>
      </c>
    </row>
    <row r="2749" s="18" customFormat="1" ht="14.399999999999999" customHeight="1">
      <c r="A2749" s="10" t="s">
        <v>7102</v>
      </c>
      <c r="B2749" s="10" t="s">
        <v>7103</v>
      </c>
      <c r="C2749" s="13" t="n">
        <v>35447</v>
      </c>
      <c r="D2749" s="13" t="n">
        <v>56621</v>
      </c>
      <c r="E2749" s="6" t="n">
        <f>SUM(C2749,D2749)/2</f>
        <v>46034</v>
      </c>
      <c r="F2749" s="12" t="n">
        <v>16734</v>
      </c>
      <c r="G2749" s="12" t="n">
        <v>20500</v>
      </c>
      <c r="H2749" s="6" t="n">
        <f>SUM(F2749,G2749)/2</f>
        <v>18617</v>
      </c>
    </row>
    <row r="2750" s="18" customFormat="1" ht="14.399999999999999" customHeight="1">
      <c r="A2750" s="10" t="s">
        <v>7104</v>
      </c>
      <c r="B2750" s="10" t="s">
        <v>7105</v>
      </c>
      <c r="C2750" s="13" t="n">
        <v>1560007</v>
      </c>
      <c r="D2750" s="13" t="n">
        <v>2491959</v>
      </c>
      <c r="E2750" s="6" t="n">
        <f>SUM(C2750,D2750)/2</f>
        <v>2025983</v>
      </c>
      <c r="F2750" s="12" t="n">
        <v>616376</v>
      </c>
      <c r="G2750" s="12" t="n">
        <v>858739</v>
      </c>
      <c r="H2750" s="6" t="n">
        <f>SUM(F2750,G2750)/2</f>
        <v>737557.5</v>
      </c>
    </row>
    <row r="2751" s="18" customFormat="1" ht="14.399999999999999" customHeight="1">
      <c r="A2751" s="10" t="s">
        <v>7106</v>
      </c>
      <c r="B2751" s="10" t="s">
        <v>7107</v>
      </c>
      <c r="C2751" s="13" t="n">
        <v>5747</v>
      </c>
      <c r="D2751" s="13" t="n">
        <v>9181</v>
      </c>
      <c r="E2751" s="6" t="n">
        <f>SUM(C2751,D2751)/2</f>
        <v>7464</v>
      </c>
      <c r="F2751" s="12" t="n">
        <v>1938</v>
      </c>
      <c r="G2751" s="12" t="n">
        <v>2488</v>
      </c>
      <c r="H2751" s="6" t="n">
        <f>SUM(F2751,G2751)/2</f>
        <v>2213</v>
      </c>
    </row>
    <row r="2752" s="18" customFormat="1" ht="14.399999999999999" customHeight="1">
      <c r="A2752" s="10" t="s">
        <v>7108</v>
      </c>
      <c r="B2752" s="10" t="s">
        <v>7109</v>
      </c>
      <c r="C2752" s="13" t="n">
        <v>23275</v>
      </c>
      <c r="D2752" s="13" t="n">
        <v>37179</v>
      </c>
      <c r="E2752" s="6" t="n">
        <f>SUM(C2752,D2752)/2</f>
        <v>30227</v>
      </c>
      <c r="F2752" s="12" t="n">
        <v>6249</v>
      </c>
      <c r="G2752" s="12" t="n">
        <v>10795</v>
      </c>
      <c r="H2752" s="6" t="n">
        <f>SUM(F2752,G2752)/2</f>
        <v>8522</v>
      </c>
    </row>
    <row r="2753" s="18" customFormat="1" ht="14.399999999999999" customHeight="1">
      <c r="A2753" s="10" t="s">
        <v>3405</v>
      </c>
      <c r="B2753" s="10" t="s">
        <v>7110</v>
      </c>
      <c r="C2753" s="13" t="n">
        <v>80299</v>
      </c>
      <c r="D2753" s="13" t="n">
        <v>128271</v>
      </c>
      <c r="E2753" s="6" t="n">
        <f>SUM(C2753,D2753)/2</f>
        <v>104285</v>
      </c>
      <c r="F2753" s="12" t="n">
        <v>18780</v>
      </c>
      <c r="G2753" s="12" t="n">
        <v>30078</v>
      </c>
      <c r="H2753" s="6" t="n">
        <f>SUM(F2753,G2753)/2</f>
        <v>24429</v>
      </c>
    </row>
    <row r="2754" s="18" customFormat="1" ht="14.399999999999999" customHeight="1">
      <c r="A2754" s="10" t="s">
        <v>7111</v>
      </c>
      <c r="B2754" s="10" t="s">
        <v>7112</v>
      </c>
      <c r="C2754" s="13" t="n">
        <v>37634</v>
      </c>
      <c r="D2754" s="13" t="n">
        <v>60112</v>
      </c>
      <c r="E2754" s="6" t="n">
        <f>SUM(C2754,D2754)/2</f>
        <v>48873</v>
      </c>
      <c r="F2754" s="12" t="n">
        <v>7370</v>
      </c>
      <c r="G2754" s="12" t="n">
        <v>11333</v>
      </c>
      <c r="H2754" s="6" t="n">
        <f>SUM(F2754,G2754)/2</f>
        <v>9351.5</v>
      </c>
    </row>
    <row r="2755" s="18" customFormat="1" ht="14.399999999999999" customHeight="1">
      <c r="A2755" s="10" t="s">
        <v>7113</v>
      </c>
      <c r="B2755" s="10" t="s">
        <v>7114</v>
      </c>
      <c r="C2755" s="13" t="n">
        <v>21031</v>
      </c>
      <c r="D2755" s="13" t="n">
        <v>33597</v>
      </c>
      <c r="E2755" s="6" t="n">
        <f>SUM(C2755,D2755)/2</f>
        <v>27314</v>
      </c>
      <c r="F2755" s="12" t="n">
        <v>11590</v>
      </c>
      <c r="G2755" s="12" t="n">
        <v>15441</v>
      </c>
      <c r="H2755" s="6" t="n">
        <f>SUM(F2755,G2755)/2</f>
        <v>13515.5</v>
      </c>
    </row>
    <row r="2756" s="18" customFormat="1" ht="14.399999999999999" customHeight="1">
      <c r="A2756" s="10" t="s">
        <v>1038</v>
      </c>
      <c r="B2756" s="10" t="s">
        <v>7115</v>
      </c>
      <c r="C2756" s="13" t="n">
        <v>1217</v>
      </c>
      <c r="D2756" s="13" t="n">
        <v>1945</v>
      </c>
      <c r="E2756" s="6" t="n">
        <f>SUM(C2756,D2756)/2</f>
        <v>1581</v>
      </c>
      <c r="F2756" s="18" t="n">
        <v>989</v>
      </c>
      <c r="G2756" s="18" t="n">
        <v>1100</v>
      </c>
      <c r="H2756" s="6" t="n">
        <f>SUM(F2756,G2756)/2</f>
        <v>1044.5</v>
      </c>
    </row>
    <row r="2757" s="18" customFormat="1" ht="14.399999999999999" customHeight="1">
      <c r="A2757" s="10" t="s">
        <v>5382</v>
      </c>
      <c r="B2757" s="10" t="s">
        <v>7116</v>
      </c>
      <c r="C2757" s="10" t="n">
        <v>356</v>
      </c>
      <c r="D2757" s="10" t="n">
        <v>568</v>
      </c>
      <c r="E2757" s="6" t="n">
        <f>SUM(C2757,D2757)/2</f>
        <v>462</v>
      </c>
      <c r="F2757" s="18" t="n">
        <v>200</v>
      </c>
      <c r="G2757" s="18" t="n">
        <v>338</v>
      </c>
      <c r="H2757" s="6" t="n">
        <f>SUM(F2757,G2757)/2</f>
        <v>269</v>
      </c>
    </row>
    <row r="2758" s="18" customFormat="1" ht="14.399999999999999" customHeight="1">
      <c r="A2758" s="10" t="s">
        <v>7117</v>
      </c>
      <c r="B2758" s="10" t="s">
        <v>7118</v>
      </c>
      <c r="C2758" s="13" t="n">
        <v>32929</v>
      </c>
      <c r="D2758" s="13" t="n">
        <v>52599</v>
      </c>
      <c r="E2758" s="6" t="n">
        <f>SUM(C2758,D2758)/2</f>
        <v>42764</v>
      </c>
      <c r="F2758" s="12" t="n">
        <v>5533</v>
      </c>
      <c r="G2758" s="12" t="n">
        <v>9419</v>
      </c>
      <c r="H2758" s="6" t="n">
        <f>SUM(F2758,G2758)/2</f>
        <v>7476</v>
      </c>
    </row>
    <row r="2759" s="18" customFormat="1" ht="14.399999999999999" customHeight="1">
      <c r="A2759" s="10" t="s">
        <v>7119</v>
      </c>
      <c r="B2759" s="10" t="s">
        <v>7120</v>
      </c>
      <c r="C2759" s="13" t="n">
        <v>18274</v>
      </c>
      <c r="D2759" s="13" t="n">
        <v>29190</v>
      </c>
      <c r="E2759" s="6" t="n">
        <f>SUM(C2759,D2759)/2</f>
        <v>23732</v>
      </c>
      <c r="F2759" s="12" t="n">
        <v>4512</v>
      </c>
      <c r="G2759" s="12" t="n">
        <v>7982</v>
      </c>
      <c r="H2759" s="6" t="n">
        <f>SUM(F2759,G2759)/2</f>
        <v>6247</v>
      </c>
    </row>
    <row r="2760" s="18" customFormat="1" ht="14.399999999999999" customHeight="1">
      <c r="A2760" s="10" t="s">
        <v>7121</v>
      </c>
      <c r="B2760" s="10" t="s">
        <v>7122</v>
      </c>
      <c r="C2760" s="13" t="n">
        <v>159828</v>
      </c>
      <c r="D2760" s="13" t="n">
        <v>255310</v>
      </c>
      <c r="E2760" s="6" t="n">
        <f>SUM(C2760,D2760)/2</f>
        <v>207569</v>
      </c>
      <c r="F2760" s="12" t="n">
        <v>3502</v>
      </c>
      <c r="G2760" s="12" t="n">
        <v>11015</v>
      </c>
      <c r="H2760" s="6" t="n">
        <f>SUM(F2760,G2760)/2</f>
        <v>7258.5</v>
      </c>
    </row>
    <row r="2761" s="18" customFormat="1" ht="14.399999999999999" customHeight="1">
      <c r="A2761" s="10" t="s">
        <v>1366</v>
      </c>
      <c r="B2761" s="10" t="s">
        <v>7123</v>
      </c>
      <c r="C2761" s="10" t="n">
        <v>445</v>
      </c>
      <c r="D2761" s="10" t="n">
        <v>711</v>
      </c>
      <c r="E2761" s="6" t="n">
        <f>SUM(C2761,D2761)/2</f>
        <v>578</v>
      </c>
      <c r="F2761" s="18" t="n">
        <v>0</v>
      </c>
      <c r="G2761" s="18" t="n">
        <v>0</v>
      </c>
      <c r="H2761" s="6" t="n">
        <f>SUM(F2761,G2761)/2</f>
        <v>0</v>
      </c>
    </row>
    <row r="2762" s="18" customFormat="1" ht="14.399999999999999" customHeight="1">
      <c r="A2762" s="10" t="s">
        <v>7124</v>
      </c>
      <c r="B2762" s="10" t="s">
        <v>7125</v>
      </c>
      <c r="C2762" s="13" t="n">
        <v>73897</v>
      </c>
      <c r="D2762" s="13" t="n">
        <v>118043</v>
      </c>
      <c r="E2762" s="6" t="n">
        <f>SUM(C2762,D2762)/2</f>
        <v>95970</v>
      </c>
      <c r="F2762" s="12" t="n">
        <v>7896</v>
      </c>
      <c r="G2762" s="12" t="n">
        <v>10537</v>
      </c>
      <c r="H2762" s="6" t="n">
        <f>SUM(F2762,G2762)/2</f>
        <v>9216.5</v>
      </c>
    </row>
    <row r="2763" s="18" customFormat="1" ht="14.399999999999999" customHeight="1">
      <c r="A2763" s="10" t="s">
        <v>4887</v>
      </c>
      <c r="B2763" s="10" t="s">
        <v>7126</v>
      </c>
      <c r="C2763" s="13" t="n">
        <v>20728</v>
      </c>
      <c r="D2763" s="13" t="n">
        <v>33112</v>
      </c>
      <c r="E2763" s="6" t="n">
        <f>SUM(C2763,D2763)/2</f>
        <v>26920</v>
      </c>
      <c r="F2763" s="12" t="n">
        <v>4267</v>
      </c>
      <c r="G2763" s="12" t="n">
        <v>6248</v>
      </c>
      <c r="H2763" s="6" t="n">
        <f>SUM(F2763,G2763)/2</f>
        <v>5257.5</v>
      </c>
    </row>
    <row r="2764" s="18" customFormat="1" ht="14.399999999999999" customHeight="1">
      <c r="A2764" s="10" t="s">
        <v>7127</v>
      </c>
      <c r="B2764" s="10" t="s">
        <v>7128</v>
      </c>
      <c r="C2764" s="10" t="n">
        <v>10</v>
      </c>
      <c r="D2764" s="10" t="n">
        <v>16</v>
      </c>
      <c r="E2764" s="6" t="n">
        <f>SUM(C2764,D2764)/2</f>
        <v>13</v>
      </c>
      <c r="F2764" s="18" t="n">
        <v>0</v>
      </c>
      <c r="G2764" s="18" t="n">
        <v>0</v>
      </c>
      <c r="H2764" s="6" t="n">
        <f>SUM(F2764,G2764)/2</f>
        <v>0</v>
      </c>
    </row>
    <row r="2765" s="18" customFormat="1" ht="14.399999999999999" customHeight="1">
      <c r="A2765" s="10" t="s">
        <v>7129</v>
      </c>
      <c r="B2765" s="10" t="s">
        <v>7130</v>
      </c>
      <c r="C2765" s="13" t="n">
        <v>42806</v>
      </c>
      <c r="D2765" s="13" t="n">
        <v>68378</v>
      </c>
      <c r="E2765" s="6" t="n">
        <f>SUM(C2765,D2765)/2</f>
        <v>55592</v>
      </c>
      <c r="F2765" s="12" t="n">
        <v>10099</v>
      </c>
      <c r="G2765" s="12" t="n">
        <v>13376</v>
      </c>
      <c r="H2765" s="6" t="n">
        <f>SUM(F2765,G2765)/2</f>
        <v>11737.5</v>
      </c>
    </row>
    <row r="2766" s="18" customFormat="1" ht="14.399999999999999" customHeight="1">
      <c r="A2766" s="10" t="s">
        <v>7131</v>
      </c>
      <c r="B2766" s="10" t="s">
        <v>7132</v>
      </c>
      <c r="C2766" s="13" t="n">
        <v>25024</v>
      </c>
      <c r="D2766" s="13" t="n">
        <v>39977</v>
      </c>
      <c r="E2766" s="6" t="n">
        <f>SUM(C2766,D2766)/2</f>
        <v>32500.5</v>
      </c>
      <c r="F2766" s="12" t="n">
        <v>5326</v>
      </c>
      <c r="G2766" s="12" t="n">
        <v>7233</v>
      </c>
      <c r="H2766" s="6" t="n">
        <f>SUM(F2766,G2766)/2</f>
        <v>6279.5</v>
      </c>
    </row>
    <row r="2767" s="18" customFormat="1" ht="14.399999999999999" customHeight="1">
      <c r="A2767" s="10" t="s">
        <v>7133</v>
      </c>
      <c r="B2767" s="10" t="s">
        <v>7134</v>
      </c>
      <c r="C2767" s="13" t="n">
        <v>6105</v>
      </c>
      <c r="D2767" s="13" t="n">
        <v>9753</v>
      </c>
      <c r="E2767" s="6" t="n">
        <f>SUM(C2767,D2767)/2</f>
        <v>7929</v>
      </c>
      <c r="F2767" s="12" t="n">
        <v>7080</v>
      </c>
      <c r="G2767" s="12" t="n">
        <v>10817</v>
      </c>
      <c r="H2767" s="6" t="n">
        <f>SUM(F2767,G2767)/2</f>
        <v>8948.5</v>
      </c>
    </row>
    <row r="2768" s="18" customFormat="1" ht="14.399999999999999" customHeight="1">
      <c r="A2768" s="10" t="s">
        <v>7135</v>
      </c>
      <c r="B2768" s="10" t="s">
        <v>7136</v>
      </c>
      <c r="C2768" s="13" t="n">
        <v>16082</v>
      </c>
      <c r="D2768" s="13" t="n">
        <v>25686</v>
      </c>
      <c r="E2768" s="6" t="n">
        <f>SUM(C2768,D2768)/2</f>
        <v>20884</v>
      </c>
      <c r="F2768" s="12" t="n">
        <v>9169</v>
      </c>
      <c r="G2768" s="12" t="n">
        <v>11604</v>
      </c>
      <c r="H2768" s="6" t="n">
        <f>SUM(F2768,G2768)/2</f>
        <v>10386.5</v>
      </c>
    </row>
    <row r="2769" s="18" customFormat="1" ht="14.399999999999999" customHeight="1">
      <c r="A2769" s="10" t="s">
        <v>7137</v>
      </c>
      <c r="B2769" s="10" t="s">
        <v>7138</v>
      </c>
      <c r="C2769" s="13" t="n">
        <v>4371</v>
      </c>
      <c r="D2769" s="13" t="n">
        <v>6981</v>
      </c>
      <c r="E2769" s="6" t="n">
        <f>SUM(C2769,D2769)/2</f>
        <v>5676</v>
      </c>
      <c r="F2769" s="12" t="n">
        <v>10074</v>
      </c>
      <c r="G2769" s="12" t="n">
        <v>15300</v>
      </c>
      <c r="H2769" s="6" t="n">
        <f>SUM(F2769,G2769)/2</f>
        <v>12687</v>
      </c>
    </row>
    <row r="2770" s="18" customFormat="1" ht="14.399999999999999" customHeight="1">
      <c r="A2770" s="10" t="s">
        <v>7139</v>
      </c>
      <c r="B2770" s="10" t="s">
        <v>7140</v>
      </c>
      <c r="C2770" s="13" t="n">
        <v>37048</v>
      </c>
      <c r="D2770" s="13" t="n">
        <v>59182</v>
      </c>
      <c r="E2770" s="6" t="n">
        <f>SUM(C2770,D2770)/2</f>
        <v>48115</v>
      </c>
      <c r="F2770" s="12" t="n">
        <v>9024</v>
      </c>
      <c r="G2770" s="12" t="n">
        <v>11631</v>
      </c>
      <c r="H2770" s="6" t="n">
        <f>SUM(F2770,G2770)/2</f>
        <v>10327.5</v>
      </c>
    </row>
    <row r="2771" s="18" customFormat="1" ht="14.399999999999999" customHeight="1">
      <c r="A2771" s="10" t="s">
        <v>7141</v>
      </c>
      <c r="B2771" s="10" t="s">
        <v>7142</v>
      </c>
      <c r="C2771" s="13" t="n">
        <v>411789</v>
      </c>
      <c r="D2771" s="13" t="n">
        <v>657793</v>
      </c>
      <c r="E2771" s="6" t="n">
        <f>SUM(C2771,D2771)/2</f>
        <v>534791</v>
      </c>
      <c r="F2771" s="12" t="n">
        <v>128733</v>
      </c>
      <c r="G2771" s="12" t="n">
        <v>178886</v>
      </c>
      <c r="H2771" s="6" t="n">
        <f>SUM(F2771,G2771)/2</f>
        <v>153809.5</v>
      </c>
    </row>
    <row r="2772" s="18" customFormat="1" ht="14.399999999999999" customHeight="1">
      <c r="A2772" s="10" t="s">
        <v>7143</v>
      </c>
      <c r="B2772" s="10" t="s">
        <v>7144</v>
      </c>
      <c r="C2772" s="13" t="n">
        <v>10307</v>
      </c>
      <c r="D2772" s="13" t="n">
        <v>16465</v>
      </c>
      <c r="E2772" s="6" t="n">
        <f>SUM(C2772,D2772)/2</f>
        <v>13386</v>
      </c>
      <c r="F2772" s="12" t="n">
        <v>12328</v>
      </c>
      <c r="G2772" s="12" t="n">
        <v>16264</v>
      </c>
      <c r="H2772" s="6" t="n">
        <f>SUM(F2772,G2772)/2</f>
        <v>14296</v>
      </c>
    </row>
    <row r="2773" s="18" customFormat="1" ht="14.399999999999999" customHeight="1">
      <c r="A2773" s="10" t="s">
        <v>7145</v>
      </c>
      <c r="B2773" s="10" t="s">
        <v>7146</v>
      </c>
      <c r="C2773" s="13" t="n">
        <v>43457</v>
      </c>
      <c r="D2773" s="13" t="n">
        <v>69419</v>
      </c>
      <c r="E2773" s="6" t="n">
        <f>SUM(C2773,D2773)/2</f>
        <v>56438</v>
      </c>
      <c r="F2773" s="12" t="n">
        <v>15499</v>
      </c>
      <c r="G2773" s="12" t="n">
        <v>18927</v>
      </c>
      <c r="H2773" s="6" t="n">
        <f>SUM(F2773,G2773)/2</f>
        <v>17213</v>
      </c>
    </row>
    <row r="2774" s="18" customFormat="1" ht="14.399999999999999" customHeight="1">
      <c r="A2774" s="10" t="s">
        <v>7147</v>
      </c>
      <c r="B2774" s="10" t="s">
        <v>7148</v>
      </c>
      <c r="C2774" s="13" t="n">
        <v>26312</v>
      </c>
      <c r="D2774" s="13" t="n">
        <v>42030</v>
      </c>
      <c r="E2774" s="6" t="n">
        <f>SUM(C2774,D2774)/2</f>
        <v>34171</v>
      </c>
      <c r="F2774" s="12" t="n">
        <v>9896</v>
      </c>
      <c r="G2774" s="12" t="n">
        <v>13361</v>
      </c>
      <c r="H2774" s="6" t="n">
        <f>SUM(F2774,G2774)/2</f>
        <v>11628.5</v>
      </c>
    </row>
    <row r="2775" s="18" customFormat="1" ht="14.399999999999999" customHeight="1">
      <c r="A2775" s="10" t="s">
        <v>1737</v>
      </c>
      <c r="B2775" s="10" t="s">
        <v>7149</v>
      </c>
      <c r="C2775" s="10" t="n">
        <v>14</v>
      </c>
      <c r="D2775" s="10" t="n">
        <v>22</v>
      </c>
      <c r="E2775" s="6" t="n">
        <f>SUM(C2775,D2775)/2</f>
        <v>18</v>
      </c>
      <c r="F2775" s="18" t="n">
        <v>24</v>
      </c>
      <c r="G2775" s="18" t="n">
        <v>26</v>
      </c>
      <c r="H2775" s="6" t="n">
        <f>SUM(F2775,G2775)/2</f>
        <v>25</v>
      </c>
    </row>
    <row r="2776" s="18" customFormat="1" ht="14.399999999999999" customHeight="1">
      <c r="A2776" s="10" t="s">
        <v>7150</v>
      </c>
      <c r="B2776" s="10" t="s">
        <v>7151</v>
      </c>
      <c r="C2776" s="13" t="n">
        <v>321770</v>
      </c>
      <c r="D2776" s="13" t="n">
        <v>513994</v>
      </c>
      <c r="E2776" s="6" t="n">
        <f>SUM(C2776,D2776)/2</f>
        <v>417882</v>
      </c>
      <c r="F2776" s="12" t="n">
        <v>272647</v>
      </c>
      <c r="G2776" s="12" t="n">
        <v>342114</v>
      </c>
      <c r="H2776" s="6" t="n">
        <f>SUM(F2776,G2776)/2</f>
        <v>307380.5</v>
      </c>
    </row>
    <row r="2777" s="18" customFormat="1" ht="14.399999999999999" customHeight="1">
      <c r="A2777" s="10" t="s">
        <v>1150</v>
      </c>
      <c r="B2777" s="10" t="s">
        <v>7152</v>
      </c>
      <c r="C2777" s="10" t="n">
        <v>97</v>
      </c>
      <c r="D2777" s="10" t="n">
        <v>155</v>
      </c>
      <c r="E2777" s="6" t="n">
        <f>SUM(C2777,D2777)/2</f>
        <v>126</v>
      </c>
      <c r="F2777" s="18" t="n">
        <v>23</v>
      </c>
      <c r="G2777" s="18" t="n">
        <v>28</v>
      </c>
      <c r="H2777" s="6" t="n">
        <f>SUM(F2777,G2777)/2</f>
        <v>25.5</v>
      </c>
    </row>
    <row r="2778" s="18" customFormat="1" ht="14.399999999999999" customHeight="1">
      <c r="A2778" s="10" t="s">
        <v>7153</v>
      </c>
      <c r="B2778" s="10" t="s">
        <v>7154</v>
      </c>
      <c r="C2778" s="13" t="n">
        <v>79662</v>
      </c>
      <c r="D2778" s="13" t="n">
        <v>127249</v>
      </c>
      <c r="E2778" s="6" t="n">
        <f>SUM(C2778,D2778)/2</f>
        <v>103455.5</v>
      </c>
      <c r="F2778" s="12" t="n">
        <v>13906</v>
      </c>
      <c r="G2778" s="12" t="n">
        <v>18993</v>
      </c>
      <c r="H2778" s="6" t="n">
        <f>SUM(F2778,G2778)/2</f>
        <v>16449.5</v>
      </c>
    </row>
    <row r="2779" s="18" customFormat="1" ht="14.399999999999999" customHeight="1">
      <c r="A2779" s="10" t="s">
        <v>4777</v>
      </c>
      <c r="B2779" s="10" t="s">
        <v>7155</v>
      </c>
      <c r="C2779" s="13" t="n">
        <v>19000</v>
      </c>
      <c r="D2779" s="13" t="n">
        <v>30350</v>
      </c>
      <c r="E2779" s="6" t="n">
        <f>SUM(C2779,D2779)/2</f>
        <v>24675</v>
      </c>
      <c r="F2779" s="12" t="n">
        <v>5603</v>
      </c>
      <c r="G2779" s="12" t="n">
        <v>7843</v>
      </c>
      <c r="H2779" s="6" t="n">
        <f>SUM(F2779,G2779)/2</f>
        <v>6723</v>
      </c>
    </row>
    <row r="2780" s="18" customFormat="1" ht="14.399999999999999" customHeight="1">
      <c r="A2780" s="10" t="s">
        <v>7156</v>
      </c>
      <c r="B2780" s="10" t="s">
        <v>7157</v>
      </c>
      <c r="C2780" s="13" t="n">
        <v>24856</v>
      </c>
      <c r="D2780" s="13" t="n">
        <v>39704</v>
      </c>
      <c r="E2780" s="6" t="n">
        <f>SUM(C2780,D2780)/2</f>
        <v>32280</v>
      </c>
      <c r="F2780" s="12" t="n">
        <v>7435</v>
      </c>
      <c r="G2780" s="12" t="n">
        <v>10460</v>
      </c>
      <c r="H2780" s="6" t="n">
        <f>SUM(F2780,G2780)/2</f>
        <v>8947.5</v>
      </c>
    </row>
    <row r="2781" s="18" customFormat="1" ht="14.399999999999999" customHeight="1">
      <c r="A2781" s="10" t="s">
        <v>1372</v>
      </c>
      <c r="B2781" s="10" t="s">
        <v>311</v>
      </c>
      <c r="C2781" s="13" t="n">
        <v>2707</v>
      </c>
      <c r="D2781" s="13" t="n">
        <v>4323</v>
      </c>
      <c r="E2781" s="6" t="n">
        <f>SUM(C2781,D2781)/2</f>
        <v>3515</v>
      </c>
      <c r="F2781" s="18" t="n">
        <v>250</v>
      </c>
      <c r="G2781" s="18" t="n">
        <v>366</v>
      </c>
      <c r="H2781" s="6" t="n">
        <f>SUM(F2781,G2781)/2</f>
        <v>308</v>
      </c>
    </row>
    <row r="2782" s="18" customFormat="1" ht="14.399999999999999" customHeight="1">
      <c r="A2782" s="10" t="s">
        <v>7158</v>
      </c>
      <c r="B2782" s="10" t="s">
        <v>7159</v>
      </c>
      <c r="C2782" s="13" t="n">
        <v>50654</v>
      </c>
      <c r="D2782" s="13" t="n">
        <v>80916</v>
      </c>
      <c r="E2782" s="6" t="n">
        <f>SUM(C2782,D2782)/2</f>
        <v>65785</v>
      </c>
      <c r="F2782" s="12" t="n">
        <v>10862</v>
      </c>
      <c r="G2782" s="12" t="n">
        <v>11644</v>
      </c>
      <c r="H2782" s="6" t="n">
        <f>SUM(F2782,G2782)/2</f>
        <v>11253</v>
      </c>
    </row>
    <row r="2783" s="18" customFormat="1" ht="14.399999999999999" customHeight="1">
      <c r="A2783" s="10" t="s">
        <v>2398</v>
      </c>
      <c r="B2783" s="10" t="s">
        <v>7160</v>
      </c>
      <c r="C2783" s="13" t="n">
        <v>180999</v>
      </c>
      <c r="D2783" s="13" t="n">
        <v>289131</v>
      </c>
      <c r="E2783" s="6" t="n">
        <f>SUM(C2783,D2783)/2</f>
        <v>235065</v>
      </c>
      <c r="F2783" s="12" t="n">
        <v>35692</v>
      </c>
      <c r="G2783" s="12" t="n">
        <v>40640</v>
      </c>
      <c r="H2783" s="6" t="n">
        <f>SUM(F2783,G2783)/2</f>
        <v>38166</v>
      </c>
    </row>
    <row r="2784" s="18" customFormat="1" ht="14.399999999999999" customHeight="1">
      <c r="A2784" s="10" t="s">
        <v>5237</v>
      </c>
      <c r="B2784" s="10" t="s">
        <v>7161</v>
      </c>
      <c r="C2784" s="10"/>
      <c r="D2784" s="10"/>
      <c r="E2784" s="6" t="n">
        <f>SUM(C2784,D2784)/2</f>
        <v>0</v>
      </c>
      <c r="F2784" s="18" t="n">
        <v>963</v>
      </c>
      <c r="G2784" s="12" t="n">
        <v>1980</v>
      </c>
      <c r="H2784" s="6" t="n">
        <f>SUM(F2784,G2784)/2</f>
        <v>1471.5</v>
      </c>
    </row>
    <row r="2785" s="18" customFormat="1" ht="14.399999999999999" customHeight="1">
      <c r="A2785" s="10" t="s">
        <v>7162</v>
      </c>
      <c r="B2785" s="10" t="s">
        <v>7163</v>
      </c>
      <c r="C2785" s="13" t="n">
        <v>540397</v>
      </c>
      <c r="D2785" s="13" t="n">
        <v>863233</v>
      </c>
      <c r="E2785" s="6" t="n">
        <f>SUM(C2785,D2785)/2</f>
        <v>701815</v>
      </c>
      <c r="F2785" s="12" t="n">
        <v>2935</v>
      </c>
      <c r="G2785" s="12" t="n">
        <v>4555</v>
      </c>
      <c r="H2785" s="6" t="n">
        <f>SUM(F2785,G2785)/2</f>
        <v>3745</v>
      </c>
    </row>
    <row r="2786" s="18" customFormat="1" ht="14.399999999999999" customHeight="1">
      <c r="A2786" s="10" t="s">
        <v>7164</v>
      </c>
      <c r="B2786" s="10" t="s">
        <v>7165</v>
      </c>
      <c r="C2786" s="13" t="n">
        <v>164555</v>
      </c>
      <c r="D2786" s="13" t="n">
        <v>262863</v>
      </c>
      <c r="E2786" s="6" t="n">
        <f>SUM(C2786,D2786)/2</f>
        <v>213709</v>
      </c>
      <c r="F2786" s="12" t="n">
        <v>19273</v>
      </c>
      <c r="G2786" s="12" t="n">
        <v>38701</v>
      </c>
      <c r="H2786" s="6" t="n">
        <f>SUM(F2786,G2786)/2</f>
        <v>28987</v>
      </c>
    </row>
    <row r="2787" s="18" customFormat="1" ht="14.399999999999999" customHeight="1">
      <c r="A2787" s="10" t="s">
        <v>7166</v>
      </c>
      <c r="B2787" s="10" t="s">
        <v>7167</v>
      </c>
      <c r="C2787" s="13" t="n">
        <v>4749</v>
      </c>
      <c r="D2787" s="13" t="n">
        <v>7585</v>
      </c>
      <c r="E2787" s="6" t="n">
        <f>SUM(C2787,D2787)/2</f>
        <v>6167</v>
      </c>
      <c r="F2787" s="12" t="n">
        <v>7398</v>
      </c>
      <c r="G2787" s="12" t="n">
        <v>10946</v>
      </c>
      <c r="H2787" s="6" t="n">
        <f>SUM(F2787,G2787)/2</f>
        <v>9172</v>
      </c>
    </row>
    <row r="2788" s="18" customFormat="1" ht="14.399999999999999" customHeight="1">
      <c r="A2788" s="10" t="s">
        <v>7168</v>
      </c>
      <c r="B2788" s="10" t="s">
        <v>7169</v>
      </c>
      <c r="C2788" s="10" t="n">
        <v>293</v>
      </c>
      <c r="D2788" s="10" t="n">
        <v>468</v>
      </c>
      <c r="E2788" s="6" t="n">
        <f>SUM(C2788,D2788)/2</f>
        <v>380.5</v>
      </c>
      <c r="F2788" s="18" t="n">
        <v>22</v>
      </c>
      <c r="G2788" s="18" t="n">
        <v>35</v>
      </c>
      <c r="H2788" s="6" t="n">
        <f>SUM(F2788,G2788)/2</f>
        <v>28.5</v>
      </c>
    </row>
    <row r="2789" s="18" customFormat="1" ht="14.399999999999999" customHeight="1">
      <c r="A2789" s="10" t="s">
        <v>7170</v>
      </c>
      <c r="B2789" s="10" t="s">
        <v>7171</v>
      </c>
      <c r="C2789" s="13" t="n">
        <v>2162</v>
      </c>
      <c r="D2789" s="13" t="n">
        <v>3454</v>
      </c>
      <c r="E2789" s="6" t="n">
        <f>SUM(C2789,D2789)/2</f>
        <v>2808</v>
      </c>
      <c r="F2789" s="12" t="n">
        <v>6286</v>
      </c>
      <c r="G2789" s="12" t="n">
        <v>9078</v>
      </c>
      <c r="H2789" s="6" t="n">
        <f>SUM(F2789,G2789)/2</f>
        <v>7682</v>
      </c>
    </row>
    <row r="2790" s="18" customFormat="1" ht="14.399999999999999" customHeight="1">
      <c r="A2790" s="10" t="s">
        <v>5131</v>
      </c>
      <c r="B2790" s="10" t="s">
        <v>7172</v>
      </c>
      <c r="C2790" s="13" t="n">
        <v>4493</v>
      </c>
      <c r="D2790" s="13" t="n">
        <v>7177</v>
      </c>
      <c r="E2790" s="6" t="n">
        <f>SUM(C2790,D2790)/2</f>
        <v>5835</v>
      </c>
      <c r="F2790" s="12" t="n">
        <v>5360</v>
      </c>
      <c r="G2790" s="12" t="n">
        <v>7394</v>
      </c>
      <c r="H2790" s="6" t="n">
        <f>SUM(F2790,G2790)/2</f>
        <v>6377</v>
      </c>
    </row>
    <row r="2791" s="18" customFormat="1" ht="14.399999999999999" customHeight="1">
      <c r="A2791" s="10" t="s">
        <v>7173</v>
      </c>
      <c r="B2791" s="10" t="s">
        <v>7174</v>
      </c>
      <c r="C2791" s="13" t="n">
        <v>52079</v>
      </c>
      <c r="D2791" s="13" t="n">
        <v>83189</v>
      </c>
      <c r="E2791" s="6" t="n">
        <f>SUM(C2791,D2791)/2</f>
        <v>67634</v>
      </c>
      <c r="F2791" s="12" t="n">
        <v>3991</v>
      </c>
      <c r="G2791" s="12" t="n">
        <v>6134</v>
      </c>
      <c r="H2791" s="6" t="n">
        <f>SUM(F2791,G2791)/2</f>
        <v>5062.5</v>
      </c>
    </row>
    <row r="2792" s="18" customFormat="1" ht="14.399999999999999" customHeight="1">
      <c r="A2792" s="10" t="s">
        <v>5269</v>
      </c>
      <c r="B2792" s="10" t="s">
        <v>7175</v>
      </c>
      <c r="C2792" s="10" t="n">
        <v>373</v>
      </c>
      <c r="D2792" s="10" t="n">
        <v>595</v>
      </c>
      <c r="E2792" s="6" t="n">
        <f>SUM(C2792,D2792)/2</f>
        <v>484</v>
      </c>
      <c r="F2792" s="12" t="n">
        <v>1019</v>
      </c>
      <c r="G2792" s="12" t="n">
        <v>1195</v>
      </c>
      <c r="H2792" s="6" t="n">
        <f>SUM(F2792,G2792)/2</f>
        <v>1107</v>
      </c>
    </row>
    <row r="2793" s="18" customFormat="1" ht="14.399999999999999" customHeight="1">
      <c r="A2793" s="10" t="s">
        <v>7176</v>
      </c>
      <c r="B2793" s="10" t="s">
        <v>7177</v>
      </c>
      <c r="C2793" s="13" t="n">
        <v>14162</v>
      </c>
      <c r="D2793" s="13" t="n">
        <v>22622</v>
      </c>
      <c r="E2793" s="6" t="n">
        <f>SUM(C2793,D2793)/2</f>
        <v>18392</v>
      </c>
      <c r="F2793" s="12" t="n">
        <v>5151</v>
      </c>
      <c r="G2793" s="12" t="n">
        <v>7716</v>
      </c>
      <c r="H2793" s="6" t="n">
        <f>SUM(F2793,G2793)/2</f>
        <v>6433.5</v>
      </c>
    </row>
    <row r="2794" s="18" customFormat="1" ht="14.399999999999999" customHeight="1">
      <c r="A2794" s="10" t="s">
        <v>5502</v>
      </c>
      <c r="B2794" s="10" t="s">
        <v>7178</v>
      </c>
      <c r="C2794" s="10" t="n">
        <v>179</v>
      </c>
      <c r="D2794" s="10" t="n">
        <v>287</v>
      </c>
      <c r="E2794" s="6" t="n">
        <f>SUM(C2794,D2794)/2</f>
        <v>233</v>
      </c>
      <c r="F2794" s="18" t="n">
        <v>85</v>
      </c>
      <c r="G2794" s="18" t="n">
        <v>104</v>
      </c>
      <c r="H2794" s="6" t="n">
        <f>SUM(F2794,G2794)/2</f>
        <v>94.5</v>
      </c>
    </row>
    <row r="2795" s="18" customFormat="1" ht="14.399999999999999" customHeight="1">
      <c r="A2795" s="10" t="s">
        <v>2081</v>
      </c>
      <c r="B2795" s="10" t="s">
        <v>7179</v>
      </c>
      <c r="C2795" s="10" t="n">
        <v>10</v>
      </c>
      <c r="D2795" s="10" t="n">
        <v>14</v>
      </c>
      <c r="E2795" s="6" t="n">
        <f>SUM(C2795,D2795)/2</f>
        <v>12</v>
      </c>
      <c r="F2795" s="18" t="n">
        <v>6</v>
      </c>
      <c r="G2795" s="18" t="n">
        <v>9</v>
      </c>
      <c r="H2795" s="6" t="n">
        <f>SUM(F2795,G2795)/2</f>
        <v>7.5</v>
      </c>
    </row>
    <row r="2796" s="18" customFormat="1" ht="14.399999999999999" customHeight="1">
      <c r="A2796" s="10" t="s">
        <v>2051</v>
      </c>
      <c r="B2796" s="10" t="s">
        <v>7180</v>
      </c>
      <c r="C2796" s="10" t="n">
        <v>4</v>
      </c>
      <c r="D2796" s="10" t="n">
        <v>6</v>
      </c>
      <c r="E2796" s="6" t="n">
        <f>SUM(C2796,D2796)/2</f>
        <v>5</v>
      </c>
      <c r="F2796" s="18" t="n">
        <v>8</v>
      </c>
      <c r="G2796" s="18" t="n">
        <v>12</v>
      </c>
      <c r="H2796" s="6" t="n">
        <f>SUM(F2796,G2796)/2</f>
        <v>10</v>
      </c>
    </row>
    <row r="2797" s="18" customFormat="1" ht="14.399999999999999" customHeight="1">
      <c r="A2797" s="10" t="s">
        <v>7181</v>
      </c>
      <c r="B2797" s="10" t="s">
        <v>7182</v>
      </c>
      <c r="C2797" s="13" t="n">
        <v>2975</v>
      </c>
      <c r="D2797" s="13" t="n">
        <v>4755</v>
      </c>
      <c r="E2797" s="6" t="n">
        <f>SUM(C2797,D2797)/2</f>
        <v>3865</v>
      </c>
      <c r="F2797" s="12" t="n">
        <v>5206</v>
      </c>
      <c r="G2797" s="12" t="n">
        <v>8452</v>
      </c>
      <c r="H2797" s="6" t="n">
        <f>SUM(F2797,G2797)/2</f>
        <v>6829</v>
      </c>
    </row>
    <row r="2798" s="18" customFormat="1" ht="14.399999999999999" customHeight="1">
      <c r="A2798" s="10" t="s">
        <v>7183</v>
      </c>
      <c r="B2798" s="10" t="s">
        <v>7184</v>
      </c>
      <c r="C2798" s="13" t="n">
        <v>137232</v>
      </c>
      <c r="D2798" s="13" t="n">
        <v>219216</v>
      </c>
      <c r="E2798" s="6" t="n">
        <f>SUM(C2798,D2798)/2</f>
        <v>178224</v>
      </c>
      <c r="F2798" s="12" t="n">
        <v>25462</v>
      </c>
      <c r="G2798" s="12" t="n">
        <v>34436</v>
      </c>
      <c r="H2798" s="6" t="n">
        <f>SUM(F2798,G2798)/2</f>
        <v>29949</v>
      </c>
    </row>
    <row r="2799" s="18" customFormat="1" ht="14.399999999999999" customHeight="1">
      <c r="A2799" s="10" t="s">
        <v>2336</v>
      </c>
      <c r="B2799" s="10" t="s">
        <v>7185</v>
      </c>
      <c r="C2799" s="10" t="n">
        <v>6</v>
      </c>
      <c r="D2799" s="10" t="n">
        <v>10</v>
      </c>
      <c r="E2799" s="6" t="n">
        <f>SUM(C2799,D2799)/2</f>
        <v>8</v>
      </c>
      <c r="F2799" s="18" t="n">
        <v>3</v>
      </c>
      <c r="G2799" s="18" t="n">
        <v>4</v>
      </c>
      <c r="H2799" s="6" t="n">
        <f>SUM(F2799,G2799)/2</f>
        <v>3.5</v>
      </c>
    </row>
    <row r="2800" s="18" customFormat="1" ht="14.399999999999999" customHeight="1">
      <c r="A2800" s="10" t="s">
        <v>1530</v>
      </c>
      <c r="B2800" s="10" t="s">
        <v>7186</v>
      </c>
      <c r="C2800" s="10" t="n">
        <v>41</v>
      </c>
      <c r="D2800" s="10" t="n">
        <v>65</v>
      </c>
      <c r="E2800" s="6" t="n">
        <f>SUM(C2800,D2800)/2</f>
        <v>53</v>
      </c>
      <c r="F2800" s="18" t="n">
        <v>4</v>
      </c>
      <c r="G2800" s="18" t="n">
        <v>5</v>
      </c>
      <c r="H2800" s="6" t="n">
        <f>SUM(F2800,G2800)/2</f>
        <v>4.5</v>
      </c>
    </row>
    <row r="2801" s="18" customFormat="1" ht="14.399999999999999" customHeight="1">
      <c r="A2801" s="10" t="s">
        <v>7187</v>
      </c>
      <c r="B2801" s="10" t="s">
        <v>7188</v>
      </c>
      <c r="C2801" s="13" t="n">
        <v>90287</v>
      </c>
      <c r="D2801" s="13" t="n">
        <v>144227</v>
      </c>
      <c r="E2801" s="6" t="n">
        <f>SUM(C2801,D2801)/2</f>
        <v>117257</v>
      </c>
      <c r="F2801" s="12" t="n">
        <v>29859</v>
      </c>
      <c r="G2801" s="12" t="n">
        <v>40836</v>
      </c>
      <c r="H2801" s="6" t="n">
        <f>SUM(F2801,G2801)/2</f>
        <v>35347.5</v>
      </c>
    </row>
    <row r="2802" s="18" customFormat="1" ht="14.399999999999999" customHeight="1">
      <c r="A2802" s="10" t="s">
        <v>1316</v>
      </c>
      <c r="B2802" s="10" t="s">
        <v>7189</v>
      </c>
      <c r="C2802" s="10" t="n">
        <v>252</v>
      </c>
      <c r="D2802" s="10" t="n">
        <v>406</v>
      </c>
      <c r="E2802" s="6" t="n">
        <f>SUM(C2802,D2802)/2</f>
        <v>329</v>
      </c>
      <c r="F2802" s="18" t="n">
        <v>23</v>
      </c>
      <c r="G2802" s="18" t="n">
        <v>41</v>
      </c>
      <c r="H2802" s="6" t="n">
        <f>SUM(F2802,G2802)/2</f>
        <v>32</v>
      </c>
    </row>
    <row r="2803" s="18" customFormat="1" ht="14.399999999999999" customHeight="1">
      <c r="A2803" s="10" t="s">
        <v>7190</v>
      </c>
      <c r="B2803" s="10" t="s">
        <v>7191</v>
      </c>
      <c r="C2803" s="13" t="n">
        <v>3679</v>
      </c>
      <c r="D2803" s="13" t="n">
        <v>5877</v>
      </c>
      <c r="E2803" s="6" t="n">
        <f>SUM(C2803,D2803)/2</f>
        <v>4778</v>
      </c>
      <c r="F2803" s="12" t="n">
        <v>4150</v>
      </c>
      <c r="G2803" s="12" t="n">
        <v>5532</v>
      </c>
      <c r="H2803" s="6" t="n">
        <f>SUM(F2803,G2803)/2</f>
        <v>4841</v>
      </c>
    </row>
    <row r="2804" s="18" customFormat="1" ht="14.399999999999999" customHeight="1">
      <c r="A2804" s="10" t="s">
        <v>580</v>
      </c>
      <c r="B2804" s="10" t="s">
        <v>581</v>
      </c>
      <c r="C2804" s="10" t="n">
        <v>601</v>
      </c>
      <c r="D2804" s="10" t="n">
        <v>957</v>
      </c>
      <c r="E2804" s="6" t="n">
        <f>SUM(C2804,D2804)/2</f>
        <v>779</v>
      </c>
      <c r="F2804" s="18" t="n">
        <v>679</v>
      </c>
      <c r="G2804" s="18" t="n">
        <v>866</v>
      </c>
      <c r="H2804" s="6" t="n">
        <f>SUM(F2804,G2804)/2</f>
        <v>772.5</v>
      </c>
    </row>
    <row r="2805" s="18" customFormat="1" ht="14.399999999999999" customHeight="1">
      <c r="A2805" s="10" t="s">
        <v>7192</v>
      </c>
      <c r="B2805" s="10" t="s">
        <v>7193</v>
      </c>
      <c r="C2805" s="13" t="n">
        <v>33684</v>
      </c>
      <c r="D2805" s="13" t="n">
        <v>53809</v>
      </c>
      <c r="E2805" s="6" t="n">
        <f>SUM(C2805,D2805)/2</f>
        <v>43746.5</v>
      </c>
      <c r="F2805" s="12" t="n">
        <v>7295</v>
      </c>
      <c r="G2805" s="12" t="n">
        <v>8795</v>
      </c>
      <c r="H2805" s="6" t="n">
        <f>SUM(F2805,G2805)/2</f>
        <v>8045</v>
      </c>
    </row>
    <row r="2806" s="18" customFormat="1" ht="14.399999999999999" customHeight="1">
      <c r="A2806" s="10" t="s">
        <v>7194</v>
      </c>
      <c r="B2806" s="10" t="s">
        <v>7195</v>
      </c>
      <c r="C2806" s="10" t="n">
        <v>5</v>
      </c>
      <c r="D2806" s="10" t="n">
        <v>9</v>
      </c>
      <c r="E2806" s="6" t="n">
        <f>SUM(C2806,D2806)/2</f>
        <v>7</v>
      </c>
      <c r="F2806" s="18" t="n">
        <v>1</v>
      </c>
      <c r="G2806" s="18" t="n">
        <v>1</v>
      </c>
      <c r="H2806" s="6" t="n">
        <f>SUM(F2806,G2806)/2</f>
        <v>1</v>
      </c>
    </row>
    <row r="2807" s="18" customFormat="1" ht="14.399999999999999" customHeight="1">
      <c r="A2807" s="10" t="s">
        <v>4455</v>
      </c>
      <c r="B2807" s="10" t="s">
        <v>7196</v>
      </c>
      <c r="C2807" s="13" t="n">
        <v>25585</v>
      </c>
      <c r="D2807" s="13" t="n">
        <v>40869</v>
      </c>
      <c r="E2807" s="6" t="n">
        <f>SUM(C2807,D2807)/2</f>
        <v>33227</v>
      </c>
      <c r="F2807" s="12" t="n">
        <v>7420</v>
      </c>
      <c r="G2807" s="12" t="n">
        <v>10655</v>
      </c>
      <c r="H2807" s="6" t="n">
        <f>SUM(F2807,G2807)/2</f>
        <v>9037.5</v>
      </c>
    </row>
    <row r="2808" s="18" customFormat="1" ht="14.399999999999999" customHeight="1">
      <c r="A2808" s="10" t="s">
        <v>2997</v>
      </c>
      <c r="B2808" s="10" t="s">
        <v>7197</v>
      </c>
      <c r="C2808" s="10" t="n">
        <v>0</v>
      </c>
      <c r="D2808" s="10" t="n">
        <v>0</v>
      </c>
      <c r="E2808" s="6" t="n">
        <f>SUM(C2808,D2808)/2</f>
        <v>0</v>
      </c>
      <c r="F2808" s="18" t="n">
        <v>0</v>
      </c>
      <c r="G2808" s="18" t="n">
        <v>0</v>
      </c>
      <c r="H2808" s="6" t="n">
        <f>SUM(F2808,G2808)/2</f>
        <v>0</v>
      </c>
    </row>
    <row r="2809" s="18" customFormat="1" ht="14.399999999999999" customHeight="1">
      <c r="A2809" s="10" t="s">
        <v>7198</v>
      </c>
      <c r="B2809" s="10" t="s">
        <v>7199</v>
      </c>
      <c r="C2809" s="13" t="n">
        <v>20900</v>
      </c>
      <c r="D2809" s="13" t="n">
        <v>33388</v>
      </c>
      <c r="E2809" s="6" t="n">
        <f>SUM(C2809,D2809)/2</f>
        <v>27144</v>
      </c>
      <c r="F2809" s="12" t="n">
        <v>12870</v>
      </c>
      <c r="G2809" s="12" t="n">
        <v>18281</v>
      </c>
      <c r="H2809" s="6" t="n">
        <f>SUM(F2809,G2809)/2</f>
        <v>15575.5</v>
      </c>
    </row>
    <row r="2810" s="18" customFormat="1" ht="14.399999999999999" customHeight="1">
      <c r="A2810" s="10" t="s">
        <v>5360</v>
      </c>
      <c r="B2810" s="10" t="s">
        <v>7200</v>
      </c>
      <c r="C2810" s="10" t="n">
        <v>538</v>
      </c>
      <c r="D2810" s="10" t="n">
        <v>858</v>
      </c>
      <c r="E2810" s="6" t="n">
        <f>SUM(C2810,D2810)/2</f>
        <v>698</v>
      </c>
      <c r="F2810" s="18" t="n">
        <v>280</v>
      </c>
      <c r="G2810" s="18" t="n">
        <v>313</v>
      </c>
      <c r="H2810" s="6" t="n">
        <f>SUM(F2810,G2810)/2</f>
        <v>296.5</v>
      </c>
    </row>
    <row r="2811" s="18" customFormat="1" ht="14.399999999999999" customHeight="1">
      <c r="A2811" s="10" t="s">
        <v>1783</v>
      </c>
      <c r="B2811" s="10" t="s">
        <v>7201</v>
      </c>
      <c r="C2811" s="10" t="n">
        <v>69</v>
      </c>
      <c r="D2811" s="10" t="n">
        <v>109</v>
      </c>
      <c r="E2811" s="6" t="n">
        <f>SUM(C2811,D2811)/2</f>
        <v>89</v>
      </c>
      <c r="F2811" s="18" t="n">
        <v>4</v>
      </c>
      <c r="G2811" s="18" t="n">
        <v>5</v>
      </c>
      <c r="H2811" s="6" t="n">
        <f>SUM(F2811,G2811)/2</f>
        <v>4.5</v>
      </c>
    </row>
    <row r="2812" s="18" customFormat="1" ht="14.399999999999999" customHeight="1">
      <c r="A2812" s="10" t="s">
        <v>2196</v>
      </c>
      <c r="B2812" s="10" t="s">
        <v>7202</v>
      </c>
      <c r="C2812" s="10" t="n">
        <v>16</v>
      </c>
      <c r="D2812" s="10" t="n">
        <v>24</v>
      </c>
      <c r="E2812" s="6" t="n">
        <f>SUM(C2812,D2812)/2</f>
        <v>20</v>
      </c>
      <c r="F2812" s="18" t="n">
        <v>2</v>
      </c>
      <c r="G2812" s="18" t="n">
        <v>5</v>
      </c>
      <c r="H2812" s="6" t="n">
        <f>SUM(F2812,G2812)/2</f>
        <v>3.5</v>
      </c>
    </row>
    <row r="2813" s="18" customFormat="1" ht="14.399999999999999" customHeight="1">
      <c r="A2813" s="10" t="s">
        <v>5338</v>
      </c>
      <c r="B2813" s="10" t="s">
        <v>401</v>
      </c>
      <c r="C2813" s="13" t="n">
        <v>1551</v>
      </c>
      <c r="D2813" s="13" t="n">
        <v>2479</v>
      </c>
      <c r="E2813" s="6" t="n">
        <f>SUM(C2813,D2813)/2</f>
        <v>2015</v>
      </c>
      <c r="F2813" s="18" t="n">
        <v>35</v>
      </c>
      <c r="G2813" s="18" t="n">
        <v>68</v>
      </c>
      <c r="H2813" s="6" t="n">
        <f>SUM(F2813,G2813)/2</f>
        <v>51.5</v>
      </c>
    </row>
    <row r="2814" s="18" customFormat="1" ht="14.399999999999999" customHeight="1">
      <c r="A2814" s="10" t="s">
        <v>7203</v>
      </c>
      <c r="B2814" s="10" t="s">
        <v>7204</v>
      </c>
      <c r="C2814" s="13" t="n">
        <v>48953</v>
      </c>
      <c r="D2814" s="13" t="n">
        <v>78199</v>
      </c>
      <c r="E2814" s="6" t="n">
        <f>SUM(C2814,D2814)/2</f>
        <v>63576</v>
      </c>
      <c r="F2814" s="12" t="n">
        <v>16600</v>
      </c>
      <c r="G2814" s="12" t="n">
        <v>21974</v>
      </c>
      <c r="H2814" s="6" t="n">
        <f>SUM(F2814,G2814)/2</f>
        <v>19287</v>
      </c>
    </row>
    <row r="2815" s="18" customFormat="1" ht="14.399999999999999" customHeight="1">
      <c r="A2815" s="10" t="s">
        <v>4281</v>
      </c>
      <c r="B2815" s="10" t="s">
        <v>7205</v>
      </c>
      <c r="C2815" s="13" t="n">
        <v>35189</v>
      </c>
      <c r="D2815" s="13" t="n">
        <v>56211</v>
      </c>
      <c r="E2815" s="6" t="n">
        <f>SUM(C2815,D2815)/2</f>
        <v>45700</v>
      </c>
      <c r="F2815" s="12" t="n">
        <v>7300</v>
      </c>
      <c r="G2815" s="12" t="n">
        <v>10802</v>
      </c>
      <c r="H2815" s="6" t="n">
        <f>SUM(F2815,G2815)/2</f>
        <v>9051</v>
      </c>
    </row>
    <row r="2816" s="18" customFormat="1" ht="14.399999999999999" customHeight="1">
      <c r="A2816" s="10" t="s">
        <v>1480</v>
      </c>
      <c r="B2816" s="10" t="s">
        <v>7206</v>
      </c>
      <c r="C2816" s="10" t="n">
        <v>125</v>
      </c>
      <c r="D2816" s="10" t="n">
        <v>201</v>
      </c>
      <c r="E2816" s="6" t="n">
        <f>SUM(C2816,D2816)/2</f>
        <v>163</v>
      </c>
      <c r="F2816" s="18" t="n">
        <v>13</v>
      </c>
      <c r="G2816" s="18" t="n">
        <v>19</v>
      </c>
      <c r="H2816" s="6" t="n">
        <f>SUM(F2816,G2816)/2</f>
        <v>16</v>
      </c>
    </row>
    <row r="2817" s="18" customFormat="1" ht="14.399999999999999" customHeight="1">
      <c r="A2817" s="10" t="s">
        <v>4655</v>
      </c>
      <c r="B2817" s="10" t="s">
        <v>7207</v>
      </c>
      <c r="C2817" s="13" t="n">
        <v>25277</v>
      </c>
      <c r="D2817" s="13" t="n">
        <v>40379</v>
      </c>
      <c r="E2817" s="6" t="n">
        <f>SUM(C2817,D2817)/2</f>
        <v>32828</v>
      </c>
      <c r="F2817" s="12" t="n">
        <v>5488</v>
      </c>
      <c r="G2817" s="12" t="n">
        <v>7453</v>
      </c>
      <c r="H2817" s="6" t="n">
        <f>SUM(F2817,G2817)/2</f>
        <v>6470.5</v>
      </c>
    </row>
    <row r="2818" s="18" customFormat="1" ht="14.399999999999999" customHeight="1">
      <c r="A2818" s="10" t="s">
        <v>7208</v>
      </c>
      <c r="B2818" s="10" t="s">
        <v>7209</v>
      </c>
      <c r="C2818" s="13" t="n">
        <v>69868</v>
      </c>
      <c r="D2818" s="13" t="n">
        <v>111608</v>
      </c>
      <c r="E2818" s="6" t="n">
        <f>SUM(C2818,D2818)/2</f>
        <v>90738</v>
      </c>
      <c r="F2818" s="12" t="n">
        <v>8669</v>
      </c>
      <c r="G2818" s="12" t="n">
        <v>16409</v>
      </c>
      <c r="H2818" s="6" t="n">
        <f>SUM(F2818,G2818)/2</f>
        <v>12539</v>
      </c>
    </row>
    <row r="2819" s="18" customFormat="1" ht="14.399999999999999" customHeight="1">
      <c r="A2819" s="10" t="s">
        <v>7210</v>
      </c>
      <c r="B2819" s="10" t="s">
        <v>7211</v>
      </c>
      <c r="C2819" s="13" t="n">
        <v>91441</v>
      </c>
      <c r="D2819" s="13" t="n">
        <v>146066</v>
      </c>
      <c r="E2819" s="6" t="n">
        <f>SUM(C2819,D2819)/2</f>
        <v>118753.5</v>
      </c>
      <c r="F2819" s="12" t="n">
        <v>14493</v>
      </c>
      <c r="G2819" s="12" t="n">
        <v>20827</v>
      </c>
      <c r="H2819" s="6" t="n">
        <f>SUM(F2819,G2819)/2</f>
        <v>17660</v>
      </c>
    </row>
    <row r="2820" s="18" customFormat="1" ht="14.399999999999999" customHeight="1">
      <c r="A2820" s="10" t="s">
        <v>2702</v>
      </c>
      <c r="B2820" s="10" t="s">
        <v>7212</v>
      </c>
      <c r="C2820" s="10" t="n">
        <v>0</v>
      </c>
      <c r="D2820" s="10" t="n">
        <v>0</v>
      </c>
      <c r="E2820" s="6" t="n">
        <f>SUM(C2820,D2820)/2</f>
        <v>0</v>
      </c>
      <c r="F2820" s="18" t="n">
        <v>1</v>
      </c>
      <c r="G2820" s="18" t="n">
        <v>1</v>
      </c>
      <c r="H2820" s="6" t="n">
        <f>SUM(F2820,G2820)/2</f>
        <v>1</v>
      </c>
    </row>
    <row r="2821" s="18" customFormat="1" ht="14.399999999999999" customHeight="1">
      <c r="A2821" s="10" t="s">
        <v>4283</v>
      </c>
      <c r="B2821" s="10" t="s">
        <v>7213</v>
      </c>
      <c r="C2821" s="13" t="n">
        <v>41535</v>
      </c>
      <c r="D2821" s="13" t="n">
        <v>66351</v>
      </c>
      <c r="E2821" s="6" t="n">
        <f>SUM(C2821,D2821)/2</f>
        <v>53943</v>
      </c>
      <c r="F2821" s="12" t="n">
        <v>5741</v>
      </c>
      <c r="G2821" s="12" t="n">
        <v>8816</v>
      </c>
      <c r="H2821" s="6" t="n">
        <f>SUM(F2821,G2821)/2</f>
        <v>7278.5</v>
      </c>
    </row>
    <row r="2822" s="18" customFormat="1" ht="14.399999999999999" customHeight="1">
      <c r="A2822" s="10" t="s">
        <v>2999</v>
      </c>
      <c r="B2822" s="10" t="s">
        <v>7214</v>
      </c>
      <c r="C2822" s="10" t="n">
        <v>0</v>
      </c>
      <c r="D2822" s="10" t="n">
        <v>0</v>
      </c>
      <c r="E2822" s="6" t="n">
        <f>SUM(C2822,D2822)/2</f>
        <v>0</v>
      </c>
      <c r="F2822" s="18" t="n">
        <v>0</v>
      </c>
      <c r="G2822" s="18" t="n">
        <v>0</v>
      </c>
      <c r="H2822" s="6" t="n">
        <f>SUM(F2822,G2822)/2</f>
        <v>0</v>
      </c>
    </row>
    <row r="2823" s="18" customFormat="1" ht="14.399999999999999" customHeight="1">
      <c r="A2823" s="10" t="s">
        <v>7215</v>
      </c>
      <c r="B2823" s="10" t="s">
        <v>7216</v>
      </c>
      <c r="C2823" s="13" t="n">
        <v>110227</v>
      </c>
      <c r="D2823" s="13" t="n">
        <v>176073</v>
      </c>
      <c r="E2823" s="6" t="n">
        <f>SUM(C2823,D2823)/2</f>
        <v>143150</v>
      </c>
      <c r="F2823" s="12" t="n">
        <v>17676</v>
      </c>
      <c r="G2823" s="12" t="n">
        <v>30082</v>
      </c>
      <c r="H2823" s="6" t="n">
        <f>SUM(F2823,G2823)/2</f>
        <v>23879</v>
      </c>
    </row>
    <row r="2824" s="18" customFormat="1" ht="14.399999999999999" customHeight="1">
      <c r="A2824" s="10" t="s">
        <v>4899</v>
      </c>
      <c r="B2824" s="10" t="s">
        <v>7217</v>
      </c>
      <c r="C2824" s="13" t="n">
        <v>18416</v>
      </c>
      <c r="D2824" s="13" t="n">
        <v>29416</v>
      </c>
      <c r="E2824" s="6" t="n">
        <f>SUM(C2824,D2824)/2</f>
        <v>23916</v>
      </c>
      <c r="F2824" s="12" t="n">
        <v>4728</v>
      </c>
      <c r="G2824" s="12" t="n">
        <v>6887</v>
      </c>
      <c r="H2824" s="6" t="n">
        <f>SUM(F2824,G2824)/2</f>
        <v>5807.5</v>
      </c>
    </row>
    <row r="2825" s="18" customFormat="1" ht="14.399999999999999" customHeight="1">
      <c r="A2825" s="10" t="s">
        <v>7218</v>
      </c>
      <c r="B2825" s="10" t="s">
        <v>7219</v>
      </c>
      <c r="C2825" s="13" t="n">
        <v>32735</v>
      </c>
      <c r="D2825" s="13" t="n">
        <v>52293</v>
      </c>
      <c r="E2825" s="6" t="n">
        <f>SUM(C2825,D2825)/2</f>
        <v>42514</v>
      </c>
      <c r="F2825" s="12" t="n">
        <v>5975</v>
      </c>
      <c r="G2825" s="12" t="n">
        <v>9003</v>
      </c>
      <c r="H2825" s="6" t="n">
        <f>SUM(F2825,G2825)/2</f>
        <v>7489</v>
      </c>
    </row>
    <row r="2826" s="18" customFormat="1" ht="14.399999999999999" customHeight="1">
      <c r="A2826" s="10" t="s">
        <v>7220</v>
      </c>
      <c r="B2826" s="10" t="s">
        <v>7221</v>
      </c>
      <c r="C2826" s="13" t="n">
        <v>23023</v>
      </c>
      <c r="D2826" s="13" t="n">
        <v>36775</v>
      </c>
      <c r="E2826" s="6" t="n">
        <f>SUM(C2826,D2826)/2</f>
        <v>29899</v>
      </c>
      <c r="F2826" s="12" t="n">
        <v>10045</v>
      </c>
      <c r="G2826" s="12" t="n">
        <v>15069</v>
      </c>
      <c r="H2826" s="6" t="n">
        <f>SUM(F2826,G2826)/2</f>
        <v>12557</v>
      </c>
    </row>
    <row r="2827" s="18" customFormat="1" ht="14.399999999999999" customHeight="1">
      <c r="A2827" s="10" t="s">
        <v>7222</v>
      </c>
      <c r="B2827" s="10" t="s">
        <v>7223</v>
      </c>
      <c r="C2827" s="13" t="n">
        <v>11420</v>
      </c>
      <c r="D2827" s="13" t="n">
        <v>18244</v>
      </c>
      <c r="E2827" s="6" t="n">
        <f>SUM(C2827,D2827)/2</f>
        <v>14832</v>
      </c>
      <c r="F2827" s="12" t="n">
        <v>8344</v>
      </c>
      <c r="G2827" s="12" t="n">
        <v>12459</v>
      </c>
      <c r="H2827" s="6" t="n">
        <f>SUM(F2827,G2827)/2</f>
        <v>10401.5</v>
      </c>
    </row>
    <row r="2828" s="18" customFormat="1" ht="14.399999999999999" customHeight="1">
      <c r="A2828" s="10" t="s">
        <v>5063</v>
      </c>
      <c r="B2828" s="10" t="s">
        <v>7224</v>
      </c>
      <c r="C2828" s="13" t="n">
        <v>12008</v>
      </c>
      <c r="D2828" s="13" t="n">
        <v>19180</v>
      </c>
      <c r="E2828" s="6" t="n">
        <f>SUM(C2828,D2828)/2</f>
        <v>15594</v>
      </c>
      <c r="F2828" s="12" t="n">
        <v>4397</v>
      </c>
      <c r="G2828" s="12" t="n">
        <v>6675</v>
      </c>
      <c r="H2828" s="6" t="n">
        <f>SUM(F2828,G2828)/2</f>
        <v>5536</v>
      </c>
    </row>
    <row r="2829" s="18" customFormat="1" ht="14.399999999999999" customHeight="1">
      <c r="A2829" s="10" t="s">
        <v>7225</v>
      </c>
      <c r="B2829" s="10" t="s">
        <v>7226</v>
      </c>
      <c r="C2829" s="13" t="n">
        <v>45729</v>
      </c>
      <c r="D2829" s="13" t="n">
        <v>73049</v>
      </c>
      <c r="E2829" s="6" t="n">
        <f>SUM(C2829,D2829)/2</f>
        <v>59389</v>
      </c>
      <c r="F2829" s="12" t="n">
        <v>6978</v>
      </c>
      <c r="G2829" s="12" t="n">
        <v>8588</v>
      </c>
      <c r="H2829" s="6" t="n">
        <f>SUM(F2829,G2829)/2</f>
        <v>7783</v>
      </c>
    </row>
    <row r="2830" s="18" customFormat="1" ht="14.399999999999999" customHeight="1">
      <c r="A2830" s="10" t="s">
        <v>7227</v>
      </c>
      <c r="B2830" s="10" t="s">
        <v>7228</v>
      </c>
      <c r="C2830" s="13" t="n">
        <v>9548</v>
      </c>
      <c r="D2830" s="13" t="n">
        <v>15252</v>
      </c>
      <c r="E2830" s="6" t="n">
        <f>SUM(C2830,D2830)/2</f>
        <v>12400</v>
      </c>
      <c r="F2830" s="12" t="n">
        <v>8042</v>
      </c>
      <c r="G2830" s="12" t="n">
        <v>11379</v>
      </c>
      <c r="H2830" s="6" t="n">
        <f>SUM(F2830,G2830)/2</f>
        <v>9710.5</v>
      </c>
    </row>
    <row r="2831" s="18" customFormat="1" ht="14.399999999999999" customHeight="1">
      <c r="A2831" s="10" t="s">
        <v>7229</v>
      </c>
      <c r="B2831" s="10" t="s">
        <v>7230</v>
      </c>
      <c r="C2831" s="13" t="n">
        <v>61378</v>
      </c>
      <c r="D2831" s="13" t="n">
        <v>98043</v>
      </c>
      <c r="E2831" s="6" t="n">
        <f>SUM(C2831,D2831)/2</f>
        <v>79710.5</v>
      </c>
      <c r="F2831" s="12" t="n">
        <v>10611</v>
      </c>
      <c r="G2831" s="12" t="n">
        <v>16443</v>
      </c>
      <c r="H2831" s="6" t="n">
        <f>SUM(F2831,G2831)/2</f>
        <v>13527</v>
      </c>
    </row>
    <row r="2832" s="18" customFormat="1" ht="14.399999999999999" customHeight="1">
      <c r="A2832" s="10" t="s">
        <v>2743</v>
      </c>
      <c r="B2832" s="10" t="s">
        <v>7231</v>
      </c>
      <c r="C2832" s="10" t="n">
        <v>2</v>
      </c>
      <c r="D2832" s="10" t="n">
        <v>4</v>
      </c>
      <c r="E2832" s="6" t="n">
        <f>SUM(C2832,D2832)/2</f>
        <v>3</v>
      </c>
      <c r="F2832" s="18" t="n">
        <v>0</v>
      </c>
      <c r="G2832" s="18" t="n">
        <v>0</v>
      </c>
      <c r="H2832" s="6" t="n">
        <f>SUM(F2832,G2832)/2</f>
        <v>0</v>
      </c>
    </row>
    <row r="2833" s="18" customFormat="1" ht="14.399999999999999" customHeight="1">
      <c r="A2833" s="10" t="s">
        <v>7232</v>
      </c>
      <c r="B2833" s="10" t="s">
        <v>7233</v>
      </c>
      <c r="C2833" s="13" t="n">
        <v>5753</v>
      </c>
      <c r="D2833" s="13" t="n">
        <v>9187</v>
      </c>
      <c r="E2833" s="6" t="n">
        <f>SUM(C2833,D2833)/2</f>
        <v>7470</v>
      </c>
      <c r="F2833" s="12" t="n">
        <v>6657</v>
      </c>
      <c r="G2833" s="12" t="n">
        <v>11034</v>
      </c>
      <c r="H2833" s="6" t="n">
        <f>SUM(F2833,G2833)/2</f>
        <v>8845.5</v>
      </c>
    </row>
    <row r="2834" s="18" customFormat="1" ht="14.399999999999999" customHeight="1">
      <c r="A2834" s="10" t="s">
        <v>4319</v>
      </c>
      <c r="B2834" s="10" t="s">
        <v>7234</v>
      </c>
      <c r="C2834" s="13" t="n">
        <v>40181</v>
      </c>
      <c r="D2834" s="13" t="n">
        <v>64185</v>
      </c>
      <c r="E2834" s="6" t="n">
        <f>SUM(C2834,D2834)/2</f>
        <v>52183</v>
      </c>
      <c r="F2834" s="12" t="n">
        <v>5682</v>
      </c>
      <c r="G2834" s="12" t="n">
        <v>8344</v>
      </c>
      <c r="H2834" s="6" t="n">
        <f>SUM(F2834,G2834)/2</f>
        <v>7013</v>
      </c>
    </row>
    <row r="2835" s="18" customFormat="1" ht="14.399999999999999" customHeight="1">
      <c r="A2835" s="10" t="s">
        <v>2745</v>
      </c>
      <c r="B2835" s="10" t="s">
        <v>7235</v>
      </c>
      <c r="C2835" s="10" t="n">
        <v>2</v>
      </c>
      <c r="D2835" s="10" t="n">
        <v>4</v>
      </c>
      <c r="E2835" s="6" t="n">
        <f>SUM(C2835,D2835)/2</f>
        <v>3</v>
      </c>
      <c r="F2835" s="18" t="n">
        <v>0</v>
      </c>
      <c r="G2835" s="18" t="n">
        <v>0</v>
      </c>
      <c r="H2835" s="6" t="n">
        <f>SUM(F2835,G2835)/2</f>
        <v>0</v>
      </c>
    </row>
    <row r="2836" s="18" customFormat="1" ht="14.399999999999999" customHeight="1">
      <c r="A2836" s="10" t="s">
        <v>7236</v>
      </c>
      <c r="B2836" s="10" t="s">
        <v>7237</v>
      </c>
      <c r="C2836" s="13" t="n">
        <v>26078</v>
      </c>
      <c r="D2836" s="13" t="n">
        <v>41658</v>
      </c>
      <c r="E2836" s="6" t="n">
        <f>SUM(C2836,D2836)/2</f>
        <v>33868</v>
      </c>
      <c r="F2836" s="12" t="n">
        <v>6284</v>
      </c>
      <c r="G2836" s="12" t="n">
        <v>7640</v>
      </c>
      <c r="H2836" s="6" t="n">
        <f>SUM(F2836,G2836)/2</f>
        <v>6962</v>
      </c>
    </row>
    <row r="2837" s="18" customFormat="1" ht="14.399999999999999" customHeight="1">
      <c r="A2837" s="10" t="s">
        <v>1657</v>
      </c>
      <c r="B2837" s="10" t="s">
        <v>7238</v>
      </c>
      <c r="C2837" s="10" t="n">
        <v>78</v>
      </c>
      <c r="D2837" s="10" t="n">
        <v>124</v>
      </c>
      <c r="E2837" s="6" t="n">
        <f>SUM(C2837,D2837)/2</f>
        <v>101</v>
      </c>
      <c r="F2837" s="18" t="n">
        <v>16</v>
      </c>
      <c r="G2837" s="18" t="n">
        <v>26</v>
      </c>
      <c r="H2837" s="6" t="n">
        <f>SUM(F2837,G2837)/2</f>
        <v>21</v>
      </c>
    </row>
    <row r="2838" s="18" customFormat="1" ht="14.399999999999999" customHeight="1">
      <c r="A2838" s="10" t="s">
        <v>7239</v>
      </c>
      <c r="B2838" s="10" t="s">
        <v>7240</v>
      </c>
      <c r="C2838" s="10" t="n">
        <v>4</v>
      </c>
      <c r="D2838" s="10" t="n">
        <v>6</v>
      </c>
      <c r="E2838" s="6" t="n">
        <f>SUM(C2838,D2838)/2</f>
        <v>5</v>
      </c>
      <c r="F2838" s="18" t="n">
        <v>0</v>
      </c>
      <c r="G2838" s="18" t="n">
        <v>0</v>
      </c>
      <c r="H2838" s="6" t="n">
        <f>SUM(F2838,G2838)/2</f>
        <v>0</v>
      </c>
    </row>
    <row r="2839" s="18" customFormat="1" ht="14.399999999999999" customHeight="1">
      <c r="A2839" s="10" t="s">
        <v>7241</v>
      </c>
      <c r="B2839" s="10" t="s">
        <v>7242</v>
      </c>
      <c r="C2839" s="13" t="n">
        <v>96514</v>
      </c>
      <c r="D2839" s="13" t="n">
        <v>154170</v>
      </c>
      <c r="E2839" s="6" t="n">
        <f>SUM(C2839,D2839)/2</f>
        <v>125342</v>
      </c>
      <c r="F2839" s="12" t="n">
        <v>52651</v>
      </c>
      <c r="G2839" s="12" t="n">
        <v>67555</v>
      </c>
      <c r="H2839" s="6" t="n">
        <f>SUM(F2839,G2839)/2</f>
        <v>60103</v>
      </c>
    </row>
    <row r="2840" s="18" customFormat="1" ht="14.399999999999999" customHeight="1">
      <c r="A2840" s="10" t="s">
        <v>7243</v>
      </c>
      <c r="B2840" s="10" t="s">
        <v>7244</v>
      </c>
      <c r="C2840" s="13" t="n">
        <v>26700</v>
      </c>
      <c r="D2840" s="13" t="n">
        <v>42654</v>
      </c>
      <c r="E2840" s="6" t="n">
        <f>SUM(C2840,D2840)/2</f>
        <v>34677</v>
      </c>
      <c r="F2840" s="12" t="n">
        <v>7424</v>
      </c>
      <c r="G2840" s="12" t="n">
        <v>10090</v>
      </c>
      <c r="H2840" s="6" t="n">
        <f>SUM(F2840,G2840)/2</f>
        <v>8757</v>
      </c>
    </row>
    <row r="2841" s="18" customFormat="1" ht="14.399999999999999" customHeight="1">
      <c r="A2841" s="10" t="s">
        <v>7245</v>
      </c>
      <c r="B2841" s="10" t="s">
        <v>7246</v>
      </c>
      <c r="C2841" s="13" t="n">
        <v>33446</v>
      </c>
      <c r="D2841" s="13" t="n">
        <v>53424</v>
      </c>
      <c r="E2841" s="6" t="n">
        <f>SUM(C2841,D2841)/2</f>
        <v>43435</v>
      </c>
      <c r="F2841" s="12" t="n">
        <v>34693</v>
      </c>
      <c r="G2841" s="12" t="n">
        <v>38727</v>
      </c>
      <c r="H2841" s="6" t="n">
        <f>SUM(F2841,G2841)/2</f>
        <v>36710</v>
      </c>
    </row>
    <row r="2842" s="18" customFormat="1" ht="14.399999999999999" customHeight="1">
      <c r="A2842" s="10" t="s">
        <v>7247</v>
      </c>
      <c r="B2842" s="10" t="s">
        <v>7248</v>
      </c>
      <c r="C2842" s="13" t="n">
        <v>3467</v>
      </c>
      <c r="D2842" s="13" t="n">
        <v>5537</v>
      </c>
      <c r="E2842" s="6" t="n">
        <f>SUM(C2842,D2842)/2</f>
        <v>4502</v>
      </c>
      <c r="F2842" s="12" t="n">
        <v>5531</v>
      </c>
      <c r="G2842" s="12" t="n">
        <v>6527</v>
      </c>
      <c r="H2842" s="6" t="n">
        <f>SUM(F2842,G2842)/2</f>
        <v>6029</v>
      </c>
    </row>
    <row r="2843" s="18" customFormat="1" ht="14.399999999999999" customHeight="1">
      <c r="A2843" s="10" t="s">
        <v>3121</v>
      </c>
      <c r="B2843" s="10" t="s">
        <v>7249</v>
      </c>
      <c r="C2843" s="13" t="n">
        <v>187581</v>
      </c>
      <c r="D2843" s="13" t="n">
        <v>299641</v>
      </c>
      <c r="E2843" s="6" t="n">
        <f>SUM(C2843,D2843)/2</f>
        <v>243611</v>
      </c>
      <c r="F2843" s="12" t="n">
        <v>21053</v>
      </c>
      <c r="G2843" s="12" t="n">
        <v>42710</v>
      </c>
      <c r="H2843" s="6" t="n">
        <f>SUM(F2843,G2843)/2</f>
        <v>31881.5</v>
      </c>
    </row>
    <row r="2844" s="18" customFormat="1" ht="14.399999999999999" customHeight="1">
      <c r="A2844" s="10" t="s">
        <v>1845</v>
      </c>
      <c r="B2844" s="10" t="s">
        <v>7250</v>
      </c>
      <c r="C2844" s="10" t="n">
        <v>58</v>
      </c>
      <c r="D2844" s="10" t="n">
        <v>92</v>
      </c>
      <c r="E2844" s="6" t="n">
        <f>SUM(C2844,D2844)/2</f>
        <v>75</v>
      </c>
      <c r="F2844" s="18" t="n">
        <v>3</v>
      </c>
      <c r="G2844" s="18" t="n">
        <v>5</v>
      </c>
      <c r="H2844" s="6" t="n">
        <f>SUM(F2844,G2844)/2</f>
        <v>4</v>
      </c>
    </row>
    <row r="2845" s="18" customFormat="1" ht="14.399999999999999" customHeight="1">
      <c r="A2845" s="10" t="s">
        <v>7251</v>
      </c>
      <c r="B2845" s="10" t="s">
        <v>7252</v>
      </c>
      <c r="C2845" s="13" t="n">
        <v>5127</v>
      </c>
      <c r="D2845" s="13" t="n">
        <v>8189</v>
      </c>
      <c r="E2845" s="6" t="n">
        <f>SUM(C2845,D2845)/2</f>
        <v>6658</v>
      </c>
      <c r="F2845" s="12" t="n">
        <v>15348</v>
      </c>
      <c r="G2845" s="12" t="n">
        <v>21689</v>
      </c>
      <c r="H2845" s="6" t="n">
        <f>SUM(F2845,G2845)/2</f>
        <v>18518.5</v>
      </c>
    </row>
    <row r="2846" s="18" customFormat="1" ht="14.399999999999999" customHeight="1">
      <c r="A2846" s="10" t="s">
        <v>7253</v>
      </c>
      <c r="B2846" s="10" t="s">
        <v>7254</v>
      </c>
      <c r="C2846" s="13" t="n">
        <v>4292</v>
      </c>
      <c r="D2846" s="13" t="n">
        <v>6858</v>
      </c>
      <c r="E2846" s="6" t="n">
        <f>SUM(C2846,D2846)/2</f>
        <v>5575</v>
      </c>
      <c r="F2846" s="12" t="n">
        <v>5903</v>
      </c>
      <c r="G2846" s="12" t="n">
        <v>9963</v>
      </c>
      <c r="H2846" s="6" t="n">
        <f>SUM(F2846,G2846)/2</f>
        <v>7933</v>
      </c>
    </row>
    <row r="2847" s="18" customFormat="1" ht="14.399999999999999" customHeight="1">
      <c r="A2847" s="10" t="s">
        <v>1609</v>
      </c>
      <c r="B2847" s="10" t="s">
        <v>7255</v>
      </c>
      <c r="C2847" s="13" t="n">
        <v>1671171</v>
      </c>
      <c r="D2847" s="13" t="n">
        <v>2669535</v>
      </c>
      <c r="E2847" s="6" t="n">
        <f>SUM(C2847,D2847)/2</f>
        <v>2170353</v>
      </c>
      <c r="F2847" s="12" t="n">
        <v>310835</v>
      </c>
      <c r="G2847" s="12" t="n">
        <v>410257</v>
      </c>
      <c r="H2847" s="6" t="n">
        <f>SUM(F2847,G2847)/2</f>
        <v>360546</v>
      </c>
    </row>
    <row r="2848" s="18" customFormat="1" ht="14.399999999999999" customHeight="1">
      <c r="A2848" s="10" t="s">
        <v>7256</v>
      </c>
      <c r="B2848" s="10" t="s">
        <v>7257</v>
      </c>
      <c r="C2848" s="13" t="n">
        <v>72708</v>
      </c>
      <c r="D2848" s="13" t="n">
        <v>116146</v>
      </c>
      <c r="E2848" s="6" t="n">
        <f>SUM(C2848,D2848)/2</f>
        <v>94427</v>
      </c>
      <c r="F2848" s="12" t="n">
        <v>29995</v>
      </c>
      <c r="G2848" s="12" t="n">
        <v>41760</v>
      </c>
      <c r="H2848" s="6" t="n">
        <f>SUM(F2848,G2848)/2</f>
        <v>35877.5</v>
      </c>
    </row>
    <row r="2849" s="18" customFormat="1" ht="14.399999999999999" customHeight="1">
      <c r="A2849" s="10" t="s">
        <v>3115</v>
      </c>
      <c r="B2849" s="10" t="s">
        <v>7258</v>
      </c>
      <c r="C2849" s="13" t="n">
        <v>293341</v>
      </c>
      <c r="D2849" s="13" t="n">
        <v>468581</v>
      </c>
      <c r="E2849" s="6" t="n">
        <f>SUM(C2849,D2849)/2</f>
        <v>380961</v>
      </c>
      <c r="F2849" s="12" t="n">
        <v>4825</v>
      </c>
      <c r="G2849" s="12" t="n">
        <v>15104</v>
      </c>
      <c r="H2849" s="6" t="n">
        <f>SUM(F2849,G2849)/2</f>
        <v>9964.5</v>
      </c>
    </row>
    <row r="2850" s="18" customFormat="1" ht="14.399999999999999" customHeight="1">
      <c r="A2850" s="10" t="s">
        <v>7259</v>
      </c>
      <c r="B2850" s="10" t="s">
        <v>7260</v>
      </c>
      <c r="C2850" s="13" t="n">
        <v>1610</v>
      </c>
      <c r="D2850" s="13" t="n">
        <v>2576</v>
      </c>
      <c r="E2850" s="6" t="n">
        <f>SUM(C2850,D2850)/2</f>
        <v>2093</v>
      </c>
      <c r="F2850" s="12" t="n">
        <v>5047</v>
      </c>
      <c r="G2850" s="12" t="n">
        <v>7556</v>
      </c>
      <c r="H2850" s="6" t="n">
        <f>SUM(F2850,G2850)/2</f>
        <v>6301.5</v>
      </c>
    </row>
    <row r="2851" s="18" customFormat="1" ht="14.399999999999999" customHeight="1">
      <c r="A2851" s="10" t="s">
        <v>7261</v>
      </c>
      <c r="B2851" s="10" t="s">
        <v>7262</v>
      </c>
      <c r="C2851" s="13" t="n">
        <v>16586</v>
      </c>
      <c r="D2851" s="13" t="n">
        <v>26492</v>
      </c>
      <c r="E2851" s="6" t="n">
        <f>SUM(C2851,D2851)/2</f>
        <v>21539</v>
      </c>
      <c r="F2851" s="12" t="n">
        <v>30708</v>
      </c>
      <c r="G2851" s="12" t="n">
        <v>41479</v>
      </c>
      <c r="H2851" s="6" t="n">
        <f>SUM(F2851,G2851)/2</f>
        <v>36093.5</v>
      </c>
    </row>
    <row r="2852" s="18" customFormat="1" ht="14.399999999999999" customHeight="1">
      <c r="A2852" s="10" t="s">
        <v>7263</v>
      </c>
      <c r="B2852" s="10" t="s">
        <v>7264</v>
      </c>
      <c r="C2852" s="13" t="n">
        <v>17286</v>
      </c>
      <c r="D2852" s="13" t="n">
        <v>27614</v>
      </c>
      <c r="E2852" s="6" t="n">
        <f>SUM(C2852,D2852)/2</f>
        <v>22450</v>
      </c>
      <c r="F2852" s="12" t="n">
        <v>6335</v>
      </c>
      <c r="G2852" s="12" t="n">
        <v>7997</v>
      </c>
      <c r="H2852" s="6" t="n">
        <f>SUM(F2852,G2852)/2</f>
        <v>7166</v>
      </c>
    </row>
    <row r="2853" s="18" customFormat="1" ht="14.399999999999999" customHeight="1">
      <c r="A2853" s="10" t="s">
        <v>7265</v>
      </c>
      <c r="B2853" s="10" t="s">
        <v>7266</v>
      </c>
      <c r="C2853" s="13" t="n">
        <v>24878</v>
      </c>
      <c r="D2853" s="13" t="n">
        <v>39740</v>
      </c>
      <c r="E2853" s="6" t="n">
        <f>SUM(C2853,D2853)/2</f>
        <v>32309</v>
      </c>
      <c r="F2853" s="12" t="n">
        <v>4739</v>
      </c>
      <c r="G2853" s="12" t="n">
        <v>7609</v>
      </c>
      <c r="H2853" s="6" t="n">
        <f>SUM(F2853,G2853)/2</f>
        <v>6174</v>
      </c>
    </row>
    <row r="2854" s="18" customFormat="1" ht="14.399999999999999" customHeight="1">
      <c r="A2854" s="10" t="s">
        <v>1513</v>
      </c>
      <c r="B2854" s="10" t="s">
        <v>7267</v>
      </c>
      <c r="C2854" s="10" t="n">
        <v>20</v>
      </c>
      <c r="D2854" s="10" t="n">
        <v>30</v>
      </c>
      <c r="E2854" s="6" t="n">
        <f>SUM(C2854,D2854)/2</f>
        <v>25</v>
      </c>
      <c r="F2854" s="18" t="n">
        <v>4</v>
      </c>
      <c r="G2854" s="18" t="n">
        <v>4</v>
      </c>
      <c r="H2854" s="6" t="n">
        <f>SUM(F2854,G2854)/2</f>
        <v>4</v>
      </c>
    </row>
    <row r="2855" s="18" customFormat="1" ht="14.399999999999999" customHeight="1">
      <c r="A2855" s="10" t="s">
        <v>7268</v>
      </c>
      <c r="B2855" s="10" t="s">
        <v>7269</v>
      </c>
      <c r="C2855" s="13" t="n">
        <v>47565</v>
      </c>
      <c r="D2855" s="13" t="n">
        <v>75979</v>
      </c>
      <c r="E2855" s="6" t="n">
        <f>SUM(C2855,D2855)/2</f>
        <v>61772</v>
      </c>
      <c r="F2855" s="12" t="n">
        <v>11519</v>
      </c>
      <c r="G2855" s="12" t="n">
        <v>17316</v>
      </c>
      <c r="H2855" s="6" t="n">
        <f>SUM(F2855,G2855)/2</f>
        <v>14417.5</v>
      </c>
    </row>
    <row r="2856" s="18" customFormat="1" ht="14.399999999999999" customHeight="1">
      <c r="A2856" s="10" t="s">
        <v>1625</v>
      </c>
      <c r="B2856" s="10" t="s">
        <v>7270</v>
      </c>
      <c r="C2856" s="10" t="n">
        <v>62</v>
      </c>
      <c r="D2856" s="10" t="n">
        <v>98</v>
      </c>
      <c r="E2856" s="6" t="n">
        <f>SUM(C2856,D2856)/2</f>
        <v>80</v>
      </c>
      <c r="F2856" s="18" t="n">
        <v>24</v>
      </c>
      <c r="G2856" s="18" t="n">
        <v>35</v>
      </c>
      <c r="H2856" s="6" t="n">
        <f>SUM(F2856,G2856)/2</f>
        <v>29.5</v>
      </c>
    </row>
    <row r="2857" s="18" customFormat="1" ht="14.399999999999999" customHeight="1">
      <c r="A2857" s="10" t="s">
        <v>4265</v>
      </c>
      <c r="B2857" s="10" t="s">
        <v>7271</v>
      </c>
      <c r="C2857" s="13" t="n">
        <v>18338</v>
      </c>
      <c r="D2857" s="13" t="n">
        <v>29294</v>
      </c>
      <c r="E2857" s="6" t="n">
        <f>SUM(C2857,D2857)/2</f>
        <v>23816</v>
      </c>
      <c r="F2857" s="12" t="n">
        <v>11190</v>
      </c>
      <c r="G2857" s="12" t="n">
        <v>16734</v>
      </c>
      <c r="H2857" s="6" t="n">
        <f>SUM(F2857,G2857)/2</f>
        <v>13962</v>
      </c>
    </row>
    <row r="2858" s="18" customFormat="1" ht="14.399999999999999" customHeight="1">
      <c r="A2858" s="10" t="s">
        <v>2362</v>
      </c>
      <c r="B2858" s="10" t="s">
        <v>7272</v>
      </c>
      <c r="C2858" s="10" t="n">
        <v>0</v>
      </c>
      <c r="D2858" s="10" t="n">
        <v>0</v>
      </c>
      <c r="E2858" s="6" t="n">
        <f>SUM(C2858,D2858)/2</f>
        <v>0</v>
      </c>
      <c r="F2858" s="18" t="n">
        <v>4</v>
      </c>
      <c r="G2858" s="18" t="n">
        <v>6</v>
      </c>
      <c r="H2858" s="6" t="n">
        <f>SUM(F2858,G2858)/2</f>
        <v>5</v>
      </c>
    </row>
    <row r="2859" s="18" customFormat="1" ht="14.399999999999999" customHeight="1">
      <c r="A2859" s="10" t="s">
        <v>7273</v>
      </c>
      <c r="B2859" s="10" t="s">
        <v>7274</v>
      </c>
      <c r="C2859" s="13" t="n">
        <v>61354</v>
      </c>
      <c r="D2859" s="13" t="n">
        <v>98008</v>
      </c>
      <c r="E2859" s="6" t="n">
        <f>SUM(C2859,D2859)/2</f>
        <v>79681</v>
      </c>
      <c r="F2859" s="12" t="n">
        <v>15989</v>
      </c>
      <c r="G2859" s="12" t="n">
        <v>20918</v>
      </c>
      <c r="H2859" s="6" t="n">
        <f>SUM(F2859,G2859)/2</f>
        <v>18453.5</v>
      </c>
    </row>
    <row r="2860" s="18" customFormat="1" ht="14.399999999999999" customHeight="1">
      <c r="A2860" s="10" t="s">
        <v>3099</v>
      </c>
      <c r="B2860" s="10" t="s">
        <v>7275</v>
      </c>
      <c r="C2860" s="13" t="n">
        <v>477961</v>
      </c>
      <c r="D2860" s="13" t="n">
        <v>763496</v>
      </c>
      <c r="E2860" s="6" t="n">
        <f>SUM(C2860,D2860)/2</f>
        <v>620728.5</v>
      </c>
      <c r="F2860" s="12" t="n">
        <v>21904</v>
      </c>
      <c r="G2860" s="12" t="n">
        <v>88325</v>
      </c>
      <c r="H2860" s="6" t="n">
        <f>SUM(F2860,G2860)/2</f>
        <v>55114.5</v>
      </c>
    </row>
    <row r="2861" s="18" customFormat="1" ht="14.399999999999999" customHeight="1">
      <c r="A2861" s="10" t="s">
        <v>7276</v>
      </c>
      <c r="B2861" s="10" t="s">
        <v>7277</v>
      </c>
      <c r="C2861" s="13" t="n">
        <v>36415</v>
      </c>
      <c r="D2861" s="13" t="n">
        <v>58169</v>
      </c>
      <c r="E2861" s="6" t="n">
        <f>SUM(C2861,D2861)/2</f>
        <v>47292</v>
      </c>
      <c r="F2861" s="12" t="n">
        <v>6875</v>
      </c>
      <c r="G2861" s="12" t="n">
        <v>11174</v>
      </c>
      <c r="H2861" s="6" t="n">
        <f>SUM(F2861,G2861)/2</f>
        <v>9024.5</v>
      </c>
    </row>
    <row r="2862" s="18" customFormat="1" ht="14.399999999999999" customHeight="1">
      <c r="A2862" s="10" t="s">
        <v>7278</v>
      </c>
      <c r="B2862" s="10" t="s">
        <v>7279</v>
      </c>
      <c r="C2862" s="13" t="n">
        <v>2507</v>
      </c>
      <c r="D2862" s="13" t="n">
        <v>4005</v>
      </c>
      <c r="E2862" s="6" t="n">
        <f>SUM(C2862,D2862)/2</f>
        <v>3256</v>
      </c>
      <c r="F2862" s="18" t="n">
        <v>977</v>
      </c>
      <c r="G2862" s="12" t="n">
        <v>1379</v>
      </c>
      <c r="H2862" s="6" t="n">
        <f>SUM(F2862,G2862)/2</f>
        <v>1178</v>
      </c>
    </row>
    <row r="2863" s="18" customFormat="1" ht="14.399999999999999" customHeight="1">
      <c r="A2863" s="10" t="s">
        <v>2592</v>
      </c>
      <c r="B2863" s="10" t="s">
        <v>7280</v>
      </c>
      <c r="C2863" s="10" t="n">
        <v>0</v>
      </c>
      <c r="D2863" s="10" t="n">
        <v>0</v>
      </c>
      <c r="E2863" s="6" t="n">
        <f>SUM(C2863,D2863)/2</f>
        <v>0</v>
      </c>
      <c r="F2863" s="18" t="n">
        <v>2</v>
      </c>
      <c r="G2863" s="18" t="n">
        <v>2</v>
      </c>
      <c r="H2863" s="6" t="n">
        <f>SUM(F2863,G2863)/2</f>
        <v>2</v>
      </c>
    </row>
    <row r="2864" s="18" customFormat="1" ht="14.399999999999999" customHeight="1">
      <c r="A2864" s="10" t="s">
        <v>3109</v>
      </c>
      <c r="B2864" s="10" t="s">
        <v>7281</v>
      </c>
      <c r="C2864" s="13" t="n">
        <v>337847</v>
      </c>
      <c r="D2864" s="13" t="n">
        <v>539679</v>
      </c>
      <c r="E2864" s="6" t="n">
        <f>SUM(C2864,D2864)/2</f>
        <v>438763</v>
      </c>
      <c r="F2864" s="12" t="n">
        <v>2224</v>
      </c>
      <c r="G2864" s="12" t="n">
        <v>5157</v>
      </c>
      <c r="H2864" s="6" t="n">
        <f>SUM(F2864,G2864)/2</f>
        <v>3690.5</v>
      </c>
    </row>
    <row r="2865" s="18" customFormat="1" ht="14.399999999999999" customHeight="1">
      <c r="A2865" s="10" t="s">
        <v>7282</v>
      </c>
      <c r="B2865" s="10" t="s">
        <v>7283</v>
      </c>
      <c r="C2865" s="13" t="n">
        <v>130944</v>
      </c>
      <c r="D2865" s="13" t="n">
        <v>209172</v>
      </c>
      <c r="E2865" s="6" t="n">
        <f>SUM(C2865,D2865)/2</f>
        <v>170058</v>
      </c>
      <c r="F2865" s="12" t="n">
        <v>19126</v>
      </c>
      <c r="G2865" s="12" t="n">
        <v>28751</v>
      </c>
      <c r="H2865" s="6" t="n">
        <f>SUM(F2865,G2865)/2</f>
        <v>23938.5</v>
      </c>
    </row>
    <row r="2866" s="18" customFormat="1" ht="14.399999999999999" customHeight="1">
      <c r="A2866" s="10" t="s">
        <v>7284</v>
      </c>
      <c r="B2866" s="10" t="s">
        <v>7285</v>
      </c>
      <c r="C2866" s="13" t="n">
        <v>13521</v>
      </c>
      <c r="D2866" s="13" t="n">
        <v>21601</v>
      </c>
      <c r="E2866" s="6" t="n">
        <f>SUM(C2866,D2866)/2</f>
        <v>17561</v>
      </c>
      <c r="F2866" s="12" t="n">
        <v>3692</v>
      </c>
      <c r="G2866" s="12" t="n">
        <v>5609</v>
      </c>
      <c r="H2866" s="6" t="n">
        <f>SUM(F2866,G2866)/2</f>
        <v>4650.5</v>
      </c>
    </row>
    <row r="2867" s="18" customFormat="1" ht="14.399999999999999" customHeight="1">
      <c r="A2867" s="10" t="s">
        <v>7286</v>
      </c>
      <c r="B2867" s="10" t="s">
        <v>7287</v>
      </c>
      <c r="C2867" s="13" t="n">
        <v>12518</v>
      </c>
      <c r="D2867" s="13" t="n">
        <v>19997</v>
      </c>
      <c r="E2867" s="6" t="n">
        <f>SUM(C2867,D2867)/2</f>
        <v>16257.5</v>
      </c>
      <c r="F2867" s="12" t="n">
        <v>4538</v>
      </c>
      <c r="G2867" s="12" t="n">
        <v>6003</v>
      </c>
      <c r="H2867" s="6" t="n">
        <f>SUM(F2867,G2867)/2</f>
        <v>5270.5</v>
      </c>
    </row>
    <row r="2868" s="18" customFormat="1" ht="14.399999999999999" customHeight="1">
      <c r="A2868" s="10" t="s">
        <v>7288</v>
      </c>
      <c r="B2868" s="10" t="s">
        <v>7289</v>
      </c>
      <c r="C2868" s="13" t="n">
        <v>20716</v>
      </c>
      <c r="D2868" s="13" t="n">
        <v>33094</v>
      </c>
      <c r="E2868" s="6" t="n">
        <f>SUM(C2868,D2868)/2</f>
        <v>26905</v>
      </c>
      <c r="F2868" s="12" t="n">
        <v>10540</v>
      </c>
      <c r="G2868" s="12" t="n">
        <v>14595</v>
      </c>
      <c r="H2868" s="6" t="n">
        <f>SUM(F2868,G2868)/2</f>
        <v>12567.5</v>
      </c>
    </row>
    <row r="2869" s="18" customFormat="1" ht="14.399999999999999" customHeight="1">
      <c r="A2869" s="10" t="s">
        <v>4713</v>
      </c>
      <c r="B2869" s="10" t="s">
        <v>7290</v>
      </c>
      <c r="C2869" s="13" t="n">
        <v>17533</v>
      </c>
      <c r="D2869" s="13" t="n">
        <v>28007</v>
      </c>
      <c r="E2869" s="6" t="n">
        <f>SUM(C2869,D2869)/2</f>
        <v>22770</v>
      </c>
      <c r="F2869" s="12" t="n">
        <v>6669</v>
      </c>
      <c r="G2869" s="12" t="n">
        <v>9200</v>
      </c>
      <c r="H2869" s="6" t="n">
        <f>SUM(F2869,G2869)/2</f>
        <v>7934.5</v>
      </c>
    </row>
    <row r="2870" s="18" customFormat="1" ht="14.399999999999999" customHeight="1">
      <c r="A2870" s="10" t="s">
        <v>7291</v>
      </c>
      <c r="B2870" s="10" t="s">
        <v>7292</v>
      </c>
      <c r="C2870" s="13" t="n">
        <v>42576</v>
      </c>
      <c r="D2870" s="13" t="n">
        <v>68010</v>
      </c>
      <c r="E2870" s="6" t="n">
        <f>SUM(C2870,D2870)/2</f>
        <v>55293</v>
      </c>
      <c r="F2870" s="12" t="n">
        <v>24400</v>
      </c>
      <c r="G2870" s="12" t="n">
        <v>32070</v>
      </c>
      <c r="H2870" s="6" t="n">
        <f>SUM(F2870,G2870)/2</f>
        <v>28235</v>
      </c>
    </row>
    <row r="2871" s="18" customFormat="1" ht="14.399999999999999" customHeight="1">
      <c r="A2871" s="10" t="s">
        <v>7293</v>
      </c>
      <c r="B2871" s="10" t="s">
        <v>7294</v>
      </c>
      <c r="C2871" s="13" t="n">
        <v>28412</v>
      </c>
      <c r="D2871" s="13" t="n">
        <v>45386</v>
      </c>
      <c r="E2871" s="6" t="n">
        <f>SUM(C2871,D2871)/2</f>
        <v>36899</v>
      </c>
      <c r="F2871" s="12" t="n">
        <v>4779</v>
      </c>
      <c r="G2871" s="12" t="n">
        <v>7934</v>
      </c>
      <c r="H2871" s="6" t="n">
        <f>SUM(F2871,G2871)/2</f>
        <v>6356.5</v>
      </c>
    </row>
    <row r="2872" s="18" customFormat="1" ht="14.399999999999999" customHeight="1">
      <c r="A2872" s="10" t="s">
        <v>4577</v>
      </c>
      <c r="B2872" s="10" t="s">
        <v>7295</v>
      </c>
      <c r="C2872" s="13" t="n">
        <v>21527</v>
      </c>
      <c r="D2872" s="13" t="n">
        <v>34387</v>
      </c>
      <c r="E2872" s="6" t="n">
        <f>SUM(C2872,D2872)/2</f>
        <v>27957</v>
      </c>
      <c r="F2872" s="12" t="n">
        <v>7437</v>
      </c>
      <c r="G2872" s="12" t="n">
        <v>9613</v>
      </c>
      <c r="H2872" s="6" t="n">
        <f>SUM(F2872,G2872)/2</f>
        <v>8525</v>
      </c>
    </row>
    <row r="2873" s="18" customFormat="1" ht="14.399999999999999" customHeight="1">
      <c r="A2873" s="10" t="s">
        <v>7296</v>
      </c>
      <c r="B2873" s="10" t="s">
        <v>7297</v>
      </c>
      <c r="C2873" s="13" t="n">
        <v>12798</v>
      </c>
      <c r="D2873" s="13" t="n">
        <v>20440</v>
      </c>
      <c r="E2873" s="6" t="n">
        <f>SUM(C2873,D2873)/2</f>
        <v>16619</v>
      </c>
      <c r="F2873" s="12" t="n">
        <v>5495</v>
      </c>
      <c r="G2873" s="12" t="n">
        <v>7018</v>
      </c>
      <c r="H2873" s="6" t="n">
        <f>SUM(F2873,G2873)/2</f>
        <v>6256.5</v>
      </c>
    </row>
    <row r="2874" s="18" customFormat="1" ht="14.399999999999999" customHeight="1">
      <c r="A2874" s="10" t="s">
        <v>7298</v>
      </c>
      <c r="B2874" s="10" t="s">
        <v>7299</v>
      </c>
      <c r="C2874" s="13" t="n">
        <v>21695</v>
      </c>
      <c r="D2874" s="13" t="n">
        <v>34653</v>
      </c>
      <c r="E2874" s="6" t="n">
        <f>SUM(C2874,D2874)/2</f>
        <v>28174</v>
      </c>
      <c r="F2874" s="12" t="n">
        <v>6214</v>
      </c>
      <c r="G2874" s="12" t="n">
        <v>8674</v>
      </c>
      <c r="H2874" s="6" t="n">
        <f>SUM(F2874,G2874)/2</f>
        <v>7444</v>
      </c>
    </row>
    <row r="2875" s="18" customFormat="1" ht="14.399999999999999" customHeight="1">
      <c r="A2875" s="10" t="s">
        <v>4195</v>
      </c>
      <c r="B2875" s="10" t="s">
        <v>7300</v>
      </c>
      <c r="C2875" s="13" t="n">
        <v>39978</v>
      </c>
      <c r="D2875" s="13" t="n">
        <v>63862</v>
      </c>
      <c r="E2875" s="6" t="n">
        <f>SUM(C2875,D2875)/2</f>
        <v>51920</v>
      </c>
      <c r="F2875" s="12" t="n">
        <v>7469</v>
      </c>
      <c r="G2875" s="12" t="n">
        <v>10969</v>
      </c>
      <c r="H2875" s="6" t="n">
        <f>SUM(F2875,G2875)/2</f>
        <v>9219</v>
      </c>
    </row>
    <row r="2876" s="18" customFormat="1" ht="14.399999999999999" customHeight="1">
      <c r="A2876" s="10" t="s">
        <v>7301</v>
      </c>
      <c r="B2876" s="10" t="s">
        <v>7302</v>
      </c>
      <c r="C2876" s="13" t="n">
        <v>100981</v>
      </c>
      <c r="D2876" s="13" t="n">
        <v>161303</v>
      </c>
      <c r="E2876" s="6" t="n">
        <f>SUM(C2876,D2876)/2</f>
        <v>131142</v>
      </c>
      <c r="F2876" s="12" t="n">
        <v>40739</v>
      </c>
      <c r="G2876" s="12" t="n">
        <v>58050</v>
      </c>
      <c r="H2876" s="6" t="n">
        <f>SUM(F2876,G2876)/2</f>
        <v>49394.5</v>
      </c>
    </row>
    <row r="2877" s="18" customFormat="1" ht="14.399999999999999" customHeight="1">
      <c r="A2877" s="10" t="s">
        <v>7303</v>
      </c>
      <c r="B2877" s="10" t="s">
        <v>7304</v>
      </c>
      <c r="C2877" s="13" t="n">
        <v>14303</v>
      </c>
      <c r="D2877" s="13" t="n">
        <v>22847</v>
      </c>
      <c r="E2877" s="6" t="n">
        <f>SUM(C2877,D2877)/2</f>
        <v>18575</v>
      </c>
      <c r="F2877" s="12" t="n">
        <v>5400</v>
      </c>
      <c r="G2877" s="12" t="n">
        <v>8120</v>
      </c>
      <c r="H2877" s="6" t="n">
        <f>SUM(F2877,G2877)/2</f>
        <v>6760</v>
      </c>
    </row>
    <row r="2878" s="18" customFormat="1" ht="14.399999999999999" customHeight="1">
      <c r="A2878" s="10" t="s">
        <v>426</v>
      </c>
      <c r="B2878" s="10" t="s">
        <v>427</v>
      </c>
      <c r="C2878" s="13" t="n">
        <v>1633</v>
      </c>
      <c r="D2878" s="13" t="n">
        <v>2607</v>
      </c>
      <c r="E2878" s="6" t="n">
        <f>SUM(C2878,D2878)/2</f>
        <v>2120</v>
      </c>
      <c r="F2878" s="18" t="n">
        <v>539</v>
      </c>
      <c r="G2878" s="18" t="n">
        <v>636</v>
      </c>
      <c r="H2878" s="6" t="n">
        <f>SUM(F2878,G2878)/2</f>
        <v>587.5</v>
      </c>
    </row>
    <row r="2879" s="18" customFormat="1" ht="14.399999999999999" customHeight="1">
      <c r="A2879" s="10" t="s">
        <v>5420</v>
      </c>
      <c r="B2879" s="10" t="s">
        <v>7305</v>
      </c>
      <c r="C2879" s="10" t="n">
        <v>624</v>
      </c>
      <c r="D2879" s="13" t="n">
        <v>1000</v>
      </c>
      <c r="E2879" s="6" t="n">
        <f>SUM(C2879,D2879)/2</f>
        <v>812</v>
      </c>
      <c r="F2879" s="18" t="n">
        <v>25</v>
      </c>
      <c r="G2879" s="18" t="n">
        <v>118</v>
      </c>
      <c r="H2879" s="6" t="n">
        <f>SUM(F2879,G2879)/2</f>
        <v>71.5</v>
      </c>
    </row>
    <row r="2880" s="18" customFormat="1" ht="14.399999999999999" customHeight="1">
      <c r="A2880" s="10" t="s">
        <v>7306</v>
      </c>
      <c r="B2880" s="10" t="s">
        <v>7307</v>
      </c>
      <c r="C2880" s="13" t="n">
        <v>30292</v>
      </c>
      <c r="D2880" s="13" t="n">
        <v>48388</v>
      </c>
      <c r="E2880" s="6" t="n">
        <f>SUM(C2880,D2880)/2</f>
        <v>39340</v>
      </c>
      <c r="F2880" s="12" t="n">
        <v>4586</v>
      </c>
      <c r="G2880" s="12" t="n">
        <v>6920</v>
      </c>
      <c r="H2880" s="6" t="n">
        <f>SUM(F2880,G2880)/2</f>
        <v>5753</v>
      </c>
    </row>
    <row r="2881" s="18" customFormat="1" ht="14.399999999999999" customHeight="1">
      <c r="A2881" s="10" t="s">
        <v>7308</v>
      </c>
      <c r="B2881" s="10" t="s">
        <v>7309</v>
      </c>
      <c r="C2881" s="13" t="n">
        <v>2035</v>
      </c>
      <c r="D2881" s="13" t="n">
        <v>3249</v>
      </c>
      <c r="E2881" s="6" t="n">
        <f>SUM(C2881,D2881)/2</f>
        <v>2642</v>
      </c>
      <c r="F2881" s="12" t="n">
        <v>6061</v>
      </c>
      <c r="G2881" s="12" t="n">
        <v>7972</v>
      </c>
      <c r="H2881" s="6" t="n">
        <f>SUM(F2881,G2881)/2</f>
        <v>7016.5</v>
      </c>
    </row>
    <row r="2882" s="18" customFormat="1" ht="14.399999999999999" customHeight="1">
      <c r="A2882" s="10" t="s">
        <v>7310</v>
      </c>
      <c r="B2882" s="10" t="s">
        <v>7311</v>
      </c>
      <c r="C2882" s="13" t="n">
        <v>4755</v>
      </c>
      <c r="D2882" s="13" t="n">
        <v>7593</v>
      </c>
      <c r="E2882" s="6" t="n">
        <f>SUM(C2882,D2882)/2</f>
        <v>6174</v>
      </c>
      <c r="F2882" s="12" t="n">
        <v>9461</v>
      </c>
      <c r="G2882" s="12" t="n">
        <v>13489</v>
      </c>
      <c r="H2882" s="6" t="n">
        <f>SUM(F2882,G2882)/2</f>
        <v>11475</v>
      </c>
    </row>
    <row r="2883" s="18" customFormat="1" ht="14.399999999999999" customHeight="1">
      <c r="A2883" s="10" t="s">
        <v>7312</v>
      </c>
      <c r="B2883" s="10" t="s">
        <v>7313</v>
      </c>
      <c r="C2883" s="13" t="n">
        <v>38810</v>
      </c>
      <c r="D2883" s="13" t="n">
        <v>61994</v>
      </c>
      <c r="E2883" s="6" t="n">
        <f>SUM(C2883,D2883)/2</f>
        <v>50402</v>
      </c>
      <c r="F2883" s="12" t="n">
        <v>13554</v>
      </c>
      <c r="G2883" s="12" t="n">
        <v>16497</v>
      </c>
      <c r="H2883" s="6" t="n">
        <f>SUM(F2883,G2883)/2</f>
        <v>15025.5</v>
      </c>
    </row>
    <row r="2884" s="18" customFormat="1" ht="14.399999999999999" customHeight="1">
      <c r="A2884" s="10" t="s">
        <v>7314</v>
      </c>
      <c r="B2884" s="10" t="s">
        <v>7315</v>
      </c>
      <c r="C2884" s="13" t="n">
        <v>29703</v>
      </c>
      <c r="D2884" s="13" t="n">
        <v>47447</v>
      </c>
      <c r="E2884" s="6" t="n">
        <f>SUM(C2884,D2884)/2</f>
        <v>38575</v>
      </c>
      <c r="F2884" s="12" t="n">
        <v>45916</v>
      </c>
      <c r="G2884" s="12" t="n">
        <v>66319</v>
      </c>
      <c r="H2884" s="6" t="n">
        <f>SUM(F2884,G2884)/2</f>
        <v>56117.5</v>
      </c>
    </row>
    <row r="2885" s="18" customFormat="1" ht="14.399999999999999" customHeight="1">
      <c r="A2885" s="10" t="s">
        <v>5478</v>
      </c>
      <c r="B2885" s="10" t="s">
        <v>7316</v>
      </c>
      <c r="C2885" s="10" t="n">
        <v>229</v>
      </c>
      <c r="D2885" s="10" t="n">
        <v>365</v>
      </c>
      <c r="E2885" s="6" t="n">
        <f>SUM(C2885,D2885)/2</f>
        <v>297</v>
      </c>
      <c r="F2885" s="18" t="n">
        <v>99</v>
      </c>
      <c r="G2885" s="18" t="n">
        <v>118</v>
      </c>
      <c r="H2885" s="6" t="n">
        <f>SUM(F2885,G2885)/2</f>
        <v>108.5</v>
      </c>
    </row>
    <row r="2886" s="18" customFormat="1" ht="14.399999999999999" customHeight="1">
      <c r="A2886" s="10" t="s">
        <v>7317</v>
      </c>
      <c r="B2886" s="10" t="s">
        <v>7318</v>
      </c>
      <c r="C2886" s="13" t="n">
        <v>24237</v>
      </c>
      <c r="D2886" s="13" t="n">
        <v>38719</v>
      </c>
      <c r="E2886" s="6" t="n">
        <f>SUM(C2886,D2886)/2</f>
        <v>31478</v>
      </c>
      <c r="F2886" s="12" t="n">
        <v>12064</v>
      </c>
      <c r="G2886" s="12" t="n">
        <v>18618</v>
      </c>
      <c r="H2886" s="6" t="n">
        <f>SUM(F2886,G2886)/2</f>
        <v>15341</v>
      </c>
    </row>
    <row r="2887" s="18" customFormat="1" ht="14.399999999999999" customHeight="1">
      <c r="A2887" s="10" t="s">
        <v>7319</v>
      </c>
      <c r="B2887" s="10" t="s">
        <v>7320</v>
      </c>
      <c r="C2887" s="13" t="n">
        <v>32545</v>
      </c>
      <c r="D2887" s="13" t="n">
        <v>51989</v>
      </c>
      <c r="E2887" s="6" t="n">
        <f>SUM(C2887,D2887)/2</f>
        <v>42267</v>
      </c>
      <c r="F2887" s="12" t="n">
        <v>5107</v>
      </c>
      <c r="G2887" s="12" t="n">
        <v>6813</v>
      </c>
      <c r="H2887" s="6" t="n">
        <f>SUM(F2887,G2887)/2</f>
        <v>5960</v>
      </c>
    </row>
    <row r="2888" s="18" customFormat="1" ht="14.399999999999999" customHeight="1">
      <c r="A2888" s="10" t="s">
        <v>4873</v>
      </c>
      <c r="B2888" s="10" t="s">
        <v>7321</v>
      </c>
      <c r="C2888" s="13" t="n">
        <v>14183</v>
      </c>
      <c r="D2888" s="13" t="n">
        <v>22655</v>
      </c>
      <c r="E2888" s="6" t="n">
        <f>SUM(C2888,D2888)/2</f>
        <v>18419</v>
      </c>
      <c r="F2888" s="12" t="n">
        <v>6743</v>
      </c>
      <c r="G2888" s="12" t="n">
        <v>7650</v>
      </c>
      <c r="H2888" s="6" t="n">
        <f>SUM(F2888,G2888)/2</f>
        <v>7196.5</v>
      </c>
    </row>
    <row r="2889" s="18" customFormat="1" ht="14.399999999999999" customHeight="1">
      <c r="A2889" s="10" t="s">
        <v>1685</v>
      </c>
      <c r="B2889" s="10" t="s">
        <v>7322</v>
      </c>
      <c r="C2889" s="10" t="n">
        <v>95</v>
      </c>
      <c r="D2889" s="10" t="n">
        <v>151</v>
      </c>
      <c r="E2889" s="6" t="n">
        <f>SUM(C2889,D2889)/2</f>
        <v>123</v>
      </c>
      <c r="F2889" s="18" t="n">
        <v>8</v>
      </c>
      <c r="G2889" s="18" t="n">
        <v>11</v>
      </c>
      <c r="H2889" s="6" t="n">
        <f>SUM(F2889,G2889)/2</f>
        <v>9.5</v>
      </c>
    </row>
    <row r="2890" s="18" customFormat="1" ht="14.399999999999999" customHeight="1">
      <c r="A2890" s="10" t="s">
        <v>4943</v>
      </c>
      <c r="B2890" s="10" t="s">
        <v>7323</v>
      </c>
      <c r="C2890" s="13" t="n">
        <v>11963</v>
      </c>
      <c r="D2890" s="13" t="n">
        <v>19109</v>
      </c>
      <c r="E2890" s="6" t="n">
        <f>SUM(C2890,D2890)/2</f>
        <v>15536</v>
      </c>
      <c r="F2890" s="12" t="n">
        <v>5323</v>
      </c>
      <c r="G2890" s="12" t="n">
        <v>8738</v>
      </c>
      <c r="H2890" s="6" t="n">
        <f>SUM(F2890,G2890)/2</f>
        <v>7030.5</v>
      </c>
    </row>
    <row r="2891" s="18" customFormat="1" ht="14.399999999999999" customHeight="1">
      <c r="A2891" s="10" t="s">
        <v>7324</v>
      </c>
      <c r="B2891" s="10" t="s">
        <v>7325</v>
      </c>
      <c r="C2891" s="13" t="n">
        <v>11112</v>
      </c>
      <c r="D2891" s="13" t="n">
        <v>17750</v>
      </c>
      <c r="E2891" s="6" t="n">
        <f>SUM(C2891,D2891)/2</f>
        <v>14431</v>
      </c>
      <c r="F2891" s="12" t="n">
        <v>4491</v>
      </c>
      <c r="G2891" s="12" t="n">
        <v>5438</v>
      </c>
      <c r="H2891" s="6" t="n">
        <f>SUM(F2891,G2891)/2</f>
        <v>4964.5</v>
      </c>
    </row>
    <row r="2892" s="18" customFormat="1" ht="14.399999999999999" customHeight="1">
      <c r="A2892" s="10" t="s">
        <v>3761</v>
      </c>
      <c r="B2892" s="10" t="s">
        <v>7326</v>
      </c>
      <c r="C2892" s="13" t="n">
        <v>3060</v>
      </c>
      <c r="D2892" s="13" t="n">
        <v>4886</v>
      </c>
      <c r="E2892" s="6" t="n">
        <f>SUM(C2892,D2892)/2</f>
        <v>3973</v>
      </c>
      <c r="F2892" s="12" t="n">
        <v>24779</v>
      </c>
      <c r="G2892" s="12" t="n">
        <v>36836</v>
      </c>
      <c r="H2892" s="6" t="n">
        <f>SUM(F2892,G2892)/2</f>
        <v>30807.5</v>
      </c>
    </row>
    <row r="2893" s="18" customFormat="1" ht="14.399999999999999" customHeight="1">
      <c r="A2893" s="10" t="s">
        <v>7327</v>
      </c>
      <c r="B2893" s="10" t="s">
        <v>7328</v>
      </c>
      <c r="C2893" s="13" t="n">
        <v>93722</v>
      </c>
      <c r="D2893" s="13" t="n">
        <v>149712</v>
      </c>
      <c r="E2893" s="6" t="n">
        <f>SUM(C2893,D2893)/2</f>
        <v>121717</v>
      </c>
      <c r="F2893" s="12" t="n">
        <v>111403</v>
      </c>
      <c r="G2893" s="12" t="n">
        <v>157402</v>
      </c>
      <c r="H2893" s="6" t="n">
        <f>SUM(F2893,G2893)/2</f>
        <v>134402.5</v>
      </c>
    </row>
    <row r="2894" s="18" customFormat="1" ht="14.399999999999999" customHeight="1">
      <c r="A2894" s="10" t="s">
        <v>3655</v>
      </c>
      <c r="B2894" s="10" t="s">
        <v>7329</v>
      </c>
      <c r="C2894" s="13" t="n">
        <v>24535</v>
      </c>
      <c r="D2894" s="13" t="n">
        <v>39195</v>
      </c>
      <c r="E2894" s="6" t="n">
        <f>SUM(C2894,D2894)/2</f>
        <v>31865</v>
      </c>
      <c r="F2894" s="12" t="n">
        <v>21917</v>
      </c>
      <c r="G2894" s="12" t="n">
        <v>35819</v>
      </c>
      <c r="H2894" s="6" t="n">
        <f>SUM(F2894,G2894)/2</f>
        <v>28868</v>
      </c>
    </row>
    <row r="2895" s="18" customFormat="1" ht="14.399999999999999" customHeight="1">
      <c r="A2895" s="10" t="s">
        <v>893</v>
      </c>
      <c r="B2895" s="10" t="s">
        <v>7330</v>
      </c>
      <c r="C2895" s="13" t="n">
        <v>836024</v>
      </c>
      <c r="D2895" s="13" t="n">
        <v>1335465</v>
      </c>
      <c r="E2895" s="6" t="n">
        <f>SUM(C2895,D2895)/2</f>
        <v>1085744.5</v>
      </c>
      <c r="F2895" s="12" t="n">
        <v>103273</v>
      </c>
      <c r="G2895" s="12" t="n">
        <v>209386</v>
      </c>
      <c r="H2895" s="6" t="n">
        <f>SUM(F2895,G2895)/2</f>
        <v>156329.5</v>
      </c>
    </row>
    <row r="2896" s="18" customFormat="1" ht="14.399999999999999" customHeight="1">
      <c r="A2896" s="10" t="s">
        <v>7331</v>
      </c>
      <c r="B2896" s="10" t="s">
        <v>7332</v>
      </c>
      <c r="C2896" s="13" t="n">
        <v>108976</v>
      </c>
      <c r="D2896" s="13" t="n">
        <v>174078</v>
      </c>
      <c r="E2896" s="6" t="n">
        <f>SUM(C2896,D2896)/2</f>
        <v>141527</v>
      </c>
      <c r="F2896" s="12" t="n">
        <v>5951</v>
      </c>
      <c r="G2896" s="12" t="n">
        <v>15144</v>
      </c>
      <c r="H2896" s="6" t="n">
        <f>SUM(F2896,G2896)/2</f>
        <v>10547.5</v>
      </c>
    </row>
    <row r="2897" s="18" customFormat="1" ht="14.399999999999999" customHeight="1">
      <c r="A2897" s="10" t="s">
        <v>2242</v>
      </c>
      <c r="B2897" s="10" t="s">
        <v>7333</v>
      </c>
      <c r="C2897" s="13" t="n">
        <v>40714</v>
      </c>
      <c r="D2897" s="13" t="n">
        <v>65036</v>
      </c>
      <c r="E2897" s="6" t="n">
        <f>SUM(C2897,D2897)/2</f>
        <v>52875</v>
      </c>
      <c r="F2897" s="12" t="n">
        <v>59541</v>
      </c>
      <c r="G2897" s="12" t="n">
        <v>81315</v>
      </c>
      <c r="H2897" s="6" t="n">
        <f>SUM(F2897,G2897)/2</f>
        <v>70428</v>
      </c>
    </row>
    <row r="2898" s="18" customFormat="1" ht="14.399999999999999" customHeight="1">
      <c r="A2898" s="10" t="s">
        <v>4913</v>
      </c>
      <c r="B2898" s="10" t="s">
        <v>7334</v>
      </c>
      <c r="C2898" s="13" t="n">
        <v>14779</v>
      </c>
      <c r="D2898" s="13" t="n">
        <v>23605</v>
      </c>
      <c r="E2898" s="6" t="n">
        <f>SUM(C2898,D2898)/2</f>
        <v>19192</v>
      </c>
      <c r="F2898" s="12" t="n">
        <v>6056</v>
      </c>
      <c r="G2898" s="12" t="n">
        <v>7153</v>
      </c>
      <c r="H2898" s="6" t="n">
        <f>SUM(F2898,G2898)/2</f>
        <v>6604.5</v>
      </c>
    </row>
    <row r="2899" s="18" customFormat="1" ht="14.399999999999999" customHeight="1">
      <c r="A2899" s="10" t="s">
        <v>7335</v>
      </c>
      <c r="B2899" s="10" t="s">
        <v>7336</v>
      </c>
      <c r="C2899" s="13" t="n">
        <v>19047</v>
      </c>
      <c r="D2899" s="13" t="n">
        <v>30423</v>
      </c>
      <c r="E2899" s="6" t="n">
        <f>SUM(C2899,D2899)/2</f>
        <v>24735</v>
      </c>
      <c r="F2899" s="12" t="n">
        <v>9591</v>
      </c>
      <c r="G2899" s="12" t="n">
        <v>14795</v>
      </c>
      <c r="H2899" s="6" t="n">
        <f>SUM(F2899,G2899)/2</f>
        <v>12193</v>
      </c>
    </row>
    <row r="2900" s="18" customFormat="1" ht="14.399999999999999" customHeight="1">
      <c r="A2900" s="10" t="s">
        <v>3997</v>
      </c>
      <c r="B2900" s="10" t="s">
        <v>7337</v>
      </c>
      <c r="C2900" s="13" t="n">
        <v>47773</v>
      </c>
      <c r="D2900" s="13" t="n">
        <v>76311</v>
      </c>
      <c r="E2900" s="6" t="n">
        <f>SUM(C2900,D2900)/2</f>
        <v>62042</v>
      </c>
      <c r="F2900" s="12" t="n">
        <v>10429</v>
      </c>
      <c r="G2900" s="12" t="n">
        <v>12982</v>
      </c>
      <c r="H2900" s="6" t="n">
        <f>SUM(F2900,G2900)/2</f>
        <v>11705.5</v>
      </c>
    </row>
    <row r="2901" s="18" customFormat="1" ht="14.399999999999999" customHeight="1">
      <c r="A2901" s="10" t="s">
        <v>7338</v>
      </c>
      <c r="B2901" s="10" t="s">
        <v>7339</v>
      </c>
      <c r="C2901" s="13" t="n">
        <v>27904</v>
      </c>
      <c r="D2901" s="13" t="n">
        <v>44574</v>
      </c>
      <c r="E2901" s="6" t="n">
        <f>SUM(C2901,D2901)/2</f>
        <v>36239</v>
      </c>
      <c r="F2901" s="12" t="n">
        <v>6178</v>
      </c>
      <c r="G2901" s="12" t="n">
        <v>8296</v>
      </c>
      <c r="H2901" s="6" t="n">
        <f>SUM(F2901,G2901)/2</f>
        <v>7237</v>
      </c>
    </row>
    <row r="2902" s="18" customFormat="1" ht="14.399999999999999" customHeight="1">
      <c r="A2902" s="10" t="s">
        <v>1843</v>
      </c>
      <c r="B2902" s="10" t="s">
        <v>7340</v>
      </c>
      <c r="C2902" s="10" t="n">
        <v>26</v>
      </c>
      <c r="D2902" s="10" t="n">
        <v>42</v>
      </c>
      <c r="E2902" s="6" t="n">
        <f>SUM(C2902,D2902)/2</f>
        <v>34</v>
      </c>
      <c r="F2902" s="18" t="n">
        <v>11</v>
      </c>
      <c r="G2902" s="18" t="n">
        <v>15</v>
      </c>
      <c r="H2902" s="6" t="n">
        <f>SUM(F2902,G2902)/2</f>
        <v>13</v>
      </c>
    </row>
    <row r="2903" s="18" customFormat="1" ht="14.399999999999999" customHeight="1">
      <c r="A2903" s="10" t="s">
        <v>2132</v>
      </c>
      <c r="B2903" s="10" t="s">
        <v>7341</v>
      </c>
      <c r="C2903" s="13" t="n">
        <v>255558</v>
      </c>
      <c r="D2903" s="13" t="n">
        <v>408232</v>
      </c>
      <c r="E2903" s="6" t="n">
        <f>SUM(C2903,D2903)/2</f>
        <v>331895</v>
      </c>
      <c r="F2903" s="12" t="n">
        <v>21158</v>
      </c>
      <c r="G2903" s="12" t="n">
        <v>30494</v>
      </c>
      <c r="H2903" s="6" t="n">
        <f>SUM(F2903,G2903)/2</f>
        <v>25826</v>
      </c>
    </row>
    <row r="2904" s="18" customFormat="1" ht="14.399999999999999" customHeight="1">
      <c r="A2904" s="10" t="s">
        <v>7342</v>
      </c>
      <c r="B2904" s="10" t="s">
        <v>7343</v>
      </c>
      <c r="C2904" s="13" t="n">
        <v>19219</v>
      </c>
      <c r="D2904" s="13" t="n">
        <v>30703</v>
      </c>
      <c r="E2904" s="6" t="n">
        <f>SUM(C2904,D2904)/2</f>
        <v>24961</v>
      </c>
      <c r="F2904" s="12" t="n">
        <v>5451</v>
      </c>
      <c r="G2904" s="12" t="n">
        <v>6646</v>
      </c>
      <c r="H2904" s="6" t="n">
        <f>SUM(F2904,G2904)/2</f>
        <v>6048.5</v>
      </c>
    </row>
    <row r="2905" s="18" customFormat="1" ht="14.399999999999999" customHeight="1">
      <c r="A2905" s="10" t="s">
        <v>7344</v>
      </c>
      <c r="B2905" s="10" t="s">
        <v>7345</v>
      </c>
      <c r="C2905" s="13" t="n">
        <v>63218</v>
      </c>
      <c r="D2905" s="13" t="n">
        <v>100984</v>
      </c>
      <c r="E2905" s="6" t="n">
        <f>SUM(C2905,D2905)/2</f>
        <v>82101</v>
      </c>
      <c r="F2905" s="12" t="n">
        <v>16425</v>
      </c>
      <c r="G2905" s="12" t="n">
        <v>24403</v>
      </c>
      <c r="H2905" s="6" t="n">
        <f>SUM(F2905,G2905)/2</f>
        <v>20414</v>
      </c>
    </row>
    <row r="2906" s="18" customFormat="1" ht="14.399999999999999" customHeight="1">
      <c r="A2906" s="10" t="s">
        <v>7346</v>
      </c>
      <c r="B2906" s="10" t="s">
        <v>7347</v>
      </c>
      <c r="C2906" s="13" t="n">
        <v>49075</v>
      </c>
      <c r="D2906" s="13" t="n">
        <v>78395</v>
      </c>
      <c r="E2906" s="6" t="n">
        <f>SUM(C2906,D2906)/2</f>
        <v>63735</v>
      </c>
      <c r="F2906" s="12" t="n">
        <v>13606</v>
      </c>
      <c r="G2906" s="12" t="n">
        <v>17011</v>
      </c>
      <c r="H2906" s="6" t="n">
        <f>SUM(F2906,G2906)/2</f>
        <v>15308.5</v>
      </c>
    </row>
    <row r="2907" s="18" customFormat="1" ht="14.399999999999999" customHeight="1">
      <c r="A2907" s="10" t="s">
        <v>7348</v>
      </c>
      <c r="B2907" s="10" t="s">
        <v>7349</v>
      </c>
      <c r="C2907" s="13" t="n">
        <v>36836</v>
      </c>
      <c r="D2907" s="13" t="n">
        <v>58842</v>
      </c>
      <c r="E2907" s="6" t="n">
        <f>SUM(C2907,D2907)/2</f>
        <v>47839</v>
      </c>
      <c r="F2907" s="12" t="n">
        <v>14458</v>
      </c>
      <c r="G2907" s="12" t="n">
        <v>21140</v>
      </c>
      <c r="H2907" s="6" t="n">
        <f>SUM(F2907,G2907)/2</f>
        <v>17799</v>
      </c>
    </row>
    <row r="2908" s="18" customFormat="1" ht="14.399999999999999" customHeight="1">
      <c r="A2908" s="10" t="s">
        <v>7350</v>
      </c>
      <c r="B2908" s="10" t="s">
        <v>7351</v>
      </c>
      <c r="C2908" s="13" t="n">
        <v>182014</v>
      </c>
      <c r="D2908" s="13" t="n">
        <v>290749</v>
      </c>
      <c r="E2908" s="6" t="n">
        <f>SUM(C2908,D2908)/2</f>
        <v>236381.5</v>
      </c>
      <c r="F2908" s="12" t="n">
        <v>43513</v>
      </c>
      <c r="G2908" s="12" t="n">
        <v>49969</v>
      </c>
      <c r="H2908" s="6" t="n">
        <f>SUM(F2908,G2908)/2</f>
        <v>46741</v>
      </c>
    </row>
    <row r="2909" s="18" customFormat="1" ht="14.399999999999999" customHeight="1">
      <c r="A2909" s="10" t="s">
        <v>2128</v>
      </c>
      <c r="B2909" s="10" t="s">
        <v>7352</v>
      </c>
      <c r="C2909" s="10" t="n">
        <v>0</v>
      </c>
      <c r="D2909" s="10" t="n">
        <v>0</v>
      </c>
      <c r="E2909" s="6" t="n">
        <f>SUM(C2909,D2909)/2</f>
        <v>0</v>
      </c>
      <c r="F2909" s="18" t="n">
        <v>6</v>
      </c>
      <c r="G2909" s="18" t="n">
        <v>11</v>
      </c>
      <c r="H2909" s="6" t="n">
        <f>SUM(F2909,G2909)/2</f>
        <v>8.5</v>
      </c>
    </row>
    <row r="2910" s="18" customFormat="1" ht="14.399999999999999" customHeight="1">
      <c r="A2910" s="10" t="s">
        <v>7353</v>
      </c>
      <c r="B2910" s="10" t="s">
        <v>7354</v>
      </c>
      <c r="C2910" s="13" t="n">
        <v>51367</v>
      </c>
      <c r="D2910" s="13" t="n">
        <v>82053</v>
      </c>
      <c r="E2910" s="6" t="n">
        <f>SUM(C2910,D2910)/2</f>
        <v>66710</v>
      </c>
      <c r="F2910" s="12" t="n">
        <v>31226</v>
      </c>
      <c r="G2910" s="12" t="n">
        <v>49595</v>
      </c>
      <c r="H2910" s="6" t="n">
        <f>SUM(F2910,G2910)/2</f>
        <v>40410.5</v>
      </c>
    </row>
    <row r="2911" s="18" customFormat="1" ht="14.399999999999999" customHeight="1">
      <c r="A2911" s="10" t="s">
        <v>7355</v>
      </c>
      <c r="B2911" s="10" t="s">
        <v>7356</v>
      </c>
      <c r="C2911" s="13" t="n">
        <v>14735</v>
      </c>
      <c r="D2911" s="13" t="n">
        <v>23533</v>
      </c>
      <c r="E2911" s="6" t="n">
        <f>SUM(C2911,D2911)/2</f>
        <v>19134</v>
      </c>
      <c r="F2911" s="12" t="n">
        <v>8387</v>
      </c>
      <c r="G2911" s="12" t="n">
        <v>12858</v>
      </c>
      <c r="H2911" s="6" t="n">
        <f>SUM(F2911,G2911)/2</f>
        <v>10622.5</v>
      </c>
    </row>
    <row r="2912" s="18" customFormat="1" ht="14.399999999999999" customHeight="1">
      <c r="A2912" s="10" t="s">
        <v>2057</v>
      </c>
      <c r="B2912" s="10" t="s">
        <v>7357</v>
      </c>
      <c r="C2912" s="10" t="n">
        <v>8</v>
      </c>
      <c r="D2912" s="10" t="n">
        <v>14</v>
      </c>
      <c r="E2912" s="6" t="n">
        <f>SUM(C2912,D2912)/2</f>
        <v>11</v>
      </c>
      <c r="F2912" s="18" t="n">
        <v>7</v>
      </c>
      <c r="G2912" s="18" t="n">
        <v>10</v>
      </c>
      <c r="H2912" s="6" t="n">
        <f>SUM(F2912,G2912)/2</f>
        <v>8.5</v>
      </c>
    </row>
    <row r="2913" s="18" customFormat="1" ht="14.399999999999999" customHeight="1">
      <c r="A2913" s="10" t="s">
        <v>7358</v>
      </c>
      <c r="B2913" s="10" t="s">
        <v>7359</v>
      </c>
      <c r="C2913" s="13" t="n">
        <v>35534</v>
      </c>
      <c r="D2913" s="13" t="n">
        <v>56762</v>
      </c>
      <c r="E2913" s="6" t="n">
        <f>SUM(C2913,D2913)/2</f>
        <v>46148</v>
      </c>
      <c r="F2913" s="12" t="n">
        <v>4738</v>
      </c>
      <c r="G2913" s="12" t="n">
        <v>8528</v>
      </c>
      <c r="H2913" s="6" t="n">
        <f>SUM(F2913,G2913)/2</f>
        <v>6633</v>
      </c>
    </row>
    <row r="2914" s="18" customFormat="1" ht="14.399999999999999" customHeight="1">
      <c r="A2914" s="10" t="s">
        <v>1298</v>
      </c>
      <c r="B2914" s="10" t="s">
        <v>7360</v>
      </c>
      <c r="C2914" s="13" t="n">
        <v>195862</v>
      </c>
      <c r="D2914" s="13" t="n">
        <v>312868</v>
      </c>
      <c r="E2914" s="6" t="n">
        <f>SUM(C2914,D2914)/2</f>
        <v>254365</v>
      </c>
      <c r="F2914" s="12" t="n">
        <v>17700</v>
      </c>
      <c r="G2914" s="12" t="n">
        <v>23322</v>
      </c>
      <c r="H2914" s="6" t="n">
        <f>SUM(F2914,G2914)/2</f>
        <v>20511</v>
      </c>
    </row>
    <row r="2915" s="18" customFormat="1" ht="14.399999999999999" customHeight="1">
      <c r="A2915" s="10" t="s">
        <v>7361</v>
      </c>
      <c r="B2915" s="10" t="s">
        <v>7362</v>
      </c>
      <c r="C2915" s="13" t="n">
        <v>1242</v>
      </c>
      <c r="D2915" s="13" t="n">
        <v>1984</v>
      </c>
      <c r="E2915" s="6" t="n">
        <f>SUM(C2915,D2915)/2</f>
        <v>1613</v>
      </c>
      <c r="F2915" s="12" t="n">
        <v>1569</v>
      </c>
      <c r="G2915" s="12" t="n">
        <v>2432</v>
      </c>
      <c r="H2915" s="6" t="n">
        <f>SUM(F2915,G2915)/2</f>
        <v>2000.5</v>
      </c>
    </row>
    <row r="2916" s="18" customFormat="1" ht="14.399999999999999" customHeight="1">
      <c r="A2916" s="10" t="s">
        <v>4447</v>
      </c>
      <c r="B2916" s="10" t="s">
        <v>7363</v>
      </c>
      <c r="C2916" s="13" t="n">
        <v>28069</v>
      </c>
      <c r="D2916" s="13" t="n">
        <v>44837</v>
      </c>
      <c r="E2916" s="6" t="n">
        <f>SUM(C2916,D2916)/2</f>
        <v>36453</v>
      </c>
      <c r="F2916" s="12" t="n">
        <v>6804</v>
      </c>
      <c r="G2916" s="12" t="n">
        <v>10205</v>
      </c>
      <c r="H2916" s="6" t="n">
        <f>SUM(F2916,G2916)/2</f>
        <v>8504.5</v>
      </c>
    </row>
    <row r="2917" s="18" customFormat="1" ht="14.399999999999999" customHeight="1">
      <c r="A2917" s="10" t="s">
        <v>2342</v>
      </c>
      <c r="B2917" s="10" t="s">
        <v>7364</v>
      </c>
      <c r="C2917" s="10" t="n">
        <v>12</v>
      </c>
      <c r="D2917" s="10" t="n">
        <v>18</v>
      </c>
      <c r="E2917" s="6" t="n">
        <f>SUM(C2917,D2917)/2</f>
        <v>15</v>
      </c>
      <c r="F2917" s="18" t="n">
        <v>2</v>
      </c>
      <c r="G2917" s="18" t="n">
        <v>2</v>
      </c>
      <c r="H2917" s="6" t="n">
        <f>SUM(F2917,G2917)/2</f>
        <v>2</v>
      </c>
    </row>
    <row r="2918" s="18" customFormat="1" ht="14.399999999999999" customHeight="1">
      <c r="A2918" s="10" t="s">
        <v>7365</v>
      </c>
      <c r="B2918" s="10" t="s">
        <v>7366</v>
      </c>
      <c r="C2918" s="13" t="n">
        <v>169619</v>
      </c>
      <c r="D2918" s="13" t="n">
        <v>270951</v>
      </c>
      <c r="E2918" s="6" t="n">
        <f>SUM(C2918,D2918)/2</f>
        <v>220285</v>
      </c>
      <c r="F2918" s="12" t="n">
        <v>37589</v>
      </c>
      <c r="G2918" s="12" t="n">
        <v>54281</v>
      </c>
      <c r="H2918" s="6" t="n">
        <f>SUM(F2918,G2918)/2</f>
        <v>45935</v>
      </c>
    </row>
    <row r="2919" s="18" customFormat="1" ht="14.399999999999999" customHeight="1">
      <c r="A2919" s="10" t="s">
        <v>7367</v>
      </c>
      <c r="B2919" s="10" t="s">
        <v>7368</v>
      </c>
      <c r="C2919" s="13" t="n">
        <v>20086</v>
      </c>
      <c r="D2919" s="13" t="n">
        <v>32084</v>
      </c>
      <c r="E2919" s="6" t="n">
        <f>SUM(C2919,D2919)/2</f>
        <v>26085</v>
      </c>
      <c r="F2919" s="12" t="n">
        <v>6247</v>
      </c>
      <c r="G2919" s="12" t="n">
        <v>7469</v>
      </c>
      <c r="H2919" s="6" t="n">
        <f>SUM(F2919,G2919)/2</f>
        <v>6858</v>
      </c>
    </row>
    <row r="2920" s="18" customFormat="1" ht="14.399999999999999" customHeight="1">
      <c r="A2920" s="10" t="s">
        <v>5276</v>
      </c>
      <c r="B2920" s="10" t="s">
        <v>7369</v>
      </c>
      <c r="C2920" s="13" t="n">
        <v>2616</v>
      </c>
      <c r="D2920" s="13" t="n">
        <v>4178</v>
      </c>
      <c r="E2920" s="6" t="n">
        <f>SUM(C2920,D2920)/2</f>
        <v>3397</v>
      </c>
      <c r="F2920" s="18" t="n">
        <v>273</v>
      </c>
      <c r="G2920" s="18" t="n">
        <v>363</v>
      </c>
      <c r="H2920" s="6" t="n">
        <f>SUM(F2920,G2920)/2</f>
        <v>318</v>
      </c>
    </row>
    <row r="2921" s="18" customFormat="1" ht="14.399999999999999" customHeight="1">
      <c r="A2921" s="10" t="s">
        <v>2775</v>
      </c>
      <c r="B2921" s="10" t="s">
        <v>7370</v>
      </c>
      <c r="C2921" s="10" t="n">
        <v>2</v>
      </c>
      <c r="D2921" s="10" t="n">
        <v>2</v>
      </c>
      <c r="E2921" s="6" t="n">
        <f>SUM(C2921,D2921)/2</f>
        <v>2</v>
      </c>
      <c r="F2921" s="18" t="n">
        <v>0</v>
      </c>
      <c r="G2921" s="18" t="n">
        <v>0</v>
      </c>
      <c r="H2921" s="6" t="n">
        <f>SUM(F2921,G2921)/2</f>
        <v>0</v>
      </c>
    </row>
    <row r="2922" s="18" customFormat="1" ht="14.399999999999999" customHeight="1">
      <c r="A2922" s="10" t="s">
        <v>1532</v>
      </c>
      <c r="B2922" s="10" t="s">
        <v>7371</v>
      </c>
      <c r="C2922" s="10" t="n">
        <v>93</v>
      </c>
      <c r="D2922" s="10" t="n">
        <v>149</v>
      </c>
      <c r="E2922" s="6" t="n">
        <f>SUM(C2922,D2922)/2</f>
        <v>121</v>
      </c>
      <c r="F2922" s="18" t="n">
        <v>0</v>
      </c>
      <c r="G2922" s="18" t="n">
        <v>0</v>
      </c>
      <c r="H2922" s="6" t="n">
        <f>SUM(F2922,G2922)/2</f>
        <v>0</v>
      </c>
    </row>
    <row r="2923" s="18" customFormat="1" ht="14.399999999999999" customHeight="1">
      <c r="A2923" s="10" t="s">
        <v>2724</v>
      </c>
      <c r="B2923" s="10" t="s">
        <v>7372</v>
      </c>
      <c r="C2923" s="10" t="n">
        <v>4</v>
      </c>
      <c r="D2923" s="10" t="n">
        <v>4</v>
      </c>
      <c r="E2923" s="6" t="n">
        <f>SUM(C2923,D2923)/2</f>
        <v>4</v>
      </c>
      <c r="F2923" s="18" t="n">
        <v>0</v>
      </c>
      <c r="G2923" s="18" t="n">
        <v>0</v>
      </c>
      <c r="H2923" s="6" t="n">
        <f>SUM(F2923,G2923)/2</f>
        <v>0</v>
      </c>
    </row>
    <row r="2924" s="18" customFormat="1" ht="14.399999999999999" customHeight="1">
      <c r="A2924" s="10" t="s">
        <v>1799</v>
      </c>
      <c r="B2924" s="10" t="s">
        <v>7373</v>
      </c>
      <c r="C2924" s="10" t="n">
        <v>42</v>
      </c>
      <c r="D2924" s="10" t="n">
        <v>70</v>
      </c>
      <c r="E2924" s="6" t="n">
        <f>SUM(C2924,D2924)/2</f>
        <v>56</v>
      </c>
      <c r="F2924" s="18" t="n">
        <v>8</v>
      </c>
      <c r="G2924" s="18" t="n">
        <v>12</v>
      </c>
      <c r="H2924" s="6" t="n">
        <f>SUM(F2924,G2924)/2</f>
        <v>10</v>
      </c>
    </row>
    <row r="2925" s="18" customFormat="1" ht="14.399999999999999" customHeight="1">
      <c r="A2925" s="10" t="s">
        <v>7374</v>
      </c>
      <c r="B2925" s="10" t="s">
        <v>7375</v>
      </c>
      <c r="C2925" s="13" t="n">
        <v>9719</v>
      </c>
      <c r="D2925" s="13" t="n">
        <v>15525</v>
      </c>
      <c r="E2925" s="6" t="n">
        <f>SUM(C2925,D2925)/2</f>
        <v>12622</v>
      </c>
      <c r="F2925" s="12" t="n">
        <v>5773</v>
      </c>
      <c r="G2925" s="12" t="n">
        <v>6885</v>
      </c>
      <c r="H2925" s="6" t="n">
        <f>SUM(F2925,G2925)/2</f>
        <v>6329</v>
      </c>
    </row>
    <row r="2926" s="18" customFormat="1" ht="14.399999999999999" customHeight="1">
      <c r="A2926" s="10" t="s">
        <v>7376</v>
      </c>
      <c r="B2926" s="10" t="s">
        <v>7377</v>
      </c>
      <c r="C2926" s="13" t="n">
        <v>23230</v>
      </c>
      <c r="D2926" s="13" t="n">
        <v>37108</v>
      </c>
      <c r="E2926" s="6" t="n">
        <f>SUM(C2926,D2926)/2</f>
        <v>30169</v>
      </c>
      <c r="F2926" s="12" t="n">
        <v>4091</v>
      </c>
      <c r="G2926" s="12" t="n">
        <v>6625</v>
      </c>
      <c r="H2926" s="6" t="n">
        <f>SUM(F2926,G2926)/2</f>
        <v>5358</v>
      </c>
    </row>
    <row r="2927" s="18" customFormat="1" ht="14.399999999999999" customHeight="1">
      <c r="A2927" s="10" t="s">
        <v>2632</v>
      </c>
      <c r="B2927" s="10" t="s">
        <v>7378</v>
      </c>
      <c r="C2927" s="10" t="n">
        <v>5</v>
      </c>
      <c r="D2927" s="10" t="n">
        <v>7</v>
      </c>
      <c r="E2927" s="6" t="n">
        <f>SUM(C2927,D2927)/2</f>
        <v>6</v>
      </c>
      <c r="F2927" s="18" t="n">
        <v>0</v>
      </c>
      <c r="G2927" s="18" t="n">
        <v>0</v>
      </c>
      <c r="H2927" s="6" t="n">
        <f>SUM(F2927,G2927)/2</f>
        <v>0</v>
      </c>
    </row>
    <row r="2928" s="18" customFormat="1" ht="14.399999999999999" customHeight="1">
      <c r="A2928" s="10" t="s">
        <v>4053</v>
      </c>
      <c r="B2928" s="10" t="s">
        <v>7379</v>
      </c>
      <c r="C2928" s="13" t="n">
        <v>20596</v>
      </c>
      <c r="D2928" s="13" t="n">
        <v>32898</v>
      </c>
      <c r="E2928" s="6" t="n">
        <f>SUM(C2928,D2928)/2</f>
        <v>26747</v>
      </c>
      <c r="F2928" s="12" t="n">
        <v>14378</v>
      </c>
      <c r="G2928" s="12" t="n">
        <v>21403</v>
      </c>
      <c r="H2928" s="6" t="n">
        <f>SUM(F2928,G2928)/2</f>
        <v>17890.5</v>
      </c>
    </row>
    <row r="2929" s="18" customFormat="1" ht="14.399999999999999" customHeight="1">
      <c r="A2929" s="10" t="s">
        <v>5336</v>
      </c>
      <c r="B2929" s="10" t="s">
        <v>7380</v>
      </c>
      <c r="C2929" s="10" t="n">
        <v>635</v>
      </c>
      <c r="D2929" s="13" t="n">
        <v>1017</v>
      </c>
      <c r="E2929" s="6" t="n">
        <f>SUM(C2929,D2929)/2</f>
        <v>826</v>
      </c>
      <c r="F2929" s="18" t="n">
        <v>229</v>
      </c>
      <c r="G2929" s="18" t="n">
        <v>406</v>
      </c>
      <c r="H2929" s="6" t="n">
        <f>SUM(F2929,G2929)/2</f>
        <v>317.5</v>
      </c>
    </row>
    <row r="2930" s="18" customFormat="1" ht="14.399999999999999" customHeight="1">
      <c r="A2930" s="10" t="s">
        <v>1677</v>
      </c>
      <c r="B2930" s="10" t="s">
        <v>7381</v>
      </c>
      <c r="C2930" s="10" t="n">
        <v>24</v>
      </c>
      <c r="D2930" s="10" t="n">
        <v>38</v>
      </c>
      <c r="E2930" s="6" t="n">
        <f>SUM(C2930,D2930)/2</f>
        <v>31</v>
      </c>
      <c r="F2930" s="18" t="n">
        <v>25</v>
      </c>
      <c r="G2930" s="18" t="n">
        <v>36</v>
      </c>
      <c r="H2930" s="6" t="n">
        <f>SUM(F2930,G2930)/2</f>
        <v>30.5</v>
      </c>
    </row>
    <row r="2931" s="18" customFormat="1" ht="14.399999999999999" customHeight="1">
      <c r="A2931" s="10" t="s">
        <v>7382</v>
      </c>
      <c r="B2931" s="10" t="s">
        <v>7383</v>
      </c>
      <c r="C2931" s="13" t="n">
        <v>2028405</v>
      </c>
      <c r="D2931" s="13" t="n">
        <v>3240179</v>
      </c>
      <c r="E2931" s="6" t="n">
        <f>SUM(C2931,D2931)/2</f>
        <v>2634292</v>
      </c>
      <c r="F2931" s="12" t="n">
        <v>774024</v>
      </c>
      <c r="G2931" s="12" t="n">
        <v>1064527</v>
      </c>
      <c r="H2931" s="6" t="n">
        <f>SUM(F2931,G2931)/2</f>
        <v>919275.5</v>
      </c>
    </row>
    <row r="2932" s="18" customFormat="1" ht="14.399999999999999" customHeight="1">
      <c r="A2932" s="10" t="s">
        <v>2020</v>
      </c>
      <c r="B2932" s="10" t="s">
        <v>7384</v>
      </c>
      <c r="C2932" s="10" t="n">
        <v>26</v>
      </c>
      <c r="D2932" s="10" t="n">
        <v>40</v>
      </c>
      <c r="E2932" s="6" t="n">
        <f>SUM(C2932,D2932)/2</f>
        <v>33</v>
      </c>
      <c r="F2932" s="18" t="n">
        <v>4</v>
      </c>
      <c r="G2932" s="18" t="n">
        <v>6</v>
      </c>
      <c r="H2932" s="6" t="n">
        <f>SUM(F2932,G2932)/2</f>
        <v>5</v>
      </c>
    </row>
    <row r="2933" s="18" customFormat="1" ht="14.399999999999999" customHeight="1">
      <c r="A2933" s="10" t="s">
        <v>1174</v>
      </c>
      <c r="B2933" s="10" t="s">
        <v>7385</v>
      </c>
      <c r="C2933" s="13" t="n">
        <v>89882</v>
      </c>
      <c r="D2933" s="13" t="n">
        <v>143579</v>
      </c>
      <c r="E2933" s="6" t="n">
        <f>SUM(C2933,D2933)/2</f>
        <v>116730.5</v>
      </c>
      <c r="F2933" s="12" t="n">
        <v>74401</v>
      </c>
      <c r="G2933" s="12" t="n">
        <v>101918</v>
      </c>
      <c r="H2933" s="6" t="n">
        <f>SUM(F2933,G2933)/2</f>
        <v>88159.5</v>
      </c>
    </row>
    <row r="2934" s="18" customFormat="1" ht="14.399999999999999" customHeight="1">
      <c r="A2934" s="10" t="s">
        <v>7386</v>
      </c>
      <c r="B2934" s="10" t="s">
        <v>7387</v>
      </c>
      <c r="C2934" s="10" t="n">
        <v>8</v>
      </c>
      <c r="D2934" s="10" t="n">
        <v>12</v>
      </c>
      <c r="E2934" s="6" t="n">
        <f>SUM(C2934,D2934)/2</f>
        <v>10</v>
      </c>
      <c r="F2934" s="18" t="n">
        <v>0</v>
      </c>
      <c r="G2934" s="18" t="n">
        <v>0</v>
      </c>
      <c r="H2934" s="6" t="n">
        <f>SUM(F2934,G2934)/2</f>
        <v>0</v>
      </c>
    </row>
    <row r="2935" s="18" customFormat="1" ht="14.399999999999999" customHeight="1">
      <c r="A2935" s="10" t="s">
        <v>78</v>
      </c>
      <c r="B2935" s="10" t="s">
        <v>7388</v>
      </c>
      <c r="C2935" s="13" t="n">
        <v>60939</v>
      </c>
      <c r="D2935" s="13" t="n">
        <v>97345</v>
      </c>
      <c r="E2935" s="6" t="n">
        <f>SUM(C2935,D2935)/2</f>
        <v>79142</v>
      </c>
      <c r="F2935" s="12" t="n">
        <v>37832</v>
      </c>
      <c r="G2935" s="12" t="n">
        <v>55185</v>
      </c>
      <c r="H2935" s="6" t="n">
        <f>SUM(F2935,G2935)/2</f>
        <v>46508.5</v>
      </c>
    </row>
    <row r="2936" s="18" customFormat="1" ht="14.399999999999999" customHeight="1">
      <c r="A2936" s="10" t="s">
        <v>166</v>
      </c>
      <c r="B2936" s="10" t="s">
        <v>7389</v>
      </c>
      <c r="C2936" s="13" t="n">
        <v>8127</v>
      </c>
      <c r="D2936" s="13" t="n">
        <v>12981</v>
      </c>
      <c r="E2936" s="6" t="n">
        <f>SUM(C2936,D2936)/2</f>
        <v>10554</v>
      </c>
      <c r="F2936" s="18" t="n">
        <v>965</v>
      </c>
      <c r="G2936" s="18" t="n">
        <v>1081</v>
      </c>
      <c r="H2936" s="6" t="n">
        <f>SUM(F2936,G2936)/2</f>
        <v>1023</v>
      </c>
    </row>
    <row r="2937" s="18" customFormat="1" ht="14.399999999999999" customHeight="1">
      <c r="A2937" s="10" t="s">
        <v>4675</v>
      </c>
      <c r="B2937" s="10" t="s">
        <v>7390</v>
      </c>
      <c r="C2937" s="13" t="n">
        <v>19343</v>
      </c>
      <c r="D2937" s="13" t="n">
        <v>30903</v>
      </c>
      <c r="E2937" s="6" t="n">
        <f>SUM(C2937,D2937)/2</f>
        <v>25123</v>
      </c>
      <c r="F2937" s="12" t="n">
        <v>6176</v>
      </c>
      <c r="G2937" s="12" t="n">
        <v>9384</v>
      </c>
      <c r="H2937" s="6" t="n">
        <f>SUM(F2937,G2937)/2</f>
        <v>7780</v>
      </c>
    </row>
    <row r="2938" s="18" customFormat="1" ht="14.399999999999999" customHeight="1">
      <c r="A2938" s="10" t="s">
        <v>1956</v>
      </c>
      <c r="B2938" s="10" t="s">
        <v>7391</v>
      </c>
      <c r="C2938" s="13" t="n">
        <v>283984</v>
      </c>
      <c r="D2938" s="13" t="n">
        <v>453636</v>
      </c>
      <c r="E2938" s="6" t="n">
        <f>SUM(C2938,D2938)/2</f>
        <v>368810</v>
      </c>
      <c r="F2938" s="12" t="n">
        <v>64520</v>
      </c>
      <c r="G2938" s="12" t="n">
        <v>81918</v>
      </c>
      <c r="H2938" s="6" t="n">
        <f>SUM(F2938,G2938)/2</f>
        <v>73219</v>
      </c>
    </row>
    <row r="2939" s="18" customFormat="1" ht="14.399999999999999" customHeight="1">
      <c r="A2939" s="10" t="s">
        <v>7392</v>
      </c>
      <c r="B2939" s="10" t="s">
        <v>7393</v>
      </c>
      <c r="C2939" s="13" t="n">
        <v>5841</v>
      </c>
      <c r="D2939" s="13" t="n">
        <v>9329</v>
      </c>
      <c r="E2939" s="6" t="n">
        <f>SUM(C2939,D2939)/2</f>
        <v>7585</v>
      </c>
      <c r="F2939" s="12" t="n">
        <v>4329</v>
      </c>
      <c r="G2939" s="12" t="n">
        <v>5851</v>
      </c>
      <c r="H2939" s="6" t="n">
        <f>SUM(F2939,G2939)/2</f>
        <v>5090</v>
      </c>
    </row>
    <row r="2940" s="18" customFormat="1" ht="14.399999999999999" customHeight="1">
      <c r="A2940" s="10" t="s">
        <v>162</v>
      </c>
      <c r="B2940" s="10" t="s">
        <v>7394</v>
      </c>
      <c r="C2940" s="13" t="n">
        <v>8874</v>
      </c>
      <c r="D2940" s="13" t="n">
        <v>14172</v>
      </c>
      <c r="E2940" s="6" t="n">
        <f>SUM(C2940,D2940)/2</f>
        <v>11523</v>
      </c>
      <c r="F2940" s="18" t="n">
        <v>763</v>
      </c>
      <c r="G2940" s="18" t="n">
        <v>1264</v>
      </c>
      <c r="H2940" s="6" t="n">
        <f>SUM(F2940,G2940)/2</f>
        <v>1013.5</v>
      </c>
    </row>
    <row r="2941" s="18" customFormat="1" ht="14.399999999999999" customHeight="1">
      <c r="A2941" s="10" t="s">
        <v>7395</v>
      </c>
      <c r="B2941" s="10" t="s">
        <v>7396</v>
      </c>
      <c r="C2941" s="13" t="n">
        <v>203054</v>
      </c>
      <c r="D2941" s="13" t="n">
        <v>324356</v>
      </c>
      <c r="E2941" s="6" t="n">
        <f>SUM(C2941,D2941)/2</f>
        <v>263705</v>
      </c>
      <c r="F2941" s="12" t="n">
        <v>44543</v>
      </c>
      <c r="G2941" s="12" t="n">
        <v>92003</v>
      </c>
      <c r="H2941" s="6" t="n">
        <f>SUM(F2941,G2941)/2</f>
        <v>68273</v>
      </c>
    </row>
    <row r="2942" s="18" customFormat="1" ht="14.399999999999999" customHeight="1">
      <c r="A2942" s="10" t="s">
        <v>7397</v>
      </c>
      <c r="B2942" s="10" t="s">
        <v>7398</v>
      </c>
      <c r="C2942" s="13" t="n">
        <v>9826</v>
      </c>
      <c r="D2942" s="13" t="n">
        <v>15697</v>
      </c>
      <c r="E2942" s="6" t="n">
        <f>SUM(C2942,D2942)/2</f>
        <v>12761.5</v>
      </c>
      <c r="F2942" s="12" t="n">
        <v>15473</v>
      </c>
      <c r="G2942" s="12" t="n">
        <v>24611</v>
      </c>
      <c r="H2942" s="6" t="n">
        <f>SUM(F2942,G2942)/2</f>
        <v>20042</v>
      </c>
    </row>
    <row r="2943" s="18" customFormat="1" ht="14.399999999999999" customHeight="1">
      <c r="A2943" s="10" t="s">
        <v>5328</v>
      </c>
      <c r="B2943" s="10" t="s">
        <v>7399</v>
      </c>
      <c r="C2943" s="10" t="n">
        <v>616</v>
      </c>
      <c r="D2943" s="10" t="n">
        <v>987</v>
      </c>
      <c r="E2943" s="6" t="n">
        <f>SUM(C2943,D2943)/2</f>
        <v>801.5</v>
      </c>
      <c r="F2943" s="18" t="n">
        <v>305</v>
      </c>
      <c r="G2943" s="18" t="n">
        <v>463</v>
      </c>
      <c r="H2943" s="6" t="n">
        <f>SUM(F2943,G2943)/2</f>
        <v>384</v>
      </c>
    </row>
    <row r="2944" s="18" customFormat="1" ht="14.399999999999999" customHeight="1">
      <c r="A2944" s="10" t="s">
        <v>7400</v>
      </c>
      <c r="B2944" s="10" t="s">
        <v>7401</v>
      </c>
      <c r="C2944" s="13" t="n">
        <v>71829</v>
      </c>
      <c r="D2944" s="13" t="n">
        <v>114741</v>
      </c>
      <c r="E2944" s="6" t="n">
        <f>SUM(C2944,D2944)/2</f>
        <v>93285</v>
      </c>
      <c r="F2944" s="12" t="n">
        <v>8716</v>
      </c>
      <c r="G2944" s="12" t="n">
        <v>12819</v>
      </c>
      <c r="H2944" s="6" t="n">
        <f>SUM(F2944,G2944)/2</f>
        <v>10767.5</v>
      </c>
    </row>
    <row r="2945" s="18" customFormat="1" ht="14.399999999999999" customHeight="1">
      <c r="A2945" s="10" t="s">
        <v>4569</v>
      </c>
      <c r="B2945" s="10" t="s">
        <v>7402</v>
      </c>
      <c r="C2945" s="13" t="n">
        <v>16777</v>
      </c>
      <c r="D2945" s="13" t="n">
        <v>26799</v>
      </c>
      <c r="E2945" s="6" t="n">
        <f>SUM(C2945,D2945)/2</f>
        <v>21788</v>
      </c>
      <c r="F2945" s="12" t="n">
        <v>8473</v>
      </c>
      <c r="G2945" s="12" t="n">
        <v>11278</v>
      </c>
      <c r="H2945" s="6" t="n">
        <f>SUM(F2945,G2945)/2</f>
        <v>9875.5</v>
      </c>
    </row>
    <row r="2946" s="18" customFormat="1" ht="14.399999999999999" customHeight="1">
      <c r="A2946" s="10" t="s">
        <v>7403</v>
      </c>
      <c r="B2946" s="10" t="s">
        <v>7404</v>
      </c>
      <c r="C2946" s="13" t="n">
        <v>37238</v>
      </c>
      <c r="D2946" s="13" t="n">
        <v>59482</v>
      </c>
      <c r="E2946" s="6" t="n">
        <f>SUM(C2946,D2946)/2</f>
        <v>48360</v>
      </c>
      <c r="F2946" s="12" t="n">
        <v>6127</v>
      </c>
      <c r="G2946" s="12" t="n">
        <v>10753</v>
      </c>
      <c r="H2946" s="6" t="n">
        <f>SUM(F2946,G2946)/2</f>
        <v>8440</v>
      </c>
    </row>
    <row r="2947" s="18" customFormat="1" ht="14.399999999999999" customHeight="1">
      <c r="A2947" s="10" t="s">
        <v>7405</v>
      </c>
      <c r="B2947" s="10" t="s">
        <v>7406</v>
      </c>
      <c r="C2947" s="13" t="n">
        <v>80068</v>
      </c>
      <c r="D2947" s="13" t="n">
        <v>127902</v>
      </c>
      <c r="E2947" s="6" t="n">
        <f>SUM(C2947,D2947)/2</f>
        <v>103985</v>
      </c>
      <c r="F2947" s="12" t="n">
        <v>29031</v>
      </c>
      <c r="G2947" s="12" t="n">
        <v>44826</v>
      </c>
      <c r="H2947" s="6" t="n">
        <f>SUM(F2947,G2947)/2</f>
        <v>36928.5</v>
      </c>
    </row>
    <row r="2948" s="18" customFormat="1" ht="14.399999999999999" customHeight="1">
      <c r="A2948" s="10" t="s">
        <v>2442</v>
      </c>
      <c r="B2948" s="10" t="s">
        <v>7407</v>
      </c>
      <c r="C2948" s="10" t="n">
        <v>7</v>
      </c>
      <c r="D2948" s="10" t="n">
        <v>11</v>
      </c>
      <c r="E2948" s="6" t="n">
        <f>SUM(C2948,D2948)/2</f>
        <v>9</v>
      </c>
      <c r="F2948" s="18" t="n">
        <v>2</v>
      </c>
      <c r="G2948" s="18" t="n">
        <v>2</v>
      </c>
      <c r="H2948" s="6" t="n">
        <f>SUM(F2948,G2948)/2</f>
        <v>2</v>
      </c>
    </row>
    <row r="2949" s="18" customFormat="1" ht="14.399999999999999" customHeight="1">
      <c r="A2949" s="10" t="s">
        <v>4465</v>
      </c>
      <c r="B2949" s="10" t="s">
        <v>7408</v>
      </c>
      <c r="C2949" s="13" t="n">
        <v>12000</v>
      </c>
      <c r="D2949" s="13" t="n">
        <v>19168</v>
      </c>
      <c r="E2949" s="6" t="n">
        <f>SUM(C2949,D2949)/2</f>
        <v>15584</v>
      </c>
      <c r="F2949" s="12" t="n">
        <v>10285</v>
      </c>
      <c r="G2949" s="12" t="n">
        <v>14798</v>
      </c>
      <c r="H2949" s="6" t="n">
        <f>SUM(F2949,G2949)/2</f>
        <v>12541.5</v>
      </c>
    </row>
    <row r="2950" s="18" customFormat="1" ht="14.399999999999999" customHeight="1">
      <c r="A2950" s="10" t="s">
        <v>1673</v>
      </c>
      <c r="B2950" s="10" t="s">
        <v>7409</v>
      </c>
      <c r="C2950" s="10" t="n">
        <v>62</v>
      </c>
      <c r="D2950" s="10" t="n">
        <v>98</v>
      </c>
      <c r="E2950" s="6" t="n">
        <f>SUM(C2950,D2950)/2</f>
        <v>80</v>
      </c>
      <c r="F2950" s="18" t="n">
        <v>17</v>
      </c>
      <c r="G2950" s="18" t="n">
        <v>26</v>
      </c>
      <c r="H2950" s="6" t="n">
        <f>SUM(F2950,G2950)/2</f>
        <v>21.5</v>
      </c>
    </row>
    <row r="2951" s="18" customFormat="1" ht="14.399999999999999" customHeight="1">
      <c r="A2951" s="10" t="s">
        <v>7410</v>
      </c>
      <c r="B2951" s="10" t="s">
        <v>7411</v>
      </c>
      <c r="C2951" s="13" t="n">
        <v>46872</v>
      </c>
      <c r="D2951" s="13" t="n">
        <v>74874</v>
      </c>
      <c r="E2951" s="6" t="n">
        <f>SUM(C2951,D2951)/2</f>
        <v>60873</v>
      </c>
      <c r="F2951" s="12" t="n">
        <v>15136</v>
      </c>
      <c r="G2951" s="12" t="n">
        <v>21665</v>
      </c>
      <c r="H2951" s="6" t="n">
        <f>SUM(F2951,G2951)/2</f>
        <v>18400.5</v>
      </c>
    </row>
    <row r="2952" s="18" customFormat="1" ht="14.399999999999999" customHeight="1">
      <c r="A2952" s="10" t="s">
        <v>416</v>
      </c>
      <c r="B2952" s="10" t="s">
        <v>417</v>
      </c>
      <c r="C2952" s="13" t="n">
        <v>1291</v>
      </c>
      <c r="D2952" s="13" t="n">
        <v>2063</v>
      </c>
      <c r="E2952" s="6" t="n">
        <f>SUM(C2952,D2952)/2</f>
        <v>1677</v>
      </c>
      <c r="F2952" s="18" t="n">
        <v>933</v>
      </c>
      <c r="G2952" s="18" t="n">
        <v>1253</v>
      </c>
      <c r="H2952" s="6" t="n">
        <f>SUM(F2952,G2952)/2</f>
        <v>1093</v>
      </c>
    </row>
    <row r="2953" s="18" customFormat="1" ht="14.399999999999999" customHeight="1">
      <c r="A2953" s="10" t="s">
        <v>7412</v>
      </c>
      <c r="B2953" s="10" t="s">
        <v>7413</v>
      </c>
      <c r="C2953" s="13" t="n">
        <v>13242</v>
      </c>
      <c r="D2953" s="13" t="n">
        <v>21156</v>
      </c>
      <c r="E2953" s="6" t="n">
        <f>SUM(C2953,D2953)/2</f>
        <v>17199</v>
      </c>
      <c r="F2953" s="12" t="n">
        <v>14551</v>
      </c>
      <c r="G2953" s="12" t="n">
        <v>16360</v>
      </c>
      <c r="H2953" s="6" t="n">
        <f>SUM(F2953,G2953)/2</f>
        <v>15455.5</v>
      </c>
    </row>
    <row r="2954" s="18" customFormat="1" ht="14.399999999999999" customHeight="1">
      <c r="A2954" s="10" t="s">
        <v>7414</v>
      </c>
      <c r="B2954" s="10" t="s">
        <v>7415</v>
      </c>
      <c r="C2954" s="10" t="n">
        <v>140</v>
      </c>
      <c r="D2954" s="10" t="n">
        <v>223</v>
      </c>
      <c r="E2954" s="6" t="n">
        <f>SUM(C2954,D2954)/2</f>
        <v>181.5</v>
      </c>
      <c r="F2954" s="18" t="n">
        <v>0</v>
      </c>
      <c r="G2954" s="18" t="n">
        <v>0</v>
      </c>
      <c r="H2954" s="6" t="n">
        <f>SUM(F2954,G2954)/2</f>
        <v>0</v>
      </c>
    </row>
    <row r="2955" s="18" customFormat="1" ht="14.399999999999999" customHeight="1">
      <c r="A2955" s="10" t="s">
        <v>7416</v>
      </c>
      <c r="B2955" s="10" t="s">
        <v>7417</v>
      </c>
      <c r="C2955" s="13" t="n">
        <v>11573</v>
      </c>
      <c r="D2955" s="13" t="n">
        <v>18487</v>
      </c>
      <c r="E2955" s="6" t="n">
        <f>SUM(C2955,D2955)/2</f>
        <v>15030</v>
      </c>
      <c r="F2955" s="12" t="n">
        <v>9641</v>
      </c>
      <c r="G2955" s="12" t="n">
        <v>14039</v>
      </c>
      <c r="H2955" s="6" t="n">
        <f>SUM(F2955,G2955)/2</f>
        <v>11840</v>
      </c>
    </row>
    <row r="2956" s="18" customFormat="1" ht="14.399999999999999" customHeight="1">
      <c r="A2956" s="10" t="s">
        <v>7418</v>
      </c>
      <c r="B2956" s="10" t="s">
        <v>7419</v>
      </c>
      <c r="C2956" s="13" t="n">
        <v>13572</v>
      </c>
      <c r="D2956" s="13" t="n">
        <v>21680</v>
      </c>
      <c r="E2956" s="6" t="n">
        <f>SUM(C2956,D2956)/2</f>
        <v>17626</v>
      </c>
      <c r="F2956" s="12" t="n">
        <v>10126</v>
      </c>
      <c r="G2956" s="12" t="n">
        <v>13852</v>
      </c>
      <c r="H2956" s="6" t="n">
        <f>SUM(F2956,G2956)/2</f>
        <v>11989</v>
      </c>
    </row>
    <row r="2957" s="18" customFormat="1" ht="14.399999999999999" customHeight="1">
      <c r="A2957" s="10" t="s">
        <v>7420</v>
      </c>
      <c r="B2957" s="10" t="s">
        <v>7421</v>
      </c>
      <c r="C2957" s="13" t="n">
        <v>5984</v>
      </c>
      <c r="D2957" s="13" t="n">
        <v>9558</v>
      </c>
      <c r="E2957" s="6" t="n">
        <f>SUM(C2957,D2957)/2</f>
        <v>7771</v>
      </c>
      <c r="F2957" s="12" t="n">
        <v>4214</v>
      </c>
      <c r="G2957" s="12" t="n">
        <v>5628</v>
      </c>
      <c r="H2957" s="6" t="n">
        <f>SUM(F2957,G2957)/2</f>
        <v>4921</v>
      </c>
    </row>
    <row r="2958" s="18" customFormat="1" ht="14.399999999999999" customHeight="1">
      <c r="A2958" s="10" t="s">
        <v>7422</v>
      </c>
      <c r="B2958" s="10" t="s">
        <v>7423</v>
      </c>
      <c r="C2958" s="13" t="n">
        <v>43848</v>
      </c>
      <c r="D2958" s="13" t="n">
        <v>70044</v>
      </c>
      <c r="E2958" s="6" t="n">
        <f>SUM(C2958,D2958)/2</f>
        <v>56946</v>
      </c>
      <c r="F2958" s="12" t="n">
        <v>23462</v>
      </c>
      <c r="G2958" s="12" t="n">
        <v>29635</v>
      </c>
      <c r="H2958" s="6" t="n">
        <f>SUM(F2958,G2958)/2</f>
        <v>26548.5</v>
      </c>
    </row>
    <row r="2959" s="18" customFormat="1" ht="14.399999999999999" customHeight="1">
      <c r="A2959" s="10" t="s">
        <v>7424</v>
      </c>
      <c r="B2959" s="10" t="s">
        <v>7425</v>
      </c>
      <c r="C2959" s="13" t="n">
        <v>27279</v>
      </c>
      <c r="D2959" s="13" t="n">
        <v>43581</v>
      </c>
      <c r="E2959" s="6" t="n">
        <f>SUM(C2959,D2959)/2</f>
        <v>35430</v>
      </c>
      <c r="F2959" s="12" t="n">
        <v>12089</v>
      </c>
      <c r="G2959" s="12" t="n">
        <v>16449</v>
      </c>
      <c r="H2959" s="6" t="n">
        <f>SUM(F2959,G2959)/2</f>
        <v>14269</v>
      </c>
    </row>
    <row r="2960" s="18" customFormat="1" ht="14.399999999999999" customHeight="1">
      <c r="A2960" s="10" t="s">
        <v>1624</v>
      </c>
      <c r="B2960" s="10" t="s">
        <v>7426</v>
      </c>
      <c r="C2960" s="10" t="n">
        <v>543</v>
      </c>
      <c r="D2960" s="10" t="n">
        <v>867</v>
      </c>
      <c r="E2960" s="6" t="n">
        <f>SUM(C2960,D2960)/2</f>
        <v>705</v>
      </c>
      <c r="F2960" s="18" t="n">
        <v>68</v>
      </c>
      <c r="G2960" s="18" t="n">
        <v>88</v>
      </c>
      <c r="H2960" s="6" t="n">
        <f>SUM(F2960,G2960)/2</f>
        <v>78</v>
      </c>
    </row>
    <row r="2961" s="18" customFormat="1" ht="14.399999999999999" customHeight="1">
      <c r="A2961" s="10" t="s">
        <v>7427</v>
      </c>
      <c r="B2961" s="10" t="s">
        <v>7428</v>
      </c>
      <c r="C2961" s="13" t="n">
        <v>35053</v>
      </c>
      <c r="D2961" s="13" t="n">
        <v>55995</v>
      </c>
      <c r="E2961" s="6" t="n">
        <f>SUM(C2961,D2961)/2</f>
        <v>45524</v>
      </c>
      <c r="F2961" s="12" t="n">
        <v>25766</v>
      </c>
      <c r="G2961" s="12" t="n">
        <v>34563</v>
      </c>
      <c r="H2961" s="6" t="n">
        <f>SUM(F2961,G2961)/2</f>
        <v>30164.5</v>
      </c>
    </row>
    <row r="2962" s="18" customFormat="1" ht="14.399999999999999" customHeight="1">
      <c r="A2962" s="10" t="s">
        <v>3105</v>
      </c>
      <c r="B2962" s="10" t="s">
        <v>7429</v>
      </c>
      <c r="C2962" s="13" t="n">
        <v>71970</v>
      </c>
      <c r="D2962" s="13" t="n">
        <v>114964</v>
      </c>
      <c r="E2962" s="6" t="n">
        <f>SUM(C2962,D2962)/2</f>
        <v>93467</v>
      </c>
      <c r="F2962" s="12" t="n">
        <v>62559</v>
      </c>
      <c r="G2962" s="12" t="n">
        <v>101150</v>
      </c>
      <c r="H2962" s="6" t="n">
        <f>SUM(F2962,G2962)/2</f>
        <v>81854.5</v>
      </c>
    </row>
    <row r="2963" s="18" customFormat="1" ht="14.399999999999999" customHeight="1">
      <c r="A2963" s="10" t="s">
        <v>1561</v>
      </c>
      <c r="B2963" s="10" t="s">
        <v>7430</v>
      </c>
      <c r="C2963" s="10" t="n">
        <v>124</v>
      </c>
      <c r="D2963" s="10" t="n">
        <v>198</v>
      </c>
      <c r="E2963" s="6" t="n">
        <f>SUM(C2963,D2963)/2</f>
        <v>161</v>
      </c>
      <c r="F2963" s="18" t="n">
        <v>13</v>
      </c>
      <c r="G2963" s="18" t="n">
        <v>20</v>
      </c>
      <c r="H2963" s="6" t="n">
        <f>SUM(F2963,G2963)/2</f>
        <v>16.5</v>
      </c>
    </row>
    <row r="2964" s="18" customFormat="1" ht="14.399999999999999" customHeight="1">
      <c r="A2964" s="10" t="s">
        <v>7431</v>
      </c>
      <c r="B2964" s="10" t="s">
        <v>7432</v>
      </c>
      <c r="C2964" s="13" t="n">
        <v>58744</v>
      </c>
      <c r="D2964" s="13" t="n">
        <v>93838</v>
      </c>
      <c r="E2964" s="6" t="n">
        <f>SUM(C2964,D2964)/2</f>
        <v>76291</v>
      </c>
      <c r="F2964" s="12" t="n">
        <v>4066</v>
      </c>
      <c r="G2964" s="12" t="n">
        <v>7808</v>
      </c>
      <c r="H2964" s="6" t="n">
        <f>SUM(F2964,G2964)/2</f>
        <v>5937</v>
      </c>
    </row>
    <row r="2965" s="18" customFormat="1" ht="14.399999999999999" customHeight="1">
      <c r="A2965" s="10" t="s">
        <v>1324</v>
      </c>
      <c r="B2965" s="10" t="s">
        <v>7433</v>
      </c>
      <c r="C2965" s="10" t="n">
        <v>29</v>
      </c>
      <c r="D2965" s="10" t="n">
        <v>49</v>
      </c>
      <c r="E2965" s="6" t="n">
        <f>SUM(C2965,D2965)/2</f>
        <v>39</v>
      </c>
      <c r="F2965" s="18" t="n">
        <v>6</v>
      </c>
      <c r="G2965" s="18" t="n">
        <v>35</v>
      </c>
      <c r="H2965" s="6" t="n">
        <f>SUM(F2965,G2965)/2</f>
        <v>20.5</v>
      </c>
    </row>
    <row r="2966" s="18" customFormat="1" ht="14.399999999999999" customHeight="1">
      <c r="A2966" s="10" t="s">
        <v>7434</v>
      </c>
      <c r="B2966" s="10" t="s">
        <v>7435</v>
      </c>
      <c r="C2966" s="13" t="n">
        <v>22188</v>
      </c>
      <c r="D2966" s="13" t="n">
        <v>35442</v>
      </c>
      <c r="E2966" s="6" t="n">
        <f>SUM(C2966,D2966)/2</f>
        <v>28815</v>
      </c>
      <c r="F2966" s="12" t="n">
        <v>5545</v>
      </c>
      <c r="G2966" s="12" t="n">
        <v>7918</v>
      </c>
      <c r="H2966" s="6" t="n">
        <f>SUM(F2966,G2966)/2</f>
        <v>6731.5</v>
      </c>
    </row>
    <row r="2967" s="18" customFormat="1" ht="14.399999999999999" customHeight="1">
      <c r="A2967" s="10" t="s">
        <v>3717</v>
      </c>
      <c r="B2967" s="10" t="s">
        <v>7436</v>
      </c>
      <c r="C2967" s="13" t="n">
        <v>49080</v>
      </c>
      <c r="D2967" s="13" t="n">
        <v>78400</v>
      </c>
      <c r="E2967" s="6" t="n">
        <f>SUM(C2967,D2967)/2</f>
        <v>63740</v>
      </c>
      <c r="F2967" s="12" t="n">
        <v>15715</v>
      </c>
      <c r="G2967" s="12" t="n">
        <v>24159</v>
      </c>
      <c r="H2967" s="6" t="n">
        <f>SUM(F2967,G2967)/2</f>
        <v>19937</v>
      </c>
    </row>
    <row r="2968" s="18" customFormat="1" ht="14.399999999999999" customHeight="1">
      <c r="A2968" s="10" t="s">
        <v>7437</v>
      </c>
      <c r="B2968" s="10" t="s">
        <v>7438</v>
      </c>
      <c r="C2968" s="13" t="n">
        <v>15475</v>
      </c>
      <c r="D2968" s="13" t="n">
        <v>24719</v>
      </c>
      <c r="E2968" s="6" t="n">
        <f>SUM(C2968,D2968)/2</f>
        <v>20097</v>
      </c>
      <c r="F2968" s="12" t="n">
        <v>8362</v>
      </c>
      <c r="G2968" s="12" t="n">
        <v>14188</v>
      </c>
      <c r="H2968" s="6" t="n">
        <f>SUM(F2968,G2968)/2</f>
        <v>11275</v>
      </c>
    </row>
    <row r="2969" s="18" customFormat="1" ht="14.399999999999999" customHeight="1">
      <c r="A2969" s="10" t="s">
        <v>2500</v>
      </c>
      <c r="B2969" s="10" t="s">
        <v>7439</v>
      </c>
      <c r="C2969" s="10" t="n">
        <v>159</v>
      </c>
      <c r="D2969" s="10" t="n">
        <v>255</v>
      </c>
      <c r="E2969" s="6" t="n">
        <f>SUM(C2969,D2969)/2</f>
        <v>207</v>
      </c>
      <c r="F2969" s="18" t="n">
        <v>21</v>
      </c>
      <c r="G2969" s="18" t="n">
        <v>32</v>
      </c>
      <c r="H2969" s="6" t="n">
        <f>SUM(F2969,G2969)/2</f>
        <v>26.5</v>
      </c>
    </row>
    <row r="2970" s="18" customFormat="1" ht="14.399999999999999" customHeight="1">
      <c r="A2970" s="10" t="s">
        <v>1917</v>
      </c>
      <c r="B2970" s="10" t="s">
        <v>7440</v>
      </c>
      <c r="C2970" s="10" t="n">
        <v>34</v>
      </c>
      <c r="D2970" s="10" t="n">
        <v>54</v>
      </c>
      <c r="E2970" s="6" t="n">
        <f>SUM(C2970,D2970)/2</f>
        <v>44</v>
      </c>
      <c r="F2970" s="18" t="n">
        <v>5</v>
      </c>
      <c r="G2970" s="18" t="n">
        <v>7</v>
      </c>
      <c r="H2970" s="6" t="n">
        <f>SUM(F2970,G2970)/2</f>
        <v>6</v>
      </c>
    </row>
    <row r="2971" s="18" customFormat="1" ht="14.399999999999999" customHeight="1">
      <c r="A2971" s="10" t="s">
        <v>3001</v>
      </c>
      <c r="B2971" s="10" t="s">
        <v>7441</v>
      </c>
      <c r="C2971" s="10" t="n">
        <v>0</v>
      </c>
      <c r="D2971" s="10" t="n">
        <v>0</v>
      </c>
      <c r="E2971" s="6" t="n">
        <f>SUM(C2971,D2971)/2</f>
        <v>0</v>
      </c>
      <c r="F2971" s="18" t="n">
        <v>0</v>
      </c>
      <c r="G2971" s="18" t="n">
        <v>0</v>
      </c>
      <c r="H2971" s="6" t="n">
        <f>SUM(F2971,G2971)/2</f>
        <v>0</v>
      </c>
    </row>
    <row r="2972" s="18" customFormat="1" ht="14.399999999999999" customHeight="1">
      <c r="A2972" s="10" t="s">
        <v>7442</v>
      </c>
      <c r="B2972" s="10" t="s">
        <v>7443</v>
      </c>
      <c r="C2972" s="13" t="n">
        <v>51409</v>
      </c>
      <c r="D2972" s="13" t="n">
        <v>82119</v>
      </c>
      <c r="E2972" s="6" t="n">
        <f>SUM(C2972,D2972)/2</f>
        <v>66764</v>
      </c>
      <c r="F2972" s="12" t="n">
        <v>6363</v>
      </c>
      <c r="G2972" s="12" t="n">
        <v>9511</v>
      </c>
      <c r="H2972" s="6" t="n">
        <f>SUM(F2972,G2972)/2</f>
        <v>7937</v>
      </c>
    </row>
    <row r="2973" s="18" customFormat="1" ht="14.399999999999999" customHeight="1">
      <c r="A2973" s="10" t="s">
        <v>2747</v>
      </c>
      <c r="B2973" s="10" t="s">
        <v>7444</v>
      </c>
      <c r="C2973" s="10" t="n">
        <v>2</v>
      </c>
      <c r="D2973" s="10" t="n">
        <v>4</v>
      </c>
      <c r="E2973" s="6" t="n">
        <f>SUM(C2973,D2973)/2</f>
        <v>3</v>
      </c>
      <c r="F2973" s="18" t="n">
        <v>0</v>
      </c>
      <c r="G2973" s="18" t="n">
        <v>0</v>
      </c>
      <c r="H2973" s="6" t="n">
        <f>SUM(F2973,G2973)/2</f>
        <v>0</v>
      </c>
    </row>
    <row r="2974" s="18" customFormat="1" ht="14.399999999999999" customHeight="1">
      <c r="A2974" s="10" t="s">
        <v>5087</v>
      </c>
      <c r="B2974" s="10" t="s">
        <v>7445</v>
      </c>
      <c r="C2974" s="13" t="n">
        <v>9523</v>
      </c>
      <c r="D2974" s="13" t="n">
        <v>15213</v>
      </c>
      <c r="E2974" s="6" t="n">
        <f>SUM(C2974,D2974)/2</f>
        <v>12368</v>
      </c>
      <c r="F2974" s="12" t="n">
        <v>5164</v>
      </c>
      <c r="G2974" s="12" t="n">
        <v>6689</v>
      </c>
      <c r="H2974" s="6" t="n">
        <f>SUM(F2974,G2974)/2</f>
        <v>5926.5</v>
      </c>
    </row>
    <row r="2975" s="18" customFormat="1" ht="14.399999999999999" customHeight="1">
      <c r="A2975" s="10" t="s">
        <v>4677</v>
      </c>
      <c r="B2975" s="10" t="s">
        <v>7446</v>
      </c>
      <c r="C2975" s="13" t="n">
        <v>10386</v>
      </c>
      <c r="D2975" s="13" t="n">
        <v>16590</v>
      </c>
      <c r="E2975" s="6" t="n">
        <f>SUM(C2975,D2975)/2</f>
        <v>13488</v>
      </c>
      <c r="F2975" s="12" t="n">
        <v>8452</v>
      </c>
      <c r="G2975" s="12" t="n">
        <v>11978</v>
      </c>
      <c r="H2975" s="6" t="n">
        <f>SUM(F2975,G2975)/2</f>
        <v>10215</v>
      </c>
    </row>
    <row r="2976" s="18" customFormat="1" ht="14.399999999999999" customHeight="1">
      <c r="A2976" s="10" t="s">
        <v>2386</v>
      </c>
      <c r="B2976" s="10" t="s">
        <v>7447</v>
      </c>
      <c r="C2976" s="13" t="n">
        <v>68804</v>
      </c>
      <c r="D2976" s="13" t="n">
        <v>109908</v>
      </c>
      <c r="E2976" s="6" t="n">
        <f>SUM(C2976,D2976)/2</f>
        <v>89356</v>
      </c>
      <c r="F2976" s="12" t="n">
        <v>49101</v>
      </c>
      <c r="G2976" s="12" t="n">
        <v>69278</v>
      </c>
      <c r="H2976" s="6" t="n">
        <f>SUM(F2976,G2976)/2</f>
        <v>59189.5</v>
      </c>
    </row>
    <row r="2977" s="18" customFormat="1" ht="14.399999999999999" customHeight="1">
      <c r="A2977" s="10" t="s">
        <v>7448</v>
      </c>
      <c r="B2977" s="10" t="s">
        <v>7449</v>
      </c>
      <c r="C2977" s="13" t="n">
        <v>148215</v>
      </c>
      <c r="D2977" s="13" t="n">
        <v>236761</v>
      </c>
      <c r="E2977" s="6" t="n">
        <f>SUM(C2977,D2977)/2</f>
        <v>192488</v>
      </c>
      <c r="F2977" s="12" t="n">
        <v>24411</v>
      </c>
      <c r="G2977" s="12" t="n">
        <v>35684</v>
      </c>
      <c r="H2977" s="6" t="n">
        <f>SUM(F2977,G2977)/2</f>
        <v>30047.5</v>
      </c>
    </row>
    <row r="2978" s="18" customFormat="1" ht="14.399999999999999" customHeight="1">
      <c r="A2978" s="10" t="s">
        <v>7450</v>
      </c>
      <c r="B2978" s="10" t="s">
        <v>7451</v>
      </c>
      <c r="C2978" s="13" t="n">
        <v>291687</v>
      </c>
      <c r="D2978" s="13" t="n">
        <v>465939</v>
      </c>
      <c r="E2978" s="6" t="n">
        <f>SUM(C2978,D2978)/2</f>
        <v>378813</v>
      </c>
      <c r="F2978" s="12" t="n">
        <v>175782</v>
      </c>
      <c r="G2978" s="12" t="n">
        <v>202886</v>
      </c>
      <c r="H2978" s="6" t="n">
        <f>SUM(F2978,G2978)/2</f>
        <v>189334</v>
      </c>
    </row>
    <row r="2979" s="18" customFormat="1" ht="14.399999999999999" customHeight="1">
      <c r="A2979" s="10" t="s">
        <v>7452</v>
      </c>
      <c r="B2979" s="10" t="s">
        <v>7453</v>
      </c>
      <c r="C2979" s="13" t="n">
        <v>88003</v>
      </c>
      <c r="D2979" s="13" t="n">
        <v>140575</v>
      </c>
      <c r="E2979" s="6" t="n">
        <f>SUM(C2979,D2979)/2</f>
        <v>114289</v>
      </c>
      <c r="F2979" s="12" t="n">
        <v>14241</v>
      </c>
      <c r="G2979" s="12" t="n">
        <v>20138</v>
      </c>
      <c r="H2979" s="6" t="n">
        <f>SUM(F2979,G2979)/2</f>
        <v>17189.5</v>
      </c>
    </row>
    <row r="2980" s="18" customFormat="1" ht="14.399999999999999" customHeight="1">
      <c r="A2980" s="10" t="s">
        <v>7454</v>
      </c>
      <c r="B2980" s="10" t="s">
        <v>7455</v>
      </c>
      <c r="C2980" s="13" t="n">
        <v>315224</v>
      </c>
      <c r="D2980" s="13" t="n">
        <v>503540</v>
      </c>
      <c r="E2980" s="6" t="n">
        <f>SUM(C2980,D2980)/2</f>
        <v>409382</v>
      </c>
      <c r="F2980" s="12" t="n">
        <v>86962</v>
      </c>
      <c r="G2980" s="12" t="n">
        <v>115243</v>
      </c>
      <c r="H2980" s="6" t="n">
        <f>SUM(F2980,G2980)/2</f>
        <v>101102.5</v>
      </c>
    </row>
    <row r="2981" s="18" customFormat="1" ht="14.399999999999999" customHeight="1">
      <c r="A2981" s="10" t="s">
        <v>4031</v>
      </c>
      <c r="B2981" s="10" t="s">
        <v>7456</v>
      </c>
      <c r="C2981" s="13" t="n">
        <v>62689</v>
      </c>
      <c r="D2981" s="13" t="n">
        <v>100141</v>
      </c>
      <c r="E2981" s="6" t="n">
        <f>SUM(C2981,D2981)/2</f>
        <v>81415</v>
      </c>
      <c r="F2981" s="12" t="n">
        <v>3455</v>
      </c>
      <c r="G2981" s="12" t="n">
        <v>10715</v>
      </c>
      <c r="H2981" s="6" t="n">
        <f>SUM(F2981,G2981)/2</f>
        <v>7085</v>
      </c>
    </row>
    <row r="2982" s="18" customFormat="1" ht="14.399999999999999" customHeight="1">
      <c r="A2982" s="10" t="s">
        <v>2540</v>
      </c>
      <c r="B2982" s="10" t="s">
        <v>7457</v>
      </c>
      <c r="C2982" s="10" t="n">
        <v>3</v>
      </c>
      <c r="D2982" s="10" t="n">
        <v>3</v>
      </c>
      <c r="E2982" s="6" t="n">
        <f>SUM(C2982,D2982)/2</f>
        <v>3</v>
      </c>
      <c r="F2982" s="18" t="n">
        <v>2</v>
      </c>
      <c r="G2982" s="18" t="n">
        <v>2</v>
      </c>
      <c r="H2982" s="6" t="n">
        <f>SUM(F2982,G2982)/2</f>
        <v>2</v>
      </c>
    </row>
    <row r="2983" s="18" customFormat="1" ht="14.399999999999999" customHeight="1">
      <c r="A2983" s="10" t="s">
        <v>1717</v>
      </c>
      <c r="B2983" s="10" t="s">
        <v>7458</v>
      </c>
      <c r="C2983" s="10" t="n">
        <v>49</v>
      </c>
      <c r="D2983" s="10" t="n">
        <v>77</v>
      </c>
      <c r="E2983" s="6" t="n">
        <f>SUM(C2983,D2983)/2</f>
        <v>63</v>
      </c>
      <c r="F2983" s="18" t="n">
        <v>15</v>
      </c>
      <c r="G2983" s="18" t="n">
        <v>21</v>
      </c>
      <c r="H2983" s="6" t="n">
        <f>SUM(F2983,G2983)/2</f>
        <v>18</v>
      </c>
    </row>
    <row r="2984" s="18" customFormat="1" ht="14.399999999999999" customHeight="1">
      <c r="A2984" s="10" t="s">
        <v>7459</v>
      </c>
      <c r="B2984" s="10" t="s">
        <v>7460</v>
      </c>
      <c r="C2984" s="13" t="n">
        <v>22196</v>
      </c>
      <c r="D2984" s="13" t="n">
        <v>35456</v>
      </c>
      <c r="E2984" s="6" t="n">
        <f>SUM(C2984,D2984)/2</f>
        <v>28826</v>
      </c>
      <c r="F2984" s="12" t="n">
        <v>13966</v>
      </c>
      <c r="G2984" s="12" t="n">
        <v>20398</v>
      </c>
      <c r="H2984" s="6" t="n">
        <f>SUM(F2984,G2984)/2</f>
        <v>17182</v>
      </c>
    </row>
    <row r="2985" s="18" customFormat="1" ht="14.399999999999999" customHeight="1">
      <c r="A2985" s="10" t="s">
        <v>5071</v>
      </c>
      <c r="B2985" s="10" t="s">
        <v>7461</v>
      </c>
      <c r="C2985" s="13" t="n">
        <v>6957</v>
      </c>
      <c r="D2985" s="13" t="n">
        <v>11113</v>
      </c>
      <c r="E2985" s="6" t="n">
        <f>SUM(C2985,D2985)/2</f>
        <v>9035</v>
      </c>
      <c r="F2985" s="12" t="n">
        <v>6133</v>
      </c>
      <c r="G2985" s="12" t="n">
        <v>7606</v>
      </c>
      <c r="H2985" s="6" t="n">
        <f>SUM(F2985,G2985)/2</f>
        <v>6869.5</v>
      </c>
    </row>
    <row r="2986" s="18" customFormat="1" ht="14.399999999999999" customHeight="1">
      <c r="A2986" s="10" t="s">
        <v>7462</v>
      </c>
      <c r="B2986" s="10" t="s">
        <v>7463</v>
      </c>
      <c r="C2986" s="13" t="n">
        <v>32976</v>
      </c>
      <c r="D2986" s="13" t="n">
        <v>52676</v>
      </c>
      <c r="E2986" s="6" t="n">
        <f>SUM(C2986,D2986)/2</f>
        <v>42826</v>
      </c>
      <c r="F2986" s="12" t="n">
        <v>9706</v>
      </c>
      <c r="G2986" s="12" t="n">
        <v>13966</v>
      </c>
      <c r="H2986" s="6" t="n">
        <f>SUM(F2986,G2986)/2</f>
        <v>11836</v>
      </c>
    </row>
    <row r="2987" s="18" customFormat="1" ht="14.399999999999999" customHeight="1">
      <c r="A2987" s="10" t="s">
        <v>548</v>
      </c>
      <c r="B2987" s="10" t="s">
        <v>549</v>
      </c>
      <c r="C2987" s="10" t="n">
        <v>777</v>
      </c>
      <c r="D2987" s="13" t="n">
        <v>1241</v>
      </c>
      <c r="E2987" s="6" t="n">
        <f>SUM(C2987,D2987)/2</f>
        <v>1009</v>
      </c>
      <c r="F2987" s="18" t="n">
        <v>20</v>
      </c>
      <c r="G2987" s="18" t="n">
        <v>22</v>
      </c>
      <c r="H2987" s="6" t="n">
        <f>SUM(F2987,G2987)/2</f>
        <v>21</v>
      </c>
    </row>
    <row r="2988" s="18" customFormat="1" ht="14.399999999999999" customHeight="1">
      <c r="A2988" s="10" t="s">
        <v>7464</v>
      </c>
      <c r="B2988" s="10" t="s">
        <v>7465</v>
      </c>
      <c r="C2988" s="13" t="n">
        <v>35024</v>
      </c>
      <c r="D2988" s="13" t="n">
        <v>55944</v>
      </c>
      <c r="E2988" s="6" t="n">
        <f>SUM(C2988,D2988)/2</f>
        <v>45484</v>
      </c>
      <c r="F2988" s="12" t="n">
        <v>6986</v>
      </c>
      <c r="G2988" s="12" t="n">
        <v>8526</v>
      </c>
      <c r="H2988" s="6" t="n">
        <f>SUM(F2988,G2988)/2</f>
        <v>7756</v>
      </c>
    </row>
    <row r="2989" s="18" customFormat="1" ht="14.399999999999999" customHeight="1">
      <c r="A2989" s="10" t="s">
        <v>7466</v>
      </c>
      <c r="B2989" s="10" t="s">
        <v>7467</v>
      </c>
      <c r="C2989" s="13" t="n">
        <v>120241</v>
      </c>
      <c r="D2989" s="13" t="n">
        <v>192071</v>
      </c>
      <c r="E2989" s="6" t="n">
        <f>SUM(C2989,D2989)/2</f>
        <v>156156</v>
      </c>
      <c r="F2989" s="12" t="n">
        <v>4733</v>
      </c>
      <c r="G2989" s="12" t="n">
        <v>12997</v>
      </c>
      <c r="H2989" s="6" t="n">
        <f>SUM(F2989,G2989)/2</f>
        <v>8865</v>
      </c>
    </row>
    <row r="2990" s="18" customFormat="1" ht="14.399999999999999" customHeight="1">
      <c r="A2990" s="10" t="s">
        <v>126</v>
      </c>
      <c r="B2990" s="10" t="s">
        <v>7468</v>
      </c>
      <c r="C2990" s="13" t="n">
        <v>38199</v>
      </c>
      <c r="D2990" s="13" t="n">
        <v>61019</v>
      </c>
      <c r="E2990" s="6" t="n">
        <f>SUM(C2990,D2990)/2</f>
        <v>49609</v>
      </c>
      <c r="F2990" s="18" t="n">
        <v>783</v>
      </c>
      <c r="G2990" s="18" t="n">
        <v>1541</v>
      </c>
      <c r="H2990" s="6" t="n">
        <f>SUM(F2990,G2990)/2</f>
        <v>1162</v>
      </c>
    </row>
    <row r="2991" s="18" customFormat="1" ht="14.399999999999999" customHeight="1">
      <c r="A2991" s="10" t="s">
        <v>7469</v>
      </c>
      <c r="B2991" s="10" t="s">
        <v>7470</v>
      </c>
      <c r="C2991" s="13" t="n">
        <v>143357</v>
      </c>
      <c r="D2991" s="13" t="n">
        <v>228999</v>
      </c>
      <c r="E2991" s="6" t="n">
        <f>SUM(C2991,D2991)/2</f>
        <v>186178</v>
      </c>
      <c r="F2991" s="12" t="n">
        <v>34598</v>
      </c>
      <c r="G2991" s="12" t="n">
        <v>46304</v>
      </c>
      <c r="H2991" s="6" t="n">
        <f>SUM(F2991,G2991)/2</f>
        <v>40451</v>
      </c>
    </row>
    <row r="2992" s="18" customFormat="1" ht="14.399999999999999" customHeight="1">
      <c r="A2992" s="10" t="s">
        <v>1360</v>
      </c>
      <c r="B2992" s="10" t="s">
        <v>7471</v>
      </c>
      <c r="C2992" s="10" t="n">
        <v>195</v>
      </c>
      <c r="D2992" s="10" t="n">
        <v>314</v>
      </c>
      <c r="E2992" s="6" t="n">
        <f>SUM(C2992,D2992)/2</f>
        <v>254.5</v>
      </c>
      <c r="F2992" s="18" t="n">
        <v>5</v>
      </c>
      <c r="G2992" s="18" t="n">
        <v>7</v>
      </c>
      <c r="H2992" s="6" t="n">
        <f>SUM(F2992,G2992)/2</f>
        <v>6</v>
      </c>
    </row>
    <row r="2993" s="18" customFormat="1" ht="14.399999999999999" customHeight="1">
      <c r="A2993" s="10" t="s">
        <v>7472</v>
      </c>
      <c r="B2993" s="10" t="s">
        <v>7473</v>
      </c>
      <c r="C2993" s="13" t="n">
        <v>30983</v>
      </c>
      <c r="D2993" s="13" t="n">
        <v>49489</v>
      </c>
      <c r="E2993" s="6" t="n">
        <f>SUM(C2993,D2993)/2</f>
        <v>40236</v>
      </c>
      <c r="F2993" s="12" t="n">
        <v>3408</v>
      </c>
      <c r="G2993" s="12" t="n">
        <v>8114</v>
      </c>
      <c r="H2993" s="6" t="n">
        <f>SUM(F2993,G2993)/2</f>
        <v>5761</v>
      </c>
    </row>
    <row r="2994" s="18" customFormat="1" ht="14.399999999999999" customHeight="1">
      <c r="A2994" s="10" t="s">
        <v>7474</v>
      </c>
      <c r="B2994" s="10" t="s">
        <v>7475</v>
      </c>
      <c r="C2994" s="13" t="n">
        <v>32194</v>
      </c>
      <c r="D2994" s="13" t="n">
        <v>51424</v>
      </c>
      <c r="E2994" s="6" t="n">
        <f>SUM(C2994,D2994)/2</f>
        <v>41809</v>
      </c>
      <c r="F2994" s="12" t="n">
        <v>6658</v>
      </c>
      <c r="G2994" s="12" t="n">
        <v>9182</v>
      </c>
      <c r="H2994" s="6" t="n">
        <f>SUM(F2994,G2994)/2</f>
        <v>7920</v>
      </c>
    </row>
    <row r="2995" s="18" customFormat="1" ht="14.399999999999999" customHeight="1">
      <c r="A2995" s="10" t="s">
        <v>7476</v>
      </c>
      <c r="B2995" s="10" t="s">
        <v>7477</v>
      </c>
      <c r="C2995" s="13" t="n">
        <v>152266</v>
      </c>
      <c r="D2995" s="13" t="n">
        <v>243228</v>
      </c>
      <c r="E2995" s="6" t="n">
        <f>SUM(C2995,D2995)/2</f>
        <v>197747</v>
      </c>
      <c r="F2995" s="12" t="n">
        <v>50088</v>
      </c>
      <c r="G2995" s="12" t="n">
        <v>74899</v>
      </c>
      <c r="H2995" s="6" t="n">
        <f>SUM(F2995,G2995)/2</f>
        <v>62493.5</v>
      </c>
    </row>
    <row r="2996" s="18" customFormat="1" ht="14.399999999999999" customHeight="1">
      <c r="A2996" s="10" t="s">
        <v>7478</v>
      </c>
      <c r="B2996" s="10" t="s">
        <v>7479</v>
      </c>
      <c r="C2996" s="13" t="n">
        <v>8701</v>
      </c>
      <c r="D2996" s="13" t="n">
        <v>13899</v>
      </c>
      <c r="E2996" s="6" t="n">
        <f>SUM(C2996,D2996)/2</f>
        <v>11300</v>
      </c>
      <c r="F2996" s="12" t="n">
        <v>4856</v>
      </c>
      <c r="G2996" s="12" t="n">
        <v>6874</v>
      </c>
      <c r="H2996" s="6" t="n">
        <f>SUM(F2996,G2996)/2</f>
        <v>5865</v>
      </c>
    </row>
    <row r="2997" s="18" customFormat="1" ht="14.399999999999999" customHeight="1">
      <c r="A2997" s="10" t="s">
        <v>2456</v>
      </c>
      <c r="B2997" s="10" t="s">
        <v>7480</v>
      </c>
      <c r="C2997" s="10" t="n">
        <v>13</v>
      </c>
      <c r="D2997" s="10" t="n">
        <v>21</v>
      </c>
      <c r="E2997" s="6" t="n">
        <f>SUM(C2997,D2997)/2</f>
        <v>17</v>
      </c>
      <c r="F2997" s="18" t="n">
        <v>0</v>
      </c>
      <c r="G2997" s="18" t="n">
        <v>0</v>
      </c>
      <c r="H2997" s="6" t="n">
        <f>SUM(F2997,G2997)/2</f>
        <v>0</v>
      </c>
    </row>
    <row r="2998" s="18" customFormat="1" ht="14.399999999999999" customHeight="1">
      <c r="A2998" s="10" t="s">
        <v>5007</v>
      </c>
      <c r="B2998" s="10" t="s">
        <v>7481</v>
      </c>
      <c r="C2998" s="13" t="n">
        <v>15840</v>
      </c>
      <c r="D2998" s="13" t="n">
        <v>25304</v>
      </c>
      <c r="E2998" s="6" t="n">
        <f>SUM(C2998,D2998)/2</f>
        <v>20572</v>
      </c>
      <c r="F2998" s="12" t="n">
        <v>4184</v>
      </c>
      <c r="G2998" s="12" t="n">
        <v>6200</v>
      </c>
      <c r="H2998" s="6" t="n">
        <f>SUM(F2998,G2998)/2</f>
        <v>5192</v>
      </c>
    </row>
    <row r="2999" s="18" customFormat="1" ht="14.399999999999999" customHeight="1">
      <c r="A2999" s="10" t="s">
        <v>7482</v>
      </c>
      <c r="B2999" s="10" t="s">
        <v>7483</v>
      </c>
      <c r="C2999" s="13" t="n">
        <v>109838</v>
      </c>
      <c r="D2999" s="13" t="n">
        <v>175456</v>
      </c>
      <c r="E2999" s="6" t="n">
        <f>SUM(C2999,D2999)/2</f>
        <v>142647</v>
      </c>
      <c r="F2999" s="12" t="n">
        <v>19712</v>
      </c>
      <c r="G2999" s="12" t="n">
        <v>24502</v>
      </c>
      <c r="H2999" s="6" t="n">
        <f>SUM(F2999,G2999)/2</f>
        <v>22107</v>
      </c>
    </row>
    <row r="3000" s="18" customFormat="1" ht="14.399999999999999" customHeight="1">
      <c r="A3000" s="10" t="s">
        <v>7484</v>
      </c>
      <c r="B3000" s="10" t="s">
        <v>7485</v>
      </c>
      <c r="C3000" s="13" t="n">
        <v>26523</v>
      </c>
      <c r="D3000" s="13" t="n">
        <v>42367</v>
      </c>
      <c r="E3000" s="6" t="n">
        <f>SUM(C3000,D3000)/2</f>
        <v>34445</v>
      </c>
      <c r="F3000" s="12" t="n">
        <v>4519</v>
      </c>
      <c r="G3000" s="12" t="n">
        <v>7717</v>
      </c>
      <c r="H3000" s="6" t="n">
        <f>SUM(F3000,G3000)/2</f>
        <v>6118</v>
      </c>
    </row>
    <row r="3001" s="18" customFormat="1" ht="14.399999999999999" customHeight="1">
      <c r="A3001" s="10" t="s">
        <v>4533</v>
      </c>
      <c r="B3001" s="10" t="s">
        <v>7486</v>
      </c>
      <c r="C3001" s="13" t="n">
        <v>21993</v>
      </c>
      <c r="D3001" s="13" t="n">
        <v>35133</v>
      </c>
      <c r="E3001" s="6" t="n">
        <f>SUM(C3001,D3001)/2</f>
        <v>28563</v>
      </c>
      <c r="F3001" s="12" t="n">
        <v>7768</v>
      </c>
      <c r="G3001" s="12" t="n">
        <v>9821</v>
      </c>
      <c r="H3001" s="6" t="n">
        <f>SUM(F3001,G3001)/2</f>
        <v>8794.5</v>
      </c>
    </row>
    <row r="3002" s="18" customFormat="1" ht="14.399999999999999" customHeight="1">
      <c r="A3002" s="10" t="s">
        <v>3917</v>
      </c>
      <c r="B3002" s="10" t="s">
        <v>7487</v>
      </c>
      <c r="C3002" s="13" t="n">
        <v>16621</v>
      </c>
      <c r="D3002" s="13" t="n">
        <v>26551</v>
      </c>
      <c r="E3002" s="6" t="n">
        <f>SUM(C3002,D3002)/2</f>
        <v>21586</v>
      </c>
      <c r="F3002" s="12" t="n">
        <v>19775</v>
      </c>
      <c r="G3002" s="12" t="n">
        <v>23638</v>
      </c>
      <c r="H3002" s="6" t="n">
        <f>SUM(F3002,G3002)/2</f>
        <v>21706.5</v>
      </c>
    </row>
    <row r="3003" s="18" customFormat="1" ht="14.399999999999999" customHeight="1">
      <c r="A3003" s="10" t="s">
        <v>1447</v>
      </c>
      <c r="B3003" s="10" t="s">
        <v>7488</v>
      </c>
      <c r="C3003" s="10" t="n">
        <v>67</v>
      </c>
      <c r="D3003" s="10" t="n">
        <v>107</v>
      </c>
      <c r="E3003" s="6" t="n">
        <f>SUM(C3003,D3003)/2</f>
        <v>87</v>
      </c>
      <c r="F3003" s="18" t="n">
        <v>15</v>
      </c>
      <c r="G3003" s="18" t="n">
        <v>17</v>
      </c>
      <c r="H3003" s="6" t="n">
        <f>SUM(F3003,G3003)/2</f>
        <v>16</v>
      </c>
    </row>
    <row r="3004" s="18" customFormat="1" ht="14.399999999999999" customHeight="1">
      <c r="A3004" s="10" t="s">
        <v>1421</v>
      </c>
      <c r="B3004" s="10" t="s">
        <v>7489</v>
      </c>
      <c r="C3004" s="10" t="n">
        <v>38</v>
      </c>
      <c r="D3004" s="10" t="n">
        <v>60</v>
      </c>
      <c r="E3004" s="6" t="n">
        <f>SUM(C3004,D3004)/2</f>
        <v>49</v>
      </c>
      <c r="F3004" s="18" t="n">
        <v>2</v>
      </c>
      <c r="G3004" s="18" t="n">
        <v>3</v>
      </c>
      <c r="H3004" s="6" t="n">
        <f>SUM(F3004,G3004)/2</f>
        <v>2.5</v>
      </c>
    </row>
    <row r="3005" s="18" customFormat="1" ht="14.399999999999999" customHeight="1">
      <c r="A3005" s="10" t="s">
        <v>4401</v>
      </c>
      <c r="B3005" s="10" t="s">
        <v>7490</v>
      </c>
      <c r="C3005" s="13" t="n">
        <v>30256</v>
      </c>
      <c r="D3005" s="13" t="n">
        <v>48328</v>
      </c>
      <c r="E3005" s="6" t="n">
        <f>SUM(C3005,D3005)/2</f>
        <v>39292</v>
      </c>
      <c r="F3005" s="12" t="n">
        <v>7686</v>
      </c>
      <c r="G3005" s="12" t="n">
        <v>9155</v>
      </c>
      <c r="H3005" s="6" t="n">
        <f>SUM(F3005,G3005)/2</f>
        <v>8420.5</v>
      </c>
    </row>
    <row r="3006" s="18" customFormat="1" ht="14.399999999999999" customHeight="1">
      <c r="A3006" s="10" t="s">
        <v>4313</v>
      </c>
      <c r="B3006" s="10" t="s">
        <v>7491</v>
      </c>
      <c r="C3006" s="13" t="n">
        <v>23949</v>
      </c>
      <c r="D3006" s="13" t="n">
        <v>38253</v>
      </c>
      <c r="E3006" s="6" t="n">
        <f>SUM(C3006,D3006)/2</f>
        <v>31101</v>
      </c>
      <c r="F3006" s="12" t="n">
        <v>10556</v>
      </c>
      <c r="G3006" s="12" t="n">
        <v>12574</v>
      </c>
      <c r="H3006" s="6" t="n">
        <f>SUM(F3006,G3006)/2</f>
        <v>11565</v>
      </c>
    </row>
    <row r="3007" s="18" customFormat="1" ht="14.399999999999999" customHeight="1">
      <c r="A3007" s="10" t="s">
        <v>7492</v>
      </c>
      <c r="B3007" s="10" t="s">
        <v>7493</v>
      </c>
      <c r="C3007" s="13" t="n">
        <v>1025407</v>
      </c>
      <c r="D3007" s="13" t="n">
        <v>1637987</v>
      </c>
      <c r="E3007" s="6" t="n">
        <f>SUM(C3007,D3007)/2</f>
        <v>1331697</v>
      </c>
      <c r="F3007" s="12" t="n">
        <v>638571</v>
      </c>
      <c r="G3007" s="12" t="n">
        <v>807246</v>
      </c>
      <c r="H3007" s="6" t="n">
        <f>SUM(F3007,G3007)/2</f>
        <v>722908.5</v>
      </c>
    </row>
    <row r="3008" s="18" customFormat="1" ht="14.399999999999999" customHeight="1">
      <c r="A3008" s="10" t="s">
        <v>7494</v>
      </c>
      <c r="B3008" s="10" t="s">
        <v>7495</v>
      </c>
      <c r="C3008" s="13" t="n">
        <v>3504</v>
      </c>
      <c r="D3008" s="13" t="n">
        <v>5596</v>
      </c>
      <c r="E3008" s="6" t="n">
        <f>SUM(C3008,D3008)/2</f>
        <v>4550</v>
      </c>
      <c r="F3008" s="12" t="n">
        <v>9925</v>
      </c>
      <c r="G3008" s="12" t="n">
        <v>14247</v>
      </c>
      <c r="H3008" s="6" t="n">
        <f>SUM(F3008,G3008)/2</f>
        <v>12086</v>
      </c>
    </row>
    <row r="3009" s="18" customFormat="1" ht="14.399999999999999" customHeight="1">
      <c r="A3009" s="10" t="s">
        <v>7496</v>
      </c>
      <c r="B3009" s="10" t="s">
        <v>7497</v>
      </c>
      <c r="C3009" s="13" t="n">
        <v>31396</v>
      </c>
      <c r="D3009" s="13" t="n">
        <v>50152</v>
      </c>
      <c r="E3009" s="6" t="n">
        <f>SUM(C3009,D3009)/2</f>
        <v>40774</v>
      </c>
      <c r="F3009" s="12" t="n">
        <v>5380</v>
      </c>
      <c r="G3009" s="12" t="n">
        <v>6865</v>
      </c>
      <c r="H3009" s="6" t="n">
        <f>SUM(F3009,G3009)/2</f>
        <v>6122.5</v>
      </c>
    </row>
    <row r="3010" s="18" customFormat="1" ht="14.399999999999999" customHeight="1">
      <c r="A3010" s="10" t="s">
        <v>7498</v>
      </c>
      <c r="B3010" s="10" t="s">
        <v>7499</v>
      </c>
      <c r="C3010" s="13" t="n">
        <v>5437</v>
      </c>
      <c r="D3010" s="13" t="n">
        <v>8687</v>
      </c>
      <c r="E3010" s="6" t="n">
        <f>SUM(C3010,D3010)/2</f>
        <v>7062</v>
      </c>
      <c r="F3010" s="12" t="n">
        <v>8322</v>
      </c>
      <c r="G3010" s="12" t="n">
        <v>9568</v>
      </c>
      <c r="H3010" s="6" t="n">
        <f>SUM(F3010,G3010)/2</f>
        <v>8945</v>
      </c>
    </row>
    <row r="3011" s="18" customFormat="1" ht="14.399999999999999" customHeight="1">
      <c r="A3011" s="10" t="s">
        <v>7500</v>
      </c>
      <c r="B3011" s="10" t="s">
        <v>7501</v>
      </c>
      <c r="C3011" s="13" t="n">
        <v>155245</v>
      </c>
      <c r="D3011" s="13" t="n">
        <v>247991</v>
      </c>
      <c r="E3011" s="6" t="n">
        <f>SUM(C3011,D3011)/2</f>
        <v>201618</v>
      </c>
      <c r="F3011" s="12" t="n">
        <v>29449</v>
      </c>
      <c r="G3011" s="12" t="n">
        <v>45250</v>
      </c>
      <c r="H3011" s="6" t="n">
        <f>SUM(F3011,G3011)/2</f>
        <v>37349.5</v>
      </c>
    </row>
    <row r="3012" s="18" customFormat="1" ht="14.399999999999999" customHeight="1">
      <c r="A3012" s="10" t="s">
        <v>7502</v>
      </c>
      <c r="B3012" s="10" t="s">
        <v>7503</v>
      </c>
      <c r="C3012" s="13" t="n">
        <v>35807</v>
      </c>
      <c r="D3012" s="13" t="n">
        <v>57197</v>
      </c>
      <c r="E3012" s="6" t="n">
        <f>SUM(C3012,D3012)/2</f>
        <v>46502</v>
      </c>
      <c r="F3012" s="12" t="n">
        <v>39109</v>
      </c>
      <c r="G3012" s="12" t="n">
        <v>44641</v>
      </c>
      <c r="H3012" s="6" t="n">
        <f>SUM(F3012,G3012)/2</f>
        <v>41875</v>
      </c>
    </row>
    <row r="3013" s="18" customFormat="1" ht="14.399999999999999" customHeight="1">
      <c r="A3013" s="10" t="s">
        <v>5494</v>
      </c>
      <c r="B3013" s="10" t="s">
        <v>7504</v>
      </c>
      <c r="C3013" s="13" t="n">
        <v>137751</v>
      </c>
      <c r="D3013" s="13" t="n">
        <v>220045</v>
      </c>
      <c r="E3013" s="6" t="n">
        <f>SUM(C3013,D3013)/2</f>
        <v>178898</v>
      </c>
      <c r="F3013" s="12" t="n">
        <v>28953</v>
      </c>
      <c r="G3013" s="12" t="n">
        <v>48080</v>
      </c>
      <c r="H3013" s="6" t="n">
        <f>SUM(F3013,G3013)/2</f>
        <v>38516.5</v>
      </c>
    </row>
    <row r="3014" s="18" customFormat="1" ht="14.399999999999999" customHeight="1">
      <c r="A3014" s="10" t="s">
        <v>7505</v>
      </c>
      <c r="B3014" s="10" t="s">
        <v>7506</v>
      </c>
      <c r="C3014" s="13" t="n">
        <v>110853</v>
      </c>
      <c r="D3014" s="13" t="n">
        <v>177077</v>
      </c>
      <c r="E3014" s="6" t="n">
        <f>SUM(C3014,D3014)/2</f>
        <v>143965</v>
      </c>
      <c r="F3014" s="12" t="n">
        <v>39951</v>
      </c>
      <c r="G3014" s="12" t="n">
        <v>53591</v>
      </c>
      <c r="H3014" s="6" t="n">
        <f>SUM(F3014,G3014)/2</f>
        <v>46771</v>
      </c>
    </row>
    <row r="3015" s="18" customFormat="1" ht="14.399999999999999" customHeight="1">
      <c r="A3015" s="10" t="s">
        <v>7507</v>
      </c>
      <c r="B3015" s="10" t="s">
        <v>7508</v>
      </c>
      <c r="C3015" s="13" t="n">
        <v>59938</v>
      </c>
      <c r="D3015" s="13" t="n">
        <v>95746</v>
      </c>
      <c r="E3015" s="6" t="n">
        <f>SUM(C3015,D3015)/2</f>
        <v>77842</v>
      </c>
      <c r="F3015" s="12" t="n">
        <v>10326</v>
      </c>
      <c r="G3015" s="12" t="n">
        <v>15056</v>
      </c>
      <c r="H3015" s="6" t="n">
        <f>SUM(F3015,G3015)/2</f>
        <v>12691</v>
      </c>
    </row>
    <row r="3016" s="18" customFormat="1" ht="14.399999999999999" customHeight="1">
      <c r="A3016" s="10" t="s">
        <v>4323</v>
      </c>
      <c r="B3016" s="10" t="s">
        <v>7509</v>
      </c>
      <c r="C3016" s="13" t="n">
        <v>34994</v>
      </c>
      <c r="D3016" s="13" t="n">
        <v>55900</v>
      </c>
      <c r="E3016" s="6" t="n">
        <f>SUM(C3016,D3016)/2</f>
        <v>45447</v>
      </c>
      <c r="F3016" s="12" t="n">
        <v>6088</v>
      </c>
      <c r="G3016" s="12" t="n">
        <v>10756</v>
      </c>
      <c r="H3016" s="6" t="n">
        <f>SUM(F3016,G3016)/2</f>
        <v>8422</v>
      </c>
    </row>
    <row r="3017" s="18" customFormat="1" ht="14.399999999999999" customHeight="1">
      <c r="A3017" s="10" t="s">
        <v>7510</v>
      </c>
      <c r="B3017" s="10" t="s">
        <v>7511</v>
      </c>
      <c r="C3017" s="13" t="n">
        <v>37017</v>
      </c>
      <c r="D3017" s="13" t="n">
        <v>59127</v>
      </c>
      <c r="E3017" s="6" t="n">
        <f>SUM(C3017,D3017)/2</f>
        <v>48072</v>
      </c>
      <c r="F3017" s="12" t="n">
        <v>6644</v>
      </c>
      <c r="G3017" s="12" t="n">
        <v>8235</v>
      </c>
      <c r="H3017" s="6" t="n">
        <f>SUM(F3017,G3017)/2</f>
        <v>7439.5</v>
      </c>
    </row>
    <row r="3018" s="18" customFormat="1" ht="14.399999999999999" customHeight="1">
      <c r="A3018" s="10" t="s">
        <v>3003</v>
      </c>
      <c r="B3018" s="10" t="s">
        <v>7512</v>
      </c>
      <c r="C3018" s="10" t="n">
        <v>0</v>
      </c>
      <c r="D3018" s="10" t="n">
        <v>0</v>
      </c>
      <c r="E3018" s="6" t="n">
        <f>SUM(C3018,D3018)/2</f>
        <v>0</v>
      </c>
      <c r="F3018" s="18" t="n">
        <v>0</v>
      </c>
      <c r="G3018" s="18" t="n">
        <v>0</v>
      </c>
      <c r="H3018" s="6" t="n">
        <f>SUM(F3018,G3018)/2</f>
        <v>0</v>
      </c>
    </row>
    <row r="3019" s="18" customFormat="1" ht="14.399999999999999" customHeight="1">
      <c r="A3019" s="10" t="s">
        <v>636</v>
      </c>
      <c r="B3019" s="10" t="s">
        <v>637</v>
      </c>
      <c r="C3019" s="10" t="n">
        <v>509</v>
      </c>
      <c r="D3019" s="10" t="n">
        <v>815</v>
      </c>
      <c r="E3019" s="6" t="n">
        <f>SUM(C3019,D3019)/2</f>
        <v>662</v>
      </c>
      <c r="F3019" s="18" t="n">
        <v>428</v>
      </c>
      <c r="G3019" s="18" t="n">
        <v>507</v>
      </c>
      <c r="H3019" s="6" t="n">
        <f>SUM(F3019,G3019)/2</f>
        <v>467.5</v>
      </c>
    </row>
    <row r="3020" s="18" customFormat="1" ht="14.399999999999999" customHeight="1">
      <c r="A3020" s="10" t="s">
        <v>7513</v>
      </c>
      <c r="B3020" s="10" t="s">
        <v>7514</v>
      </c>
      <c r="C3020" s="13" t="n">
        <v>180838</v>
      </c>
      <c r="D3020" s="13" t="n">
        <v>288874</v>
      </c>
      <c r="E3020" s="6" t="n">
        <f>SUM(C3020,D3020)/2</f>
        <v>234856</v>
      </c>
      <c r="F3020" s="12" t="n">
        <v>422577</v>
      </c>
      <c r="G3020" s="12" t="n">
        <v>844217</v>
      </c>
      <c r="H3020" s="6" t="n">
        <f>SUM(F3020,G3020)/2</f>
        <v>633397</v>
      </c>
    </row>
    <row r="3021" s="18" customFormat="1" ht="14.399999999999999" customHeight="1">
      <c r="A3021" s="10" t="s">
        <v>7515</v>
      </c>
      <c r="B3021" s="10" t="s">
        <v>7516</v>
      </c>
      <c r="C3021" s="13" t="n">
        <v>6498</v>
      </c>
      <c r="D3021" s="13" t="n">
        <v>10380</v>
      </c>
      <c r="E3021" s="6" t="n">
        <f>SUM(C3021,D3021)/2</f>
        <v>8439</v>
      </c>
      <c r="F3021" s="12" t="n">
        <v>8123</v>
      </c>
      <c r="G3021" s="12" t="n">
        <v>9241</v>
      </c>
      <c r="H3021" s="6" t="n">
        <f>SUM(F3021,G3021)/2</f>
        <v>8682</v>
      </c>
    </row>
    <row r="3022" s="18" customFormat="1" ht="14.399999999999999" customHeight="1">
      <c r="A3022" s="10" t="s">
        <v>7517</v>
      </c>
      <c r="B3022" s="10" t="s">
        <v>7518</v>
      </c>
      <c r="C3022" s="13" t="n">
        <v>73296</v>
      </c>
      <c r="D3022" s="13" t="n">
        <v>117084</v>
      </c>
      <c r="E3022" s="6" t="n">
        <f>SUM(C3022,D3022)/2</f>
        <v>95190</v>
      </c>
      <c r="F3022" s="12" t="n">
        <v>16805</v>
      </c>
      <c r="G3022" s="12" t="n">
        <v>23999</v>
      </c>
      <c r="H3022" s="6" t="n">
        <f>SUM(F3022,G3022)/2</f>
        <v>20402</v>
      </c>
    </row>
    <row r="3023" s="18" customFormat="1" ht="14.399999999999999" customHeight="1">
      <c r="A3023" s="10" t="s">
        <v>7519</v>
      </c>
      <c r="B3023" s="10" t="s">
        <v>7520</v>
      </c>
      <c r="C3023" s="13" t="n">
        <v>110434</v>
      </c>
      <c r="D3023" s="13" t="n">
        <v>176406</v>
      </c>
      <c r="E3023" s="6" t="n">
        <f>SUM(C3023,D3023)/2</f>
        <v>143420</v>
      </c>
      <c r="F3023" s="12" t="n">
        <v>55226</v>
      </c>
      <c r="G3023" s="12" t="n">
        <v>116738</v>
      </c>
      <c r="H3023" s="6" t="n">
        <f>SUM(F3023,G3023)/2</f>
        <v>85982</v>
      </c>
    </row>
    <row r="3024" s="18" customFormat="1" ht="14.399999999999999" customHeight="1">
      <c r="A3024" s="10" t="s">
        <v>7521</v>
      </c>
      <c r="B3024" s="10" t="s">
        <v>7522</v>
      </c>
      <c r="C3024" s="13" t="n">
        <v>357751</v>
      </c>
      <c r="D3024" s="13" t="n">
        <v>571469</v>
      </c>
      <c r="E3024" s="6" t="n">
        <f>SUM(C3024,D3024)/2</f>
        <v>464610</v>
      </c>
      <c r="F3024" s="12" t="n">
        <v>79349</v>
      </c>
      <c r="G3024" s="12" t="n">
        <v>109882</v>
      </c>
      <c r="H3024" s="6" t="n">
        <f>SUM(F3024,G3024)/2</f>
        <v>94615.5</v>
      </c>
    </row>
    <row r="3025" s="18" customFormat="1" ht="14.399999999999999" customHeight="1">
      <c r="A3025" s="10" t="s">
        <v>7523</v>
      </c>
      <c r="B3025" s="10" t="s">
        <v>7524</v>
      </c>
      <c r="C3025" s="13" t="n">
        <v>8173</v>
      </c>
      <c r="D3025" s="13" t="n">
        <v>13055</v>
      </c>
      <c r="E3025" s="6" t="n">
        <f>SUM(C3025,D3025)/2</f>
        <v>10614</v>
      </c>
      <c r="F3025" s="12" t="n">
        <v>18427</v>
      </c>
      <c r="G3025" s="12" t="n">
        <v>21698</v>
      </c>
      <c r="H3025" s="6" t="n">
        <f>SUM(F3025,G3025)/2</f>
        <v>20062.5</v>
      </c>
    </row>
    <row r="3026" s="18" customFormat="1" ht="14.399999999999999" customHeight="1">
      <c r="A3026" s="10" t="s">
        <v>5374</v>
      </c>
      <c r="B3026" s="10" t="s">
        <v>7525</v>
      </c>
      <c r="C3026" s="13" t="n">
        <v>280690</v>
      </c>
      <c r="D3026" s="13" t="n">
        <v>448372</v>
      </c>
      <c r="E3026" s="6" t="n">
        <f>SUM(C3026,D3026)/2</f>
        <v>364531</v>
      </c>
      <c r="F3026" s="12" t="n">
        <v>50218</v>
      </c>
      <c r="G3026" s="12" t="n">
        <v>101881</v>
      </c>
      <c r="H3026" s="6" t="n">
        <f>SUM(F3026,G3026)/2</f>
        <v>76049.5</v>
      </c>
    </row>
    <row r="3027" s="18" customFormat="1" ht="14.399999999999999" customHeight="1">
      <c r="A3027" s="10" t="s">
        <v>7526</v>
      </c>
      <c r="B3027" s="10" t="s">
        <v>7527</v>
      </c>
      <c r="C3027" s="13" t="n">
        <v>43211</v>
      </c>
      <c r="D3027" s="13" t="n">
        <v>69023</v>
      </c>
      <c r="E3027" s="6" t="n">
        <f>SUM(C3027,D3027)/2</f>
        <v>56117</v>
      </c>
      <c r="F3027" s="12" t="n">
        <v>13126</v>
      </c>
      <c r="G3027" s="12" t="n">
        <v>16727</v>
      </c>
      <c r="H3027" s="6" t="n">
        <f>SUM(F3027,G3027)/2</f>
        <v>14926.5</v>
      </c>
    </row>
    <row r="3028" s="18" customFormat="1" ht="14.399999999999999" customHeight="1">
      <c r="A3028" s="10" t="s">
        <v>7528</v>
      </c>
      <c r="B3028" s="10" t="s">
        <v>7529</v>
      </c>
      <c r="C3028" s="13" t="n">
        <v>44276</v>
      </c>
      <c r="D3028" s="13" t="n">
        <v>70726</v>
      </c>
      <c r="E3028" s="6" t="n">
        <f>SUM(C3028,D3028)/2</f>
        <v>57501</v>
      </c>
      <c r="F3028" s="12" t="n">
        <v>8479</v>
      </c>
      <c r="G3028" s="12" t="n">
        <v>14624</v>
      </c>
      <c r="H3028" s="6" t="n">
        <f>SUM(F3028,G3028)/2</f>
        <v>11551.5</v>
      </c>
    </row>
    <row r="3029" s="18" customFormat="1" ht="14.399999999999999" customHeight="1">
      <c r="A3029" s="10" t="s">
        <v>5153</v>
      </c>
      <c r="B3029" s="10" t="s">
        <v>7530</v>
      </c>
      <c r="C3029" s="13" t="n">
        <v>2625</v>
      </c>
      <c r="D3029" s="13" t="n">
        <v>4193</v>
      </c>
      <c r="E3029" s="6" t="n">
        <f>SUM(C3029,D3029)/2</f>
        <v>3409</v>
      </c>
      <c r="F3029" s="12" t="n">
        <v>5271</v>
      </c>
      <c r="G3029" s="12" t="n">
        <v>7591</v>
      </c>
      <c r="H3029" s="6" t="n">
        <f>SUM(F3029,G3029)/2</f>
        <v>6431</v>
      </c>
    </row>
    <row r="3030" s="18" customFormat="1" ht="14.399999999999999" customHeight="1">
      <c r="A3030" s="10" t="s">
        <v>4599</v>
      </c>
      <c r="B3030" s="10" t="s">
        <v>7531</v>
      </c>
      <c r="C3030" s="13" t="n">
        <v>11524</v>
      </c>
      <c r="D3030" s="13" t="n">
        <v>18408</v>
      </c>
      <c r="E3030" s="6" t="n">
        <f>SUM(C3030,D3030)/2</f>
        <v>14966</v>
      </c>
      <c r="F3030" s="12" t="n">
        <v>10647</v>
      </c>
      <c r="G3030" s="12" t="n">
        <v>11429</v>
      </c>
      <c r="H3030" s="6" t="n">
        <f>SUM(F3030,G3030)/2</f>
        <v>11038</v>
      </c>
    </row>
    <row r="3031" s="18" customFormat="1" ht="14.399999999999999" customHeight="1">
      <c r="A3031" s="10" t="s">
        <v>2420</v>
      </c>
      <c r="B3031" s="10" t="s">
        <v>7532</v>
      </c>
      <c r="C3031" s="10" t="n">
        <v>1</v>
      </c>
      <c r="D3031" s="10" t="n">
        <v>1</v>
      </c>
      <c r="E3031" s="6" t="n">
        <f>SUM(C3031,D3031)/2</f>
        <v>1</v>
      </c>
      <c r="F3031" s="18" t="n">
        <v>4</v>
      </c>
      <c r="G3031" s="18" t="n">
        <v>4</v>
      </c>
      <c r="H3031" s="6" t="n">
        <f>SUM(F3031,G3031)/2</f>
        <v>4</v>
      </c>
    </row>
    <row r="3032" s="18" customFormat="1" ht="14.399999999999999" customHeight="1">
      <c r="A3032" s="10" t="s">
        <v>7533</v>
      </c>
      <c r="B3032" s="10" t="s">
        <v>7534</v>
      </c>
      <c r="C3032" s="13" t="n">
        <v>92182</v>
      </c>
      <c r="D3032" s="13" t="n">
        <v>147252</v>
      </c>
      <c r="E3032" s="6" t="n">
        <f>SUM(C3032,D3032)/2</f>
        <v>119717</v>
      </c>
      <c r="F3032" s="12" t="n">
        <v>40232</v>
      </c>
      <c r="G3032" s="12" t="n">
        <v>57329</v>
      </c>
      <c r="H3032" s="6" t="n">
        <f>SUM(F3032,G3032)/2</f>
        <v>48780.5</v>
      </c>
    </row>
    <row r="3033" s="18" customFormat="1" ht="14.399999999999999" customHeight="1">
      <c r="A3033" s="10" t="s">
        <v>7535</v>
      </c>
      <c r="B3033" s="10" t="s">
        <v>7536</v>
      </c>
      <c r="C3033" s="13" t="n">
        <v>43930</v>
      </c>
      <c r="D3033" s="13" t="n">
        <v>70174</v>
      </c>
      <c r="E3033" s="6" t="n">
        <f>SUM(C3033,D3033)/2</f>
        <v>57052</v>
      </c>
      <c r="F3033" s="12" t="n">
        <v>10300</v>
      </c>
      <c r="G3033" s="12" t="n">
        <v>16078</v>
      </c>
      <c r="H3033" s="6" t="n">
        <f>SUM(F3033,G3033)/2</f>
        <v>13189</v>
      </c>
    </row>
    <row r="3034" s="18" customFormat="1" ht="14.399999999999999" customHeight="1">
      <c r="A3034" s="10" t="s">
        <v>686</v>
      </c>
      <c r="B3034" s="10" t="s">
        <v>687</v>
      </c>
      <c r="C3034" s="10" t="n">
        <v>442</v>
      </c>
      <c r="D3034" s="10" t="n">
        <v>706</v>
      </c>
      <c r="E3034" s="6" t="n">
        <f>SUM(C3034,D3034)/2</f>
        <v>574</v>
      </c>
      <c r="F3034" s="18" t="n">
        <v>178</v>
      </c>
      <c r="G3034" s="18" t="n">
        <v>199</v>
      </c>
      <c r="H3034" s="6" t="n">
        <f>SUM(F3034,G3034)/2</f>
        <v>188.5</v>
      </c>
    </row>
    <row r="3035" s="18" customFormat="1" ht="14.399999999999999" customHeight="1">
      <c r="A3035" s="10" t="s">
        <v>7537</v>
      </c>
      <c r="B3035" s="10" t="s">
        <v>7538</v>
      </c>
      <c r="C3035" s="13" t="n">
        <v>163737</v>
      </c>
      <c r="D3035" s="13" t="n">
        <v>261555</v>
      </c>
      <c r="E3035" s="6" t="n">
        <f>SUM(C3035,D3035)/2</f>
        <v>212646</v>
      </c>
      <c r="F3035" s="12" t="n">
        <v>42582</v>
      </c>
      <c r="G3035" s="12" t="n">
        <v>56023</v>
      </c>
      <c r="H3035" s="6" t="n">
        <f>SUM(F3035,G3035)/2</f>
        <v>49302.5</v>
      </c>
    </row>
    <row r="3036" s="18" customFormat="1" ht="14.399999999999999" customHeight="1">
      <c r="A3036" s="10" t="s">
        <v>7539</v>
      </c>
      <c r="B3036" s="10" t="s">
        <v>7540</v>
      </c>
      <c r="C3036" s="13" t="n">
        <v>33717</v>
      </c>
      <c r="D3036" s="13" t="n">
        <v>53860</v>
      </c>
      <c r="E3036" s="6" t="n">
        <f>SUM(C3036,D3036)/2</f>
        <v>43788.5</v>
      </c>
      <c r="F3036" s="12" t="n">
        <v>5425</v>
      </c>
      <c r="G3036" s="12" t="n">
        <v>7521</v>
      </c>
      <c r="H3036" s="6" t="n">
        <f>SUM(F3036,G3036)/2</f>
        <v>6473</v>
      </c>
    </row>
    <row r="3037" s="18" customFormat="1" ht="14.399999999999999" customHeight="1">
      <c r="A3037" s="10" t="s">
        <v>7541</v>
      </c>
      <c r="B3037" s="10" t="s">
        <v>7542</v>
      </c>
      <c r="C3037" s="13" t="n">
        <v>59025</v>
      </c>
      <c r="D3037" s="13" t="n">
        <v>94287</v>
      </c>
      <c r="E3037" s="6" t="n">
        <f>SUM(C3037,D3037)/2</f>
        <v>76656</v>
      </c>
      <c r="F3037" s="12" t="n">
        <v>11944</v>
      </c>
      <c r="G3037" s="12" t="n">
        <v>15490</v>
      </c>
      <c r="H3037" s="6" t="n">
        <f>SUM(F3037,G3037)/2</f>
        <v>13717</v>
      </c>
    </row>
    <row r="3038" s="18" customFormat="1" ht="14.399999999999999" customHeight="1">
      <c r="A3038" s="10" t="s">
        <v>7543</v>
      </c>
      <c r="B3038" s="10" t="s">
        <v>7544</v>
      </c>
      <c r="C3038" s="13" t="n">
        <v>104204</v>
      </c>
      <c r="D3038" s="13" t="n">
        <v>166458</v>
      </c>
      <c r="E3038" s="6" t="n">
        <f>SUM(C3038,D3038)/2</f>
        <v>135331</v>
      </c>
      <c r="F3038" s="12" t="n">
        <v>20170</v>
      </c>
      <c r="G3038" s="12" t="n">
        <v>29604</v>
      </c>
      <c r="H3038" s="6" t="n">
        <f>SUM(F3038,G3038)/2</f>
        <v>24887</v>
      </c>
    </row>
    <row r="3039" s="18" customFormat="1" ht="14.399999999999999" customHeight="1">
      <c r="A3039" s="10" t="s">
        <v>7545</v>
      </c>
      <c r="B3039" s="10" t="s">
        <v>7546</v>
      </c>
      <c r="C3039" s="13" t="n">
        <v>5806</v>
      </c>
      <c r="D3039" s="13" t="n">
        <v>9272</v>
      </c>
      <c r="E3039" s="6" t="n">
        <f>SUM(C3039,D3039)/2</f>
        <v>7539</v>
      </c>
      <c r="F3039" s="12" t="n">
        <v>4741</v>
      </c>
      <c r="G3039" s="12" t="n">
        <v>5500</v>
      </c>
      <c r="H3039" s="6" t="n">
        <f>SUM(F3039,G3039)/2</f>
        <v>5120.5</v>
      </c>
    </row>
    <row r="3040" s="18" customFormat="1" ht="14.399999999999999" customHeight="1">
      <c r="A3040" s="10" t="s">
        <v>1669</v>
      </c>
      <c r="B3040" s="10" t="s">
        <v>7547</v>
      </c>
      <c r="C3040" s="10" t="n">
        <v>35</v>
      </c>
      <c r="D3040" s="10" t="n">
        <v>55</v>
      </c>
      <c r="E3040" s="6" t="n">
        <f>SUM(C3040,D3040)/2</f>
        <v>45</v>
      </c>
      <c r="F3040" s="18" t="n">
        <v>23</v>
      </c>
      <c r="G3040" s="18" t="n">
        <v>39</v>
      </c>
      <c r="H3040" s="6" t="n">
        <f>SUM(F3040,G3040)/2</f>
        <v>31</v>
      </c>
    </row>
    <row r="3041" s="18" customFormat="1" ht="14.399999999999999" customHeight="1">
      <c r="A3041" s="10" t="s">
        <v>1583</v>
      </c>
      <c r="B3041" s="10" t="s">
        <v>7548</v>
      </c>
      <c r="C3041" s="10" t="n">
        <v>553</v>
      </c>
      <c r="D3041" s="10" t="n">
        <v>881</v>
      </c>
      <c r="E3041" s="6" t="n">
        <f>SUM(C3041,D3041)/2</f>
        <v>717</v>
      </c>
      <c r="F3041" s="18" t="n">
        <v>104</v>
      </c>
      <c r="G3041" s="18" t="n">
        <v>136</v>
      </c>
      <c r="H3041" s="6" t="n">
        <f>SUM(F3041,G3041)/2</f>
        <v>120</v>
      </c>
    </row>
    <row r="3042" s="18" customFormat="1" ht="14.399999999999999" customHeight="1">
      <c r="A3042" s="10" t="s">
        <v>7549</v>
      </c>
      <c r="B3042" s="10" t="s">
        <v>7550</v>
      </c>
      <c r="C3042" s="13" t="n">
        <v>65763</v>
      </c>
      <c r="D3042" s="13" t="n">
        <v>105049</v>
      </c>
      <c r="E3042" s="6" t="n">
        <f>SUM(C3042,D3042)/2</f>
        <v>85406</v>
      </c>
      <c r="F3042" s="12" t="n">
        <v>19960</v>
      </c>
      <c r="G3042" s="12" t="n">
        <v>28965</v>
      </c>
      <c r="H3042" s="6" t="n">
        <f>SUM(F3042,G3042)/2</f>
        <v>24462.5</v>
      </c>
    </row>
    <row r="3043" s="18" customFormat="1" ht="14.399999999999999" customHeight="1">
      <c r="A3043" s="10" t="s">
        <v>7551</v>
      </c>
      <c r="B3043" s="10" t="s">
        <v>7552</v>
      </c>
      <c r="C3043" s="13" t="n">
        <v>80312</v>
      </c>
      <c r="D3043" s="13" t="n">
        <v>128293</v>
      </c>
      <c r="E3043" s="6" t="n">
        <f>SUM(C3043,D3043)/2</f>
        <v>104302.5</v>
      </c>
      <c r="F3043" s="12" t="n">
        <v>117855</v>
      </c>
      <c r="G3043" s="12" t="n">
        <v>178874</v>
      </c>
      <c r="H3043" s="6" t="n">
        <f>SUM(F3043,G3043)/2</f>
        <v>148364.5</v>
      </c>
    </row>
    <row r="3044" s="18" customFormat="1" ht="14.399999999999999" customHeight="1">
      <c r="A3044" s="10" t="s">
        <v>7553</v>
      </c>
      <c r="B3044" s="10" t="s">
        <v>7554</v>
      </c>
      <c r="C3044" s="13" t="n">
        <v>56752</v>
      </c>
      <c r="D3044" s="13" t="n">
        <v>90652</v>
      </c>
      <c r="E3044" s="6" t="n">
        <f>SUM(C3044,D3044)/2</f>
        <v>73702</v>
      </c>
      <c r="F3044" s="12" t="n">
        <v>9093</v>
      </c>
      <c r="G3044" s="12" t="n">
        <v>11875</v>
      </c>
      <c r="H3044" s="6" t="n">
        <f>SUM(F3044,G3044)/2</f>
        <v>10484</v>
      </c>
    </row>
    <row r="3045" s="18" customFormat="1" ht="14.399999999999999" customHeight="1">
      <c r="A3045" s="10" t="s">
        <v>7555</v>
      </c>
      <c r="B3045" s="10" t="s">
        <v>7556</v>
      </c>
      <c r="C3045" s="13" t="n">
        <v>18495</v>
      </c>
      <c r="D3045" s="13" t="n">
        <v>29547</v>
      </c>
      <c r="E3045" s="6" t="n">
        <f>SUM(C3045,D3045)/2</f>
        <v>24021</v>
      </c>
      <c r="F3045" s="12" t="n">
        <v>9671</v>
      </c>
      <c r="G3045" s="12" t="n">
        <v>12938</v>
      </c>
      <c r="H3045" s="6" t="n">
        <f>SUM(F3045,G3045)/2</f>
        <v>11304.5</v>
      </c>
    </row>
    <row r="3046" s="18" customFormat="1" ht="14.399999999999999" customHeight="1">
      <c r="A3046" s="10" t="s">
        <v>7557</v>
      </c>
      <c r="B3046" s="10" t="s">
        <v>7558</v>
      </c>
      <c r="C3046" s="13" t="n">
        <v>19178</v>
      </c>
      <c r="D3046" s="13" t="n">
        <v>30636</v>
      </c>
      <c r="E3046" s="6" t="n">
        <f>SUM(C3046,D3046)/2</f>
        <v>24907</v>
      </c>
      <c r="F3046" s="12" t="n">
        <v>3580</v>
      </c>
      <c r="G3046" s="12" t="n">
        <v>4958</v>
      </c>
      <c r="H3046" s="6" t="n">
        <f>SUM(F3046,G3046)/2</f>
        <v>4269</v>
      </c>
    </row>
    <row r="3047" s="18" customFormat="1" ht="14.399999999999999" customHeight="1">
      <c r="A3047" s="10" t="s">
        <v>1368</v>
      </c>
      <c r="B3047" s="10" t="s">
        <v>7559</v>
      </c>
      <c r="C3047" s="13" t="n">
        <v>5707</v>
      </c>
      <c r="D3047" s="13" t="n">
        <v>9114</v>
      </c>
      <c r="E3047" s="6" t="n">
        <f>SUM(C3047,D3047)/2</f>
        <v>7410.5</v>
      </c>
      <c r="F3047" s="18" t="n">
        <v>198</v>
      </c>
      <c r="G3047" s="18" t="n">
        <v>282</v>
      </c>
      <c r="H3047" s="6" t="n">
        <f>SUM(F3047,G3047)/2</f>
        <v>240</v>
      </c>
    </row>
    <row r="3048" s="18" customFormat="1" ht="14.399999999999999" customHeight="1">
      <c r="A3048" s="10" t="s">
        <v>7560</v>
      </c>
      <c r="B3048" s="10" t="s">
        <v>7561</v>
      </c>
      <c r="C3048" s="13" t="n">
        <v>5914</v>
      </c>
      <c r="D3048" s="13" t="n">
        <v>9448</v>
      </c>
      <c r="E3048" s="6" t="n">
        <f>SUM(C3048,D3048)/2</f>
        <v>7681</v>
      </c>
      <c r="F3048" s="12" t="n">
        <v>2317</v>
      </c>
      <c r="G3048" s="12" t="n">
        <v>2926</v>
      </c>
      <c r="H3048" s="6" t="n">
        <f>SUM(F3048,G3048)/2</f>
        <v>2621.5</v>
      </c>
    </row>
    <row r="3049" s="18" customFormat="1" ht="14.399999999999999" customHeight="1">
      <c r="A3049" s="10" t="s">
        <v>7562</v>
      </c>
      <c r="B3049" s="10" t="s">
        <v>7563</v>
      </c>
      <c r="C3049" s="13" t="n">
        <v>29011</v>
      </c>
      <c r="D3049" s="13" t="n">
        <v>46341</v>
      </c>
      <c r="E3049" s="6" t="n">
        <f>SUM(C3049,D3049)/2</f>
        <v>37676</v>
      </c>
      <c r="F3049" s="12" t="n">
        <v>22077</v>
      </c>
      <c r="G3049" s="12" t="n">
        <v>34638</v>
      </c>
      <c r="H3049" s="6" t="n">
        <f>SUM(F3049,G3049)/2</f>
        <v>28357.5</v>
      </c>
    </row>
    <row r="3050" s="18" customFormat="1" ht="14.399999999999999" customHeight="1">
      <c r="A3050" s="10" t="s">
        <v>7564</v>
      </c>
      <c r="B3050" s="10" t="s">
        <v>7565</v>
      </c>
      <c r="C3050" s="13" t="n">
        <v>53896</v>
      </c>
      <c r="D3050" s="13" t="n">
        <v>86092</v>
      </c>
      <c r="E3050" s="6" t="n">
        <f>SUM(C3050,D3050)/2</f>
        <v>69994</v>
      </c>
      <c r="F3050" s="12" t="n">
        <v>8795</v>
      </c>
      <c r="G3050" s="12" t="n">
        <v>12264</v>
      </c>
      <c r="H3050" s="6" t="n">
        <f>SUM(F3050,G3050)/2</f>
        <v>10529.5</v>
      </c>
    </row>
    <row r="3051" s="18" customFormat="1" ht="14.399999999999999" customHeight="1">
      <c r="A3051" s="10" t="s">
        <v>3005</v>
      </c>
      <c r="B3051" s="10" t="s">
        <v>7566</v>
      </c>
      <c r="C3051" s="10" t="n">
        <v>0</v>
      </c>
      <c r="D3051" s="10" t="n">
        <v>0</v>
      </c>
      <c r="E3051" s="6" t="n">
        <f>SUM(C3051,D3051)/2</f>
        <v>0</v>
      </c>
      <c r="F3051" s="18" t="n">
        <v>0</v>
      </c>
      <c r="G3051" s="18" t="n">
        <v>0</v>
      </c>
      <c r="H3051" s="6" t="n">
        <f>SUM(F3051,G3051)/2</f>
        <v>0</v>
      </c>
    </row>
    <row r="3052" s="18" customFormat="1" ht="14.399999999999999" customHeight="1">
      <c r="A3052" s="10" t="s">
        <v>7567</v>
      </c>
      <c r="B3052" s="10" t="s">
        <v>7568</v>
      </c>
      <c r="C3052" s="13" t="n">
        <v>126708</v>
      </c>
      <c r="D3052" s="13" t="n">
        <v>202400</v>
      </c>
      <c r="E3052" s="6" t="n">
        <f>SUM(C3052,D3052)/2</f>
        <v>164554</v>
      </c>
      <c r="F3052" s="12" t="n">
        <v>27728</v>
      </c>
      <c r="G3052" s="12" t="n">
        <v>44972</v>
      </c>
      <c r="H3052" s="6" t="n">
        <f>SUM(F3052,G3052)/2</f>
        <v>36350</v>
      </c>
    </row>
    <row r="3053" s="18" customFormat="1" ht="14.399999999999999" customHeight="1">
      <c r="A3053" s="10" t="s">
        <v>2116</v>
      </c>
      <c r="B3053" s="10" t="s">
        <v>7569</v>
      </c>
      <c r="C3053" s="10" t="n">
        <v>22</v>
      </c>
      <c r="D3053" s="10" t="n">
        <v>32</v>
      </c>
      <c r="E3053" s="6" t="n">
        <f>SUM(C3053,D3053)/2</f>
        <v>27</v>
      </c>
      <c r="F3053" s="18" t="n">
        <v>2</v>
      </c>
      <c r="G3053" s="18" t="n">
        <v>4</v>
      </c>
      <c r="H3053" s="6" t="n">
        <f>SUM(F3053,G3053)/2</f>
        <v>3</v>
      </c>
    </row>
    <row r="3054" s="18" customFormat="1" ht="14.399999999999999" customHeight="1">
      <c r="A3054" s="10" t="s">
        <v>1869</v>
      </c>
      <c r="B3054" s="10" t="s">
        <v>7570</v>
      </c>
      <c r="C3054" s="10" t="n">
        <v>11</v>
      </c>
      <c r="D3054" s="10" t="n">
        <v>17</v>
      </c>
      <c r="E3054" s="6" t="n">
        <f>SUM(C3054,D3054)/2</f>
        <v>14</v>
      </c>
      <c r="F3054" s="18" t="n">
        <v>13</v>
      </c>
      <c r="G3054" s="18" t="n">
        <v>19</v>
      </c>
      <c r="H3054" s="6" t="n">
        <f>SUM(F3054,G3054)/2</f>
        <v>16</v>
      </c>
    </row>
    <row r="3055" s="18" customFormat="1" ht="14.399999999999999" customHeight="1">
      <c r="A3055" s="10" t="s">
        <v>7571</v>
      </c>
      <c r="B3055" s="10" t="s">
        <v>7572</v>
      </c>
      <c r="C3055" s="10" t="n">
        <v>187</v>
      </c>
      <c r="D3055" s="10" t="n">
        <v>299</v>
      </c>
      <c r="E3055" s="6" t="n">
        <f>SUM(C3055,D3055)/2</f>
        <v>243</v>
      </c>
      <c r="F3055" s="18" t="n">
        <v>164</v>
      </c>
      <c r="G3055" s="18" t="n">
        <v>181</v>
      </c>
      <c r="H3055" s="6" t="n">
        <f>SUM(F3055,G3055)/2</f>
        <v>172.5</v>
      </c>
    </row>
    <row r="3056" s="18" customFormat="1" ht="14.399999999999999" customHeight="1">
      <c r="A3056" s="10" t="s">
        <v>1841</v>
      </c>
      <c r="B3056" s="10" t="s">
        <v>7573</v>
      </c>
      <c r="C3056" s="10" t="n">
        <v>10</v>
      </c>
      <c r="D3056" s="10" t="n">
        <v>16</v>
      </c>
      <c r="E3056" s="6" t="n">
        <f>SUM(C3056,D3056)/2</f>
        <v>13</v>
      </c>
      <c r="F3056" s="18" t="n">
        <v>14</v>
      </c>
      <c r="G3056" s="18" t="n">
        <v>21</v>
      </c>
      <c r="H3056" s="6" t="n">
        <f>SUM(F3056,G3056)/2</f>
        <v>17.5</v>
      </c>
    </row>
    <row r="3057" s="18" customFormat="1" ht="14.399999999999999" customHeight="1">
      <c r="A3057" s="10" t="s">
        <v>7574</v>
      </c>
      <c r="B3057" s="10" t="s">
        <v>7575</v>
      </c>
      <c r="C3057" s="13" t="n">
        <v>72658</v>
      </c>
      <c r="D3057" s="13" t="n">
        <v>116064</v>
      </c>
      <c r="E3057" s="6" t="n">
        <f>SUM(C3057,D3057)/2</f>
        <v>94361</v>
      </c>
      <c r="F3057" s="12" t="n">
        <v>15768</v>
      </c>
      <c r="G3057" s="12" t="n">
        <v>18814</v>
      </c>
      <c r="H3057" s="6" t="n">
        <f>SUM(F3057,G3057)/2</f>
        <v>17291</v>
      </c>
    </row>
    <row r="3058" s="18" customFormat="1" ht="14.399999999999999" customHeight="1">
      <c r="A3058" s="10" t="s">
        <v>7576</v>
      </c>
      <c r="B3058" s="10" t="s">
        <v>7577</v>
      </c>
      <c r="C3058" s="13" t="n">
        <v>10665</v>
      </c>
      <c r="D3058" s="13" t="n">
        <v>17035</v>
      </c>
      <c r="E3058" s="6" t="n">
        <f>SUM(C3058,D3058)/2</f>
        <v>13850</v>
      </c>
      <c r="F3058" s="12" t="n">
        <v>5257</v>
      </c>
      <c r="G3058" s="12" t="n">
        <v>7370</v>
      </c>
      <c r="H3058" s="6" t="n">
        <f>SUM(F3058,G3058)/2</f>
        <v>6313.5</v>
      </c>
    </row>
    <row r="3059" s="18" customFormat="1" ht="14.399999999999999" customHeight="1">
      <c r="A3059" s="10" t="s">
        <v>2394</v>
      </c>
      <c r="B3059" s="10" t="s">
        <v>7578</v>
      </c>
      <c r="C3059" s="10" t="n">
        <v>13</v>
      </c>
      <c r="D3059" s="10" t="n">
        <v>21</v>
      </c>
      <c r="E3059" s="6" t="n">
        <f>SUM(C3059,D3059)/2</f>
        <v>17</v>
      </c>
      <c r="F3059" s="18" t="n">
        <v>1</v>
      </c>
      <c r="G3059" s="18" t="n">
        <v>1</v>
      </c>
      <c r="H3059" s="6" t="n">
        <f>SUM(F3059,G3059)/2</f>
        <v>1</v>
      </c>
    </row>
    <row r="3060" s="18" customFormat="1" ht="14.399999999999999" customHeight="1">
      <c r="A3060" s="10" t="s">
        <v>7579</v>
      </c>
      <c r="B3060" s="10" t="s">
        <v>7580</v>
      </c>
      <c r="C3060" s="13" t="n">
        <v>19509</v>
      </c>
      <c r="D3060" s="13" t="n">
        <v>31163</v>
      </c>
      <c r="E3060" s="6" t="n">
        <f>SUM(C3060,D3060)/2</f>
        <v>25336</v>
      </c>
      <c r="F3060" s="12" t="n">
        <v>5396</v>
      </c>
      <c r="G3060" s="12" t="n">
        <v>9891</v>
      </c>
      <c r="H3060" s="6" t="n">
        <f>SUM(F3060,G3060)/2</f>
        <v>7643.5</v>
      </c>
    </row>
    <row r="3061" s="18" customFormat="1" ht="14.399999999999999" customHeight="1">
      <c r="A3061" s="10" t="s">
        <v>7581</v>
      </c>
      <c r="B3061" s="10" t="s">
        <v>7582</v>
      </c>
      <c r="C3061" s="13" t="n">
        <v>565022</v>
      </c>
      <c r="D3061" s="13" t="n">
        <v>902567</v>
      </c>
      <c r="E3061" s="6" t="n">
        <f>SUM(C3061,D3061)/2</f>
        <v>733794.5</v>
      </c>
      <c r="F3061" s="12" t="n">
        <v>25098</v>
      </c>
      <c r="G3061" s="12" t="n">
        <v>43588</v>
      </c>
      <c r="H3061" s="6" t="n">
        <f>SUM(F3061,G3061)/2</f>
        <v>34343</v>
      </c>
    </row>
    <row r="3062" s="18" customFormat="1" ht="14.399999999999999" customHeight="1">
      <c r="A3062" s="10" t="s">
        <v>7583</v>
      </c>
      <c r="B3062" s="10" t="s">
        <v>7584</v>
      </c>
      <c r="C3062" s="13" t="n">
        <v>32835</v>
      </c>
      <c r="D3062" s="13" t="n">
        <v>52453</v>
      </c>
      <c r="E3062" s="6" t="n">
        <f>SUM(C3062,D3062)/2</f>
        <v>42644</v>
      </c>
      <c r="F3062" s="12" t="n">
        <v>4724</v>
      </c>
      <c r="G3062" s="12" t="n">
        <v>9349</v>
      </c>
      <c r="H3062" s="6" t="n">
        <f>SUM(F3062,G3062)/2</f>
        <v>7036.5</v>
      </c>
    </row>
    <row r="3063" s="18" customFormat="1" ht="14.399999999999999" customHeight="1">
      <c r="A3063" s="10" t="s">
        <v>1992</v>
      </c>
      <c r="B3063" s="10" t="s">
        <v>7585</v>
      </c>
      <c r="C3063" s="10" t="n">
        <v>5</v>
      </c>
      <c r="D3063" s="10" t="n">
        <v>5</v>
      </c>
      <c r="E3063" s="6" t="n">
        <f>SUM(C3063,D3063)/2</f>
        <v>5</v>
      </c>
      <c r="F3063" s="18" t="n">
        <v>10</v>
      </c>
      <c r="G3063" s="18" t="n">
        <v>14</v>
      </c>
      <c r="H3063" s="6" t="n">
        <f>SUM(F3063,G3063)/2</f>
        <v>12</v>
      </c>
    </row>
    <row r="3064" s="18" customFormat="1" ht="14.399999999999999" customHeight="1">
      <c r="A3064" s="10" t="s">
        <v>3123</v>
      </c>
      <c r="B3064" s="10" t="s">
        <v>7586</v>
      </c>
      <c r="C3064" s="13" t="n">
        <v>141895</v>
      </c>
      <c r="D3064" s="13" t="n">
        <v>226667</v>
      </c>
      <c r="E3064" s="6" t="n">
        <f>SUM(C3064,D3064)/2</f>
        <v>184281</v>
      </c>
      <c r="F3064" s="12" t="n">
        <v>31519</v>
      </c>
      <c r="G3064" s="12" t="n">
        <v>45992</v>
      </c>
      <c r="H3064" s="6" t="n">
        <f>SUM(F3064,G3064)/2</f>
        <v>38755.5</v>
      </c>
    </row>
    <row r="3065" s="18" customFormat="1" ht="14.399999999999999" customHeight="1">
      <c r="A3065" s="10" t="s">
        <v>5300</v>
      </c>
      <c r="B3065" s="10" t="s">
        <v>7587</v>
      </c>
      <c r="C3065" s="13" t="n">
        <v>1406</v>
      </c>
      <c r="D3065" s="13" t="n">
        <v>2246</v>
      </c>
      <c r="E3065" s="6" t="n">
        <f>SUM(C3065,D3065)/2</f>
        <v>1826</v>
      </c>
      <c r="F3065" s="18" t="n">
        <v>399</v>
      </c>
      <c r="G3065" s="18" t="n">
        <v>470</v>
      </c>
      <c r="H3065" s="6" t="n">
        <f>SUM(F3065,G3065)/2</f>
        <v>434.5</v>
      </c>
    </row>
    <row r="3066" s="18" customFormat="1" ht="14.399999999999999" customHeight="1">
      <c r="A3066" s="10" t="s">
        <v>7588</v>
      </c>
      <c r="B3066" s="10" t="s">
        <v>7589</v>
      </c>
      <c r="C3066" s="13" t="n">
        <v>19516</v>
      </c>
      <c r="D3066" s="13" t="n">
        <v>31174</v>
      </c>
      <c r="E3066" s="6" t="n">
        <f>SUM(C3066,D3066)/2</f>
        <v>25345</v>
      </c>
      <c r="F3066" s="12" t="n">
        <v>2548</v>
      </c>
      <c r="G3066" s="12" t="n">
        <v>3901</v>
      </c>
      <c r="H3066" s="6" t="n">
        <f>SUM(F3066,G3066)/2</f>
        <v>3224.5</v>
      </c>
    </row>
    <row r="3067" s="18" customFormat="1" ht="14.399999999999999" customHeight="1">
      <c r="A3067" s="10" t="s">
        <v>3331</v>
      </c>
      <c r="B3067" s="10" t="s">
        <v>7590</v>
      </c>
      <c r="C3067" s="13" t="n">
        <v>87758</v>
      </c>
      <c r="D3067" s="13" t="n">
        <v>140184</v>
      </c>
      <c r="E3067" s="6" t="n">
        <f>SUM(C3067,D3067)/2</f>
        <v>113971</v>
      </c>
      <c r="F3067" s="12" t="n">
        <v>23632</v>
      </c>
      <c r="G3067" s="12" t="n">
        <v>28312</v>
      </c>
      <c r="H3067" s="6" t="n">
        <f>SUM(F3067,G3067)/2</f>
        <v>25972</v>
      </c>
    </row>
    <row r="3068" s="18" customFormat="1" ht="14.399999999999999" customHeight="1">
      <c r="A3068" s="10" t="s">
        <v>2777</v>
      </c>
      <c r="B3068" s="10" t="s">
        <v>7591</v>
      </c>
      <c r="C3068" s="10" t="n">
        <v>2</v>
      </c>
      <c r="D3068" s="10" t="n">
        <v>2</v>
      </c>
      <c r="E3068" s="6" t="n">
        <f>SUM(C3068,D3068)/2</f>
        <v>2</v>
      </c>
      <c r="F3068" s="18" t="n">
        <v>0</v>
      </c>
      <c r="G3068" s="18" t="n">
        <v>0</v>
      </c>
      <c r="H3068" s="6" t="n">
        <f>SUM(F3068,G3068)/2</f>
        <v>0</v>
      </c>
    </row>
    <row r="3069" s="18" customFormat="1" ht="14.399999999999999" customHeight="1">
      <c r="A3069" s="10" t="s">
        <v>1553</v>
      </c>
      <c r="B3069" s="10" t="s">
        <v>7592</v>
      </c>
      <c r="C3069" s="10" t="n">
        <v>31</v>
      </c>
      <c r="D3069" s="10" t="n">
        <v>49</v>
      </c>
      <c r="E3069" s="6" t="n">
        <f>SUM(C3069,D3069)/2</f>
        <v>40</v>
      </c>
      <c r="F3069" s="18" t="n">
        <v>41</v>
      </c>
      <c r="G3069" s="18" t="n">
        <v>47</v>
      </c>
      <c r="H3069" s="6" t="n">
        <f>SUM(F3069,G3069)/2</f>
        <v>44</v>
      </c>
    </row>
    <row r="3070" s="18" customFormat="1" ht="14.399999999999999" customHeight="1">
      <c r="A3070" s="10" t="s">
        <v>1393</v>
      </c>
      <c r="B3070" s="10" t="s">
        <v>7593</v>
      </c>
      <c r="C3070" s="10" t="n">
        <v>7</v>
      </c>
      <c r="D3070" s="10" t="n">
        <v>9</v>
      </c>
      <c r="E3070" s="6" t="n">
        <f>SUM(C3070,D3070)/2</f>
        <v>8</v>
      </c>
      <c r="F3070" s="18" t="n">
        <v>4</v>
      </c>
      <c r="G3070" s="18" t="n">
        <v>4</v>
      </c>
      <c r="H3070" s="6" t="n">
        <f>SUM(F3070,G3070)/2</f>
        <v>4</v>
      </c>
    </row>
    <row r="3071" s="18" customFormat="1" ht="14.399999999999999" customHeight="1">
      <c r="A3071" s="10" t="s">
        <v>7594</v>
      </c>
      <c r="B3071" s="10" t="s">
        <v>7595</v>
      </c>
      <c r="C3071" s="13" t="n">
        <v>132239</v>
      </c>
      <c r="D3071" s="13" t="n">
        <v>211239</v>
      </c>
      <c r="E3071" s="6" t="n">
        <f>SUM(C3071,D3071)/2</f>
        <v>171739</v>
      </c>
      <c r="F3071" s="12" t="n">
        <v>14951</v>
      </c>
      <c r="G3071" s="12" t="n">
        <v>23698</v>
      </c>
      <c r="H3071" s="6" t="n">
        <f>SUM(F3071,G3071)/2</f>
        <v>19324.5</v>
      </c>
    </row>
    <row r="3072" s="18" customFormat="1" ht="14.399999999999999" customHeight="1">
      <c r="A3072" s="10" t="s">
        <v>7596</v>
      </c>
      <c r="B3072" s="10" t="s">
        <v>7597</v>
      </c>
      <c r="C3072" s="10" t="n">
        <v>133</v>
      </c>
      <c r="D3072" s="10" t="n">
        <v>211</v>
      </c>
      <c r="E3072" s="6" t="n">
        <f>SUM(C3072,D3072)/2</f>
        <v>172</v>
      </c>
      <c r="F3072" s="18" t="n">
        <v>44</v>
      </c>
      <c r="G3072" s="18" t="n">
        <v>65</v>
      </c>
      <c r="H3072" s="6" t="n">
        <f>SUM(F3072,G3072)/2</f>
        <v>54.5</v>
      </c>
    </row>
    <row r="3073" s="18" customFormat="1" ht="14.399999999999999" customHeight="1">
      <c r="A3073" s="10" t="s">
        <v>7598</v>
      </c>
      <c r="B3073" s="10" t="s">
        <v>7599</v>
      </c>
      <c r="C3073" s="10" t="n">
        <v>2</v>
      </c>
      <c r="D3073" s="10" t="n">
        <v>4</v>
      </c>
      <c r="E3073" s="6" t="n">
        <f>SUM(C3073,D3073)/2</f>
        <v>3</v>
      </c>
      <c r="F3073" s="18" t="n">
        <v>0</v>
      </c>
      <c r="G3073" s="18" t="n">
        <v>0</v>
      </c>
      <c r="H3073" s="6" t="n">
        <f>SUM(F3073,G3073)/2</f>
        <v>0</v>
      </c>
    </row>
    <row r="3074" s="18" customFormat="1" ht="14.399999999999999" customHeight="1">
      <c r="A3074" s="10" t="s">
        <v>2550</v>
      </c>
      <c r="B3074" s="10" t="s">
        <v>7600</v>
      </c>
      <c r="C3074" s="10" t="n">
        <v>0</v>
      </c>
      <c r="D3074" s="10" t="n">
        <v>0</v>
      </c>
      <c r="E3074" s="6" t="n">
        <f>SUM(C3074,D3074)/2</f>
        <v>0</v>
      </c>
      <c r="F3074" s="18" t="n">
        <v>2</v>
      </c>
      <c r="G3074" s="18" t="n">
        <v>3</v>
      </c>
      <c r="H3074" s="6" t="n">
        <f>SUM(F3074,G3074)/2</f>
        <v>2.5</v>
      </c>
    </row>
    <row r="3075" s="18" customFormat="1" ht="14.399999999999999" customHeight="1">
      <c r="A3075" s="10" t="s">
        <v>3337</v>
      </c>
      <c r="B3075" s="10" t="s">
        <v>7601</v>
      </c>
      <c r="C3075" s="13" t="n">
        <v>83133</v>
      </c>
      <c r="D3075" s="13" t="n">
        <v>132794</v>
      </c>
      <c r="E3075" s="6" t="n">
        <f>SUM(C3075,D3075)/2</f>
        <v>107963.5</v>
      </c>
      <c r="F3075" s="12" t="n">
        <v>23166</v>
      </c>
      <c r="G3075" s="12" t="n">
        <v>31060</v>
      </c>
      <c r="H3075" s="6" t="n">
        <f>SUM(F3075,G3075)/2</f>
        <v>27113</v>
      </c>
    </row>
    <row r="3076" s="18" customFormat="1" ht="14.399999999999999" customHeight="1">
      <c r="A3076" s="10" t="s">
        <v>2779</v>
      </c>
      <c r="B3076" s="10" t="s">
        <v>7602</v>
      </c>
      <c r="C3076" s="10" t="n">
        <v>2</v>
      </c>
      <c r="D3076" s="10" t="n">
        <v>2</v>
      </c>
      <c r="E3076" s="6" t="n">
        <f>SUM(C3076,D3076)/2</f>
        <v>2</v>
      </c>
      <c r="F3076" s="18" t="n">
        <v>0</v>
      </c>
      <c r="G3076" s="18" t="n">
        <v>0</v>
      </c>
      <c r="H3076" s="6" t="n">
        <f>SUM(F3076,G3076)/2</f>
        <v>0</v>
      </c>
    </row>
    <row r="3077" s="18" customFormat="1" ht="14.399999999999999" customHeight="1">
      <c r="A3077" s="10" t="s">
        <v>7603</v>
      </c>
      <c r="B3077" s="10" t="s">
        <v>7604</v>
      </c>
      <c r="C3077" s="13" t="n">
        <v>23939</v>
      </c>
      <c r="D3077" s="13" t="n">
        <v>38239</v>
      </c>
      <c r="E3077" s="6" t="n">
        <f>SUM(C3077,D3077)/2</f>
        <v>31089</v>
      </c>
      <c r="F3077" s="12" t="n">
        <v>3404</v>
      </c>
      <c r="G3077" s="12" t="n">
        <v>9596</v>
      </c>
      <c r="H3077" s="6" t="n">
        <f>SUM(F3077,G3077)/2</f>
        <v>6500</v>
      </c>
    </row>
    <row r="3078" s="18" customFormat="1" ht="14.399999999999999" customHeight="1">
      <c r="A3078" s="10" t="s">
        <v>1899</v>
      </c>
      <c r="B3078" s="10" t="s">
        <v>7605</v>
      </c>
      <c r="C3078" s="10" t="n">
        <v>20</v>
      </c>
      <c r="D3078" s="10" t="n">
        <v>34</v>
      </c>
      <c r="E3078" s="6" t="n">
        <f>SUM(C3078,D3078)/2</f>
        <v>27</v>
      </c>
      <c r="F3078" s="18" t="n">
        <v>4</v>
      </c>
      <c r="G3078" s="18" t="n">
        <v>19</v>
      </c>
      <c r="H3078" s="6" t="n">
        <f>SUM(F3078,G3078)/2</f>
        <v>11.5</v>
      </c>
    </row>
    <row r="3079" s="18" customFormat="1" ht="14.399999999999999" customHeight="1">
      <c r="A3079" s="10" t="s">
        <v>2110</v>
      </c>
      <c r="B3079" s="10" t="s">
        <v>7606</v>
      </c>
      <c r="C3079" s="10" t="n">
        <v>211</v>
      </c>
      <c r="D3079" s="10" t="n">
        <v>339</v>
      </c>
      <c r="E3079" s="6" t="n">
        <f>SUM(C3079,D3079)/2</f>
        <v>275</v>
      </c>
      <c r="F3079" s="18" t="n">
        <v>313</v>
      </c>
      <c r="G3079" s="18" t="n">
        <v>447</v>
      </c>
      <c r="H3079" s="6" t="n">
        <f>SUM(F3079,G3079)/2</f>
        <v>380</v>
      </c>
    </row>
    <row r="3080" s="18" customFormat="1" ht="14.399999999999999" customHeight="1">
      <c r="A3080" s="10" t="s">
        <v>4985</v>
      </c>
      <c r="B3080" s="10" t="s">
        <v>7607</v>
      </c>
      <c r="C3080" s="13" t="n">
        <v>7282</v>
      </c>
      <c r="D3080" s="13" t="n">
        <v>11630</v>
      </c>
      <c r="E3080" s="6" t="n">
        <f>SUM(C3080,D3080)/2</f>
        <v>9456</v>
      </c>
      <c r="F3080" s="12" t="n">
        <v>6629</v>
      </c>
      <c r="G3080" s="12" t="n">
        <v>9018</v>
      </c>
      <c r="H3080" s="6" t="n">
        <f>SUM(F3080,G3080)/2</f>
        <v>7823.5</v>
      </c>
    </row>
    <row r="3081" s="18" customFormat="1" ht="14.399999999999999" customHeight="1">
      <c r="A3081" s="10" t="s">
        <v>2148</v>
      </c>
      <c r="B3081" s="10" t="s">
        <v>7608</v>
      </c>
      <c r="C3081" s="10" t="n">
        <v>24</v>
      </c>
      <c r="D3081" s="10" t="n">
        <v>38</v>
      </c>
      <c r="E3081" s="6" t="n">
        <f>SUM(C3081,D3081)/2</f>
        <v>31</v>
      </c>
      <c r="F3081" s="18" t="n">
        <v>1</v>
      </c>
      <c r="G3081" s="18" t="n">
        <v>2</v>
      </c>
      <c r="H3081" s="6" t="n">
        <f>SUM(F3081,G3081)/2</f>
        <v>1.5</v>
      </c>
    </row>
    <row r="3082" s="18" customFormat="1" ht="14.399999999999999" customHeight="1">
      <c r="A3082" s="10" t="s">
        <v>3007</v>
      </c>
      <c r="B3082" s="10" t="s">
        <v>7609</v>
      </c>
      <c r="C3082" s="10" t="n">
        <v>0</v>
      </c>
      <c r="D3082" s="10" t="n">
        <v>0</v>
      </c>
      <c r="E3082" s="6" t="n">
        <f>SUM(C3082,D3082)/2</f>
        <v>0</v>
      </c>
      <c r="F3082" s="18" t="n">
        <v>0</v>
      </c>
      <c r="G3082" s="18" t="n">
        <v>0</v>
      </c>
      <c r="H3082" s="6" t="n">
        <f>SUM(F3082,G3082)/2</f>
        <v>0</v>
      </c>
    </row>
    <row r="3083" s="18" customFormat="1" ht="14.399999999999999" customHeight="1">
      <c r="A3083" s="10" t="s">
        <v>176</v>
      </c>
      <c r="B3083" s="10" t="s">
        <v>7610</v>
      </c>
      <c r="C3083" s="13" t="n">
        <v>2820</v>
      </c>
      <c r="D3083" s="13" t="n">
        <v>4508</v>
      </c>
      <c r="E3083" s="6" t="n">
        <f>SUM(C3083,D3083)/2</f>
        <v>3664</v>
      </c>
      <c r="F3083" s="18" t="n">
        <v>1379</v>
      </c>
      <c r="G3083" s="18" t="n">
        <v>1585</v>
      </c>
      <c r="H3083" s="6" t="n">
        <f>SUM(F3083,G3083)/2</f>
        <v>1482</v>
      </c>
    </row>
    <row r="3084" s="18" customFormat="1" ht="14.399999999999999" customHeight="1">
      <c r="A3084" s="10" t="s">
        <v>5366</v>
      </c>
      <c r="B3084" s="10" t="s">
        <v>7611</v>
      </c>
      <c r="C3084" s="13" t="n">
        <v>1242</v>
      </c>
      <c r="D3084" s="13" t="n">
        <v>1985</v>
      </c>
      <c r="E3084" s="6" t="n">
        <f>SUM(C3084,D3084)/2</f>
        <v>1613.5</v>
      </c>
      <c r="F3084" s="18" t="n">
        <v>65</v>
      </c>
      <c r="G3084" s="18" t="n">
        <v>111</v>
      </c>
      <c r="H3084" s="6" t="n">
        <f>SUM(F3084,G3084)/2</f>
        <v>88</v>
      </c>
    </row>
    <row r="3085" s="18" customFormat="1" ht="14.399999999999999" customHeight="1">
      <c r="A3085" s="10" t="s">
        <v>7612</v>
      </c>
      <c r="B3085" s="10" t="s">
        <v>7613</v>
      </c>
      <c r="C3085" s="13" t="n">
        <v>136745</v>
      </c>
      <c r="D3085" s="13" t="n">
        <v>218437</v>
      </c>
      <c r="E3085" s="6" t="n">
        <f>SUM(C3085,D3085)/2</f>
        <v>177591</v>
      </c>
      <c r="F3085" s="12" t="n">
        <v>41753</v>
      </c>
      <c r="G3085" s="12" t="n">
        <v>55377</v>
      </c>
      <c r="H3085" s="6" t="n">
        <f>SUM(F3085,G3085)/2</f>
        <v>48565</v>
      </c>
    </row>
    <row r="3086" s="18" customFormat="1" ht="14.399999999999999" customHeight="1">
      <c r="A3086" s="10" t="s">
        <v>7614</v>
      </c>
      <c r="B3086" s="10" t="s">
        <v>7615</v>
      </c>
      <c r="C3086" s="13" t="n">
        <v>43056</v>
      </c>
      <c r="D3086" s="13" t="n">
        <v>68778</v>
      </c>
      <c r="E3086" s="6" t="n">
        <f>SUM(C3086,D3086)/2</f>
        <v>55917</v>
      </c>
      <c r="F3086" s="12" t="n">
        <v>13445</v>
      </c>
      <c r="G3086" s="12" t="n">
        <v>18627</v>
      </c>
      <c r="H3086" s="6" t="n">
        <f>SUM(F3086,G3086)/2</f>
        <v>16036</v>
      </c>
    </row>
    <row r="3087" s="18" customFormat="1" ht="14.399999999999999" customHeight="1">
      <c r="A3087" s="10" t="s">
        <v>7616</v>
      </c>
      <c r="B3087" s="10" t="s">
        <v>7617</v>
      </c>
      <c r="C3087" s="13" t="n">
        <v>37672</v>
      </c>
      <c r="D3087" s="13" t="n">
        <v>60176</v>
      </c>
      <c r="E3087" s="6" t="n">
        <f>SUM(C3087,D3087)/2</f>
        <v>48924</v>
      </c>
      <c r="F3087" s="12" t="n">
        <v>5419</v>
      </c>
      <c r="G3087" s="12" t="n">
        <v>8277</v>
      </c>
      <c r="H3087" s="6" t="n">
        <f>SUM(F3087,G3087)/2</f>
        <v>6848</v>
      </c>
    </row>
    <row r="3088" s="18" customFormat="1" ht="14.399999999999999" customHeight="1">
      <c r="A3088" s="10" t="s">
        <v>5472</v>
      </c>
      <c r="B3088" s="10" t="s">
        <v>7618</v>
      </c>
      <c r="C3088" s="10" t="n">
        <v>634</v>
      </c>
      <c r="D3088" s="13" t="n">
        <v>1010</v>
      </c>
      <c r="E3088" s="6" t="n">
        <f>SUM(C3088,D3088)/2</f>
        <v>822</v>
      </c>
      <c r="F3088" s="18" t="n">
        <v>18</v>
      </c>
      <c r="G3088" s="18" t="n">
        <v>27</v>
      </c>
      <c r="H3088" s="6" t="n">
        <f>SUM(F3088,G3088)/2</f>
        <v>22.5</v>
      </c>
    </row>
    <row r="3089" s="18" customFormat="1" ht="14.399999999999999" customHeight="1">
      <c r="A3089" s="10" t="s">
        <v>2458</v>
      </c>
      <c r="B3089" s="10" t="s">
        <v>7619</v>
      </c>
      <c r="C3089" s="10" t="n">
        <v>13</v>
      </c>
      <c r="D3089" s="10" t="n">
        <v>21</v>
      </c>
      <c r="E3089" s="6" t="n">
        <f>SUM(C3089,D3089)/2</f>
        <v>17</v>
      </c>
      <c r="F3089" s="18" t="n">
        <v>0</v>
      </c>
      <c r="G3089" s="18" t="n">
        <v>0</v>
      </c>
      <c r="H3089" s="6" t="n">
        <f>SUM(F3089,G3089)/2</f>
        <v>0</v>
      </c>
    </row>
    <row r="3090" s="18" customFormat="1" ht="14.399999999999999" customHeight="1">
      <c r="A3090" s="10" t="s">
        <v>7620</v>
      </c>
      <c r="B3090" s="10" t="s">
        <v>7621</v>
      </c>
      <c r="C3090" s="13" t="n">
        <v>14644</v>
      </c>
      <c r="D3090" s="13" t="n">
        <v>23394</v>
      </c>
      <c r="E3090" s="6" t="n">
        <f>SUM(C3090,D3090)/2</f>
        <v>19019</v>
      </c>
      <c r="F3090" s="12" t="n">
        <v>6192</v>
      </c>
      <c r="G3090" s="12" t="n">
        <v>8365</v>
      </c>
      <c r="H3090" s="6" t="n">
        <f>SUM(F3090,G3090)/2</f>
        <v>7278.5</v>
      </c>
    </row>
    <row r="3091" s="18" customFormat="1" ht="14.399999999999999" customHeight="1">
      <c r="A3091" s="10" t="s">
        <v>1565</v>
      </c>
      <c r="B3091" s="10" t="s">
        <v>7622</v>
      </c>
      <c r="C3091" s="10" t="n">
        <v>164</v>
      </c>
      <c r="D3091" s="10" t="n">
        <v>262</v>
      </c>
      <c r="E3091" s="6" t="n">
        <f>SUM(C3091,D3091)/2</f>
        <v>213</v>
      </c>
      <c r="F3091" s="18" t="n">
        <v>3</v>
      </c>
      <c r="G3091" s="18" t="n">
        <v>5</v>
      </c>
      <c r="H3091" s="6" t="n">
        <f>SUM(F3091,G3091)/2</f>
        <v>4</v>
      </c>
    </row>
    <row r="3092" s="18" customFormat="1" ht="14.399999999999999" customHeight="1">
      <c r="A3092" s="10" t="s">
        <v>7623</v>
      </c>
      <c r="B3092" s="10" t="s">
        <v>7624</v>
      </c>
      <c r="C3092" s="13" t="n">
        <v>37821</v>
      </c>
      <c r="D3092" s="13" t="n">
        <v>60413</v>
      </c>
      <c r="E3092" s="6" t="n">
        <f>SUM(C3092,D3092)/2</f>
        <v>49117</v>
      </c>
      <c r="F3092" s="12" t="n">
        <v>15666</v>
      </c>
      <c r="G3092" s="12" t="n">
        <v>19906</v>
      </c>
      <c r="H3092" s="6" t="n">
        <f>SUM(F3092,G3092)/2</f>
        <v>17786</v>
      </c>
    </row>
    <row r="3093" s="18" customFormat="1" ht="14.399999999999999" customHeight="1">
      <c r="A3093" s="10" t="s">
        <v>1415</v>
      </c>
      <c r="B3093" s="10" t="s">
        <v>7625</v>
      </c>
      <c r="C3093" s="10" t="n">
        <v>55</v>
      </c>
      <c r="D3093" s="10" t="n">
        <v>87</v>
      </c>
      <c r="E3093" s="6" t="n">
        <f>SUM(C3093,D3093)/2</f>
        <v>71</v>
      </c>
      <c r="F3093" s="18" t="n">
        <v>28</v>
      </c>
      <c r="G3093" s="18" t="n">
        <v>40</v>
      </c>
      <c r="H3093" s="6" t="n">
        <f>SUM(F3093,G3093)/2</f>
        <v>34</v>
      </c>
    </row>
    <row r="3094" s="18" customFormat="1" ht="14.399999999999999" customHeight="1">
      <c r="A3094" s="10" t="s">
        <v>1645</v>
      </c>
      <c r="B3094" s="10" t="s">
        <v>7626</v>
      </c>
      <c r="C3094" s="10" t="n">
        <v>53</v>
      </c>
      <c r="D3094" s="10" t="n">
        <v>83</v>
      </c>
      <c r="E3094" s="6" t="n">
        <f>SUM(C3094,D3094)/2</f>
        <v>68</v>
      </c>
      <c r="F3094" s="18" t="n">
        <v>23</v>
      </c>
      <c r="G3094" s="18" t="n">
        <v>36</v>
      </c>
      <c r="H3094" s="6" t="n">
        <f>SUM(F3094,G3094)/2</f>
        <v>29.5</v>
      </c>
    </row>
    <row r="3095" s="18" customFormat="1" ht="14.399999999999999" customHeight="1">
      <c r="A3095" s="10" t="s">
        <v>586</v>
      </c>
      <c r="B3095" s="10" t="s">
        <v>587</v>
      </c>
      <c r="C3095" s="10" t="n">
        <v>551</v>
      </c>
      <c r="D3095" s="10" t="n">
        <v>881</v>
      </c>
      <c r="E3095" s="6" t="n">
        <f>SUM(C3095,D3095)/2</f>
        <v>716</v>
      </c>
      <c r="F3095" s="18" t="n">
        <v>3</v>
      </c>
      <c r="G3095" s="18" t="n">
        <v>3</v>
      </c>
      <c r="H3095" s="6" t="n">
        <f>SUM(F3095,G3095)/2</f>
        <v>3</v>
      </c>
    </row>
    <row r="3096" s="18" customFormat="1" ht="14.399999999999999" customHeight="1">
      <c r="A3096" s="10" t="s">
        <v>1603</v>
      </c>
      <c r="B3096" s="10" t="s">
        <v>7627</v>
      </c>
      <c r="C3096" s="10" t="n">
        <v>160</v>
      </c>
      <c r="D3096" s="10" t="n">
        <v>256</v>
      </c>
      <c r="E3096" s="6" t="n">
        <f>SUM(C3096,D3096)/2</f>
        <v>208</v>
      </c>
      <c r="F3096" s="18" t="n">
        <v>192</v>
      </c>
      <c r="G3096" s="18" t="n">
        <v>213</v>
      </c>
      <c r="H3096" s="6" t="n">
        <f>SUM(F3096,G3096)/2</f>
        <v>202.5</v>
      </c>
    </row>
    <row r="3097" s="18" customFormat="1" ht="14.399999999999999" customHeight="1">
      <c r="A3097" s="10" t="s">
        <v>7628</v>
      </c>
      <c r="B3097" s="10" t="s">
        <v>7629</v>
      </c>
      <c r="C3097" s="13" t="n">
        <v>26860</v>
      </c>
      <c r="D3097" s="13" t="n">
        <v>42904</v>
      </c>
      <c r="E3097" s="6" t="n">
        <f>SUM(C3097,D3097)/2</f>
        <v>34882</v>
      </c>
      <c r="F3097" s="12" t="n">
        <v>5075</v>
      </c>
      <c r="G3097" s="12" t="n">
        <v>7113</v>
      </c>
      <c r="H3097" s="6" t="n">
        <f>SUM(F3097,G3097)/2</f>
        <v>6094</v>
      </c>
    </row>
    <row r="3098" s="18" customFormat="1" ht="14.399999999999999" customHeight="1">
      <c r="A3098" s="10" t="s">
        <v>1441</v>
      </c>
      <c r="B3098" s="10" t="s">
        <v>7630</v>
      </c>
      <c r="C3098" s="10" t="n">
        <v>68</v>
      </c>
      <c r="D3098" s="10" t="n">
        <v>108</v>
      </c>
      <c r="E3098" s="6" t="n">
        <f>SUM(C3098,D3098)/2</f>
        <v>88</v>
      </c>
      <c r="F3098" s="18" t="n">
        <v>0</v>
      </c>
      <c r="G3098" s="18" t="n">
        <v>0</v>
      </c>
      <c r="H3098" s="6" t="n">
        <f>SUM(F3098,G3098)/2</f>
        <v>0</v>
      </c>
    </row>
    <row r="3099" s="18" customFormat="1" ht="14.399999999999999" customHeight="1">
      <c r="A3099" s="10" t="s">
        <v>1364</v>
      </c>
      <c r="B3099" s="10" t="s">
        <v>7631</v>
      </c>
      <c r="C3099" s="10" t="n">
        <v>394</v>
      </c>
      <c r="D3099" s="10" t="n">
        <v>628</v>
      </c>
      <c r="E3099" s="6" t="n">
        <f>SUM(C3099,D3099)/2</f>
        <v>511</v>
      </c>
      <c r="F3099" s="18" t="n">
        <v>5</v>
      </c>
      <c r="G3099" s="18" t="n">
        <v>6</v>
      </c>
      <c r="H3099" s="6" t="n">
        <f>SUM(F3099,G3099)/2</f>
        <v>5.5</v>
      </c>
    </row>
    <row r="3100" s="18" customFormat="1" ht="14.399999999999999" customHeight="1">
      <c r="A3100" s="10" t="s">
        <v>7632</v>
      </c>
      <c r="B3100" s="10" t="s">
        <v>7633</v>
      </c>
      <c r="C3100" s="13" t="n">
        <v>12023</v>
      </c>
      <c r="D3100" s="13" t="n">
        <v>19207</v>
      </c>
      <c r="E3100" s="6" t="n">
        <f>SUM(C3100,D3100)/2</f>
        <v>15615</v>
      </c>
      <c r="F3100" s="12" t="n">
        <v>7427</v>
      </c>
      <c r="G3100" s="12" t="n">
        <v>10734</v>
      </c>
      <c r="H3100" s="6" t="n">
        <f>SUM(F3100,G3100)/2</f>
        <v>9080.5</v>
      </c>
    </row>
    <row r="3101" s="18" customFormat="1" ht="14.399999999999999" customHeight="1">
      <c r="A3101" s="10" t="s">
        <v>7634</v>
      </c>
      <c r="B3101" s="10" t="s">
        <v>7635</v>
      </c>
      <c r="C3101" s="13" t="n">
        <v>105003</v>
      </c>
      <c r="D3101" s="13" t="n">
        <v>167731</v>
      </c>
      <c r="E3101" s="6" t="n">
        <f>SUM(C3101,D3101)/2</f>
        <v>136367</v>
      </c>
      <c r="F3101" s="12" t="n">
        <v>44748</v>
      </c>
      <c r="G3101" s="12" t="n">
        <v>59729</v>
      </c>
      <c r="H3101" s="6" t="n">
        <f>SUM(F3101,G3101)/2</f>
        <v>52238.5</v>
      </c>
    </row>
    <row r="3102" s="18" customFormat="1" ht="14.399999999999999" customHeight="1">
      <c r="A3102" s="10" t="s">
        <v>1016</v>
      </c>
      <c r="B3102" s="10" t="s">
        <v>7636</v>
      </c>
      <c r="C3102" s="10" t="n">
        <v>303</v>
      </c>
      <c r="D3102" s="10" t="n">
        <v>485</v>
      </c>
      <c r="E3102" s="6" t="n">
        <f>SUM(C3102,D3102)/2</f>
        <v>394</v>
      </c>
      <c r="F3102" s="18" t="n">
        <v>30</v>
      </c>
      <c r="G3102" s="18" t="n">
        <v>59</v>
      </c>
      <c r="H3102" s="6" t="n">
        <f>SUM(F3102,G3102)/2</f>
        <v>44.5</v>
      </c>
    </row>
    <row r="3103" s="18" customFormat="1" ht="14.399999999999999" customHeight="1">
      <c r="A3103" s="10" t="s">
        <v>3443</v>
      </c>
      <c r="B3103" s="10" t="s">
        <v>7637</v>
      </c>
      <c r="C3103" s="13" t="n">
        <v>28164</v>
      </c>
      <c r="D3103" s="13" t="n">
        <v>44988</v>
      </c>
      <c r="E3103" s="6" t="n">
        <f>SUM(C3103,D3103)/2</f>
        <v>36576</v>
      </c>
      <c r="F3103" s="12" t="n">
        <v>31117</v>
      </c>
      <c r="G3103" s="12" t="n">
        <v>42679</v>
      </c>
      <c r="H3103" s="6" t="n">
        <f>SUM(F3103,G3103)/2</f>
        <v>36898</v>
      </c>
    </row>
    <row r="3104" s="18" customFormat="1" ht="14.399999999999999" customHeight="1">
      <c r="A3104" s="10" t="s">
        <v>923</v>
      </c>
      <c r="B3104" s="10" t="s">
        <v>7638</v>
      </c>
      <c r="C3104" s="13" t="n">
        <v>653072</v>
      </c>
      <c r="D3104" s="13" t="n">
        <v>1043218</v>
      </c>
      <c r="E3104" s="6" t="n">
        <f>SUM(C3104,D3104)/2</f>
        <v>848145</v>
      </c>
      <c r="F3104" s="12" t="n">
        <v>126662</v>
      </c>
      <c r="G3104" s="12" t="n">
        <v>181216</v>
      </c>
      <c r="H3104" s="6" t="n">
        <f>SUM(F3104,G3104)/2</f>
        <v>153939</v>
      </c>
    </row>
    <row r="3105" s="18" customFormat="1" ht="14.399999999999999" customHeight="1">
      <c r="A3105" s="10" t="s">
        <v>3769</v>
      </c>
      <c r="B3105" s="10" t="s">
        <v>7639</v>
      </c>
      <c r="C3105" s="13" t="n">
        <v>46552</v>
      </c>
      <c r="D3105" s="13" t="n">
        <v>74362</v>
      </c>
      <c r="E3105" s="6" t="n">
        <f>SUM(C3105,D3105)/2</f>
        <v>60457</v>
      </c>
      <c r="F3105" s="12" t="n">
        <v>15230</v>
      </c>
      <c r="G3105" s="12" t="n">
        <v>21513</v>
      </c>
      <c r="H3105" s="6" t="n">
        <f>SUM(F3105,G3105)/2</f>
        <v>18371.5</v>
      </c>
    </row>
    <row r="3106" s="18" customFormat="1" ht="14.399999999999999" customHeight="1">
      <c r="A3106" s="10" t="s">
        <v>7640</v>
      </c>
      <c r="B3106" s="10" t="s">
        <v>7641</v>
      </c>
      <c r="C3106" s="13" t="n">
        <v>36682</v>
      </c>
      <c r="D3106" s="13" t="n">
        <v>58598</v>
      </c>
      <c r="E3106" s="6" t="n">
        <f>SUM(C3106,D3106)/2</f>
        <v>47640</v>
      </c>
      <c r="F3106" s="12" t="n">
        <v>5673</v>
      </c>
      <c r="G3106" s="12" t="n">
        <v>8064</v>
      </c>
      <c r="H3106" s="6" t="n">
        <f>SUM(F3106,G3106)/2</f>
        <v>6868.5</v>
      </c>
    </row>
    <row r="3107" s="18" customFormat="1" ht="14.399999999999999" customHeight="1">
      <c r="A3107" s="10" t="s">
        <v>7642</v>
      </c>
      <c r="B3107" s="10" t="s">
        <v>7643</v>
      </c>
      <c r="C3107" s="13" t="n">
        <v>19755</v>
      </c>
      <c r="D3107" s="13" t="n">
        <v>31557</v>
      </c>
      <c r="E3107" s="6" t="n">
        <f>SUM(C3107,D3107)/2</f>
        <v>25656</v>
      </c>
      <c r="F3107" s="12" t="n">
        <v>6524</v>
      </c>
      <c r="G3107" s="12" t="n">
        <v>9367</v>
      </c>
      <c r="H3107" s="6" t="n">
        <f>SUM(F3107,G3107)/2</f>
        <v>7945.5</v>
      </c>
    </row>
    <row r="3108" s="18" customFormat="1" ht="14.399999999999999" customHeight="1">
      <c r="A3108" s="10" t="s">
        <v>2067</v>
      </c>
      <c r="B3108" s="10" t="s">
        <v>7644</v>
      </c>
      <c r="C3108" s="10" t="n">
        <v>7</v>
      </c>
      <c r="D3108" s="10" t="n">
        <v>11</v>
      </c>
      <c r="E3108" s="6" t="n">
        <f>SUM(C3108,D3108)/2</f>
        <v>9</v>
      </c>
      <c r="F3108" s="18" t="n">
        <v>7</v>
      </c>
      <c r="G3108" s="18" t="n">
        <v>10</v>
      </c>
      <c r="H3108" s="6" t="n">
        <f>SUM(F3108,G3108)/2</f>
        <v>8.5</v>
      </c>
    </row>
    <row r="3109" s="18" customFormat="1" ht="14.399999999999999" customHeight="1">
      <c r="A3109" s="10" t="s">
        <v>7645</v>
      </c>
      <c r="B3109" s="10" t="s">
        <v>7646</v>
      </c>
      <c r="C3109" s="13" t="n">
        <v>509584</v>
      </c>
      <c r="D3109" s="13" t="n">
        <v>814012</v>
      </c>
      <c r="E3109" s="6" t="n">
        <f>SUM(C3109,D3109)/2</f>
        <v>661798</v>
      </c>
      <c r="F3109" s="12" t="n">
        <v>91544</v>
      </c>
      <c r="G3109" s="12" t="n">
        <v>134636</v>
      </c>
      <c r="H3109" s="6" t="n">
        <f>SUM(F3109,G3109)/2</f>
        <v>113090</v>
      </c>
    </row>
    <row r="3110" s="18" customFormat="1" ht="14.399999999999999" customHeight="1">
      <c r="A3110" s="10" t="s">
        <v>306</v>
      </c>
      <c r="B3110" s="10" t="s">
        <v>307</v>
      </c>
      <c r="C3110" s="13" t="n">
        <v>4467</v>
      </c>
      <c r="D3110" s="13" t="n">
        <v>7137</v>
      </c>
      <c r="E3110" s="6" t="n">
        <f>SUM(C3110,D3110)/2</f>
        <v>5802</v>
      </c>
      <c r="F3110" s="18" t="n">
        <v>672</v>
      </c>
      <c r="G3110" s="18" t="n">
        <v>900</v>
      </c>
      <c r="H3110" s="6" t="n">
        <f>SUM(F3110,G3110)/2</f>
        <v>786</v>
      </c>
    </row>
    <row r="3111" s="18" customFormat="1" ht="14.399999999999999" customHeight="1">
      <c r="A3111" s="10" t="s">
        <v>1757</v>
      </c>
      <c r="B3111" s="10" t="s">
        <v>7647</v>
      </c>
      <c r="C3111" s="10" t="n">
        <v>89</v>
      </c>
      <c r="D3111" s="10" t="n">
        <v>141</v>
      </c>
      <c r="E3111" s="6" t="n">
        <f>SUM(C3111,D3111)/2</f>
        <v>115</v>
      </c>
      <c r="F3111" s="18" t="n">
        <v>1</v>
      </c>
      <c r="G3111" s="18" t="n">
        <v>1</v>
      </c>
      <c r="H3111" s="6" t="n">
        <f>SUM(F3111,G3111)/2</f>
        <v>1</v>
      </c>
    </row>
    <row r="3112" s="18" customFormat="1" ht="14.399999999999999" customHeight="1">
      <c r="A3112" s="10" t="s">
        <v>7648</v>
      </c>
      <c r="B3112" s="10" t="s">
        <v>7649</v>
      </c>
      <c r="C3112" s="13" t="n">
        <v>10050</v>
      </c>
      <c r="D3112" s="13" t="n">
        <v>16054</v>
      </c>
      <c r="E3112" s="6" t="n">
        <f>SUM(C3112,D3112)/2</f>
        <v>13052</v>
      </c>
      <c r="F3112" s="12" t="n">
        <v>6366</v>
      </c>
      <c r="G3112" s="12" t="n">
        <v>9257</v>
      </c>
      <c r="H3112" s="6" t="n">
        <f>SUM(F3112,G3112)/2</f>
        <v>7811.5</v>
      </c>
    </row>
    <row r="3113" s="18" customFormat="1" ht="14.399999999999999" customHeight="1">
      <c r="A3113" s="10" t="s">
        <v>7650</v>
      </c>
      <c r="B3113" s="10" t="s">
        <v>7651</v>
      </c>
      <c r="C3113" s="13" t="n">
        <v>56950</v>
      </c>
      <c r="D3113" s="13" t="n">
        <v>90972</v>
      </c>
      <c r="E3113" s="6" t="n">
        <f>SUM(C3113,D3113)/2</f>
        <v>73961</v>
      </c>
      <c r="F3113" s="12" t="n">
        <v>8428</v>
      </c>
      <c r="G3113" s="12" t="n">
        <v>13161</v>
      </c>
      <c r="H3113" s="6" t="n">
        <f>SUM(F3113,G3113)/2</f>
        <v>10794.5</v>
      </c>
    </row>
    <row r="3114" s="18" customFormat="1" ht="14.399999999999999" customHeight="1">
      <c r="A3114" s="10" t="s">
        <v>7652</v>
      </c>
      <c r="B3114" s="10" t="s">
        <v>7653</v>
      </c>
      <c r="C3114" s="13" t="n">
        <v>61438</v>
      </c>
      <c r="D3114" s="13" t="n">
        <v>98142</v>
      </c>
      <c r="E3114" s="6" t="n">
        <f>SUM(C3114,D3114)/2</f>
        <v>79790</v>
      </c>
      <c r="F3114" s="12" t="n">
        <v>11026</v>
      </c>
      <c r="G3114" s="12" t="n">
        <v>24671</v>
      </c>
      <c r="H3114" s="6" t="n">
        <f>SUM(F3114,G3114)/2</f>
        <v>17848.5</v>
      </c>
    </row>
    <row r="3115" s="18" customFormat="1" ht="14.399999999999999" customHeight="1">
      <c r="A3115" s="10" t="s">
        <v>7654</v>
      </c>
      <c r="B3115" s="10" t="s">
        <v>7655</v>
      </c>
      <c r="C3115" s="13" t="n">
        <v>22033</v>
      </c>
      <c r="D3115" s="13" t="n">
        <v>35195</v>
      </c>
      <c r="E3115" s="6" t="n">
        <f>SUM(C3115,D3115)/2</f>
        <v>28614</v>
      </c>
      <c r="F3115" s="12" t="n">
        <v>5477</v>
      </c>
      <c r="G3115" s="12" t="n">
        <v>7584</v>
      </c>
      <c r="H3115" s="6" t="n">
        <f>SUM(F3115,G3115)/2</f>
        <v>6530.5</v>
      </c>
    </row>
    <row r="3116" s="18" customFormat="1" ht="14.399999999999999" customHeight="1">
      <c r="A3116" s="10" t="s">
        <v>7656</v>
      </c>
      <c r="B3116" s="10" t="s">
        <v>7657</v>
      </c>
      <c r="C3116" s="13" t="n">
        <v>28821</v>
      </c>
      <c r="D3116" s="13" t="n">
        <v>46037</v>
      </c>
      <c r="E3116" s="6" t="n">
        <f>SUM(C3116,D3116)/2</f>
        <v>37429</v>
      </c>
      <c r="F3116" s="12" t="n">
        <v>7292</v>
      </c>
      <c r="G3116" s="12" t="n">
        <v>9632</v>
      </c>
      <c r="H3116" s="6" t="n">
        <f>SUM(F3116,G3116)/2</f>
        <v>8462</v>
      </c>
    </row>
    <row r="3117" s="18" customFormat="1" ht="14.399999999999999" customHeight="1">
      <c r="A3117" s="10" t="s">
        <v>7658</v>
      </c>
      <c r="B3117" s="10" t="s">
        <v>7659</v>
      </c>
      <c r="C3117" s="13" t="n">
        <v>45341</v>
      </c>
      <c r="D3117" s="13" t="n">
        <v>72427</v>
      </c>
      <c r="E3117" s="6" t="n">
        <f>SUM(C3117,D3117)/2</f>
        <v>58884</v>
      </c>
      <c r="F3117" s="12" t="n">
        <v>8409</v>
      </c>
      <c r="G3117" s="12" t="n">
        <v>12399</v>
      </c>
      <c r="H3117" s="6" t="n">
        <f>SUM(F3117,G3117)/2</f>
        <v>10404</v>
      </c>
    </row>
    <row r="3118" s="18" customFormat="1" ht="14.399999999999999" customHeight="1">
      <c r="A3118" s="10" t="s">
        <v>1520</v>
      </c>
      <c r="B3118" s="10" t="s">
        <v>7660</v>
      </c>
      <c r="C3118" s="10" t="n">
        <v>8</v>
      </c>
      <c r="D3118" s="10" t="n">
        <v>14</v>
      </c>
      <c r="E3118" s="6" t="n">
        <f>SUM(C3118,D3118)/2</f>
        <v>11</v>
      </c>
      <c r="F3118" s="18" t="n">
        <v>0</v>
      </c>
      <c r="G3118" s="18" t="n">
        <v>0</v>
      </c>
      <c r="H3118" s="6" t="n">
        <f>SUM(F3118,G3118)/2</f>
        <v>0</v>
      </c>
    </row>
    <row r="3119" s="18" customFormat="1" ht="14.399999999999999" customHeight="1">
      <c r="A3119" s="10" t="s">
        <v>7661</v>
      </c>
      <c r="B3119" s="10" t="s">
        <v>7662</v>
      </c>
      <c r="C3119" s="13" t="n">
        <v>82546</v>
      </c>
      <c r="D3119" s="13" t="n">
        <v>131859</v>
      </c>
      <c r="E3119" s="6" t="n">
        <f>SUM(C3119,D3119)/2</f>
        <v>107202.5</v>
      </c>
      <c r="F3119" s="12" t="n">
        <v>6440</v>
      </c>
      <c r="G3119" s="12" t="n">
        <v>9681</v>
      </c>
      <c r="H3119" s="6" t="n">
        <f>SUM(F3119,G3119)/2</f>
        <v>8060.5</v>
      </c>
    </row>
    <row r="3120" s="18" customFormat="1" ht="14.399999999999999" customHeight="1">
      <c r="A3120" s="10" t="s">
        <v>5452</v>
      </c>
      <c r="B3120" s="10" t="s">
        <v>7663</v>
      </c>
      <c r="C3120" s="13" t="n">
        <v>198645</v>
      </c>
      <c r="D3120" s="13" t="n">
        <v>317315</v>
      </c>
      <c r="E3120" s="6" t="n">
        <f>SUM(C3120,D3120)/2</f>
        <v>257980</v>
      </c>
      <c r="F3120" s="12" t="n">
        <v>36183</v>
      </c>
      <c r="G3120" s="12" t="n">
        <v>48483</v>
      </c>
      <c r="H3120" s="6" t="n">
        <f>SUM(F3120,G3120)/2</f>
        <v>42333</v>
      </c>
    </row>
    <row r="3121" s="18" customFormat="1" ht="14.399999999999999" customHeight="1">
      <c r="A3121" s="10" t="s">
        <v>3183</v>
      </c>
      <c r="B3121" s="10" t="s">
        <v>7664</v>
      </c>
      <c r="C3121" s="13" t="n">
        <v>141567</v>
      </c>
      <c r="D3121" s="13" t="n">
        <v>226141</v>
      </c>
      <c r="E3121" s="6" t="n">
        <f>SUM(C3121,D3121)/2</f>
        <v>183854</v>
      </c>
      <c r="F3121" s="12" t="n">
        <v>16055</v>
      </c>
      <c r="G3121" s="12" t="n">
        <v>29121</v>
      </c>
      <c r="H3121" s="6" t="n">
        <f>SUM(F3121,G3121)/2</f>
        <v>22588</v>
      </c>
    </row>
    <row r="3122" s="18" customFormat="1" ht="14.399999999999999" customHeight="1">
      <c r="A3122" s="10" t="s">
        <v>7665</v>
      </c>
      <c r="B3122" s="10" t="s">
        <v>7666</v>
      </c>
      <c r="C3122" s="13" t="n">
        <v>112769</v>
      </c>
      <c r="D3122" s="13" t="n">
        <v>180137</v>
      </c>
      <c r="E3122" s="6" t="n">
        <f>SUM(C3122,D3122)/2</f>
        <v>146453</v>
      </c>
      <c r="F3122" s="12" t="n">
        <v>7664</v>
      </c>
      <c r="G3122" s="12" t="n">
        <v>12528</v>
      </c>
      <c r="H3122" s="6" t="n">
        <f>SUM(F3122,G3122)/2</f>
        <v>10096</v>
      </c>
    </row>
    <row r="3123" s="18" customFormat="1" ht="14.399999999999999" customHeight="1">
      <c r="A3123" s="10" t="s">
        <v>4225</v>
      </c>
      <c r="B3123" s="10" t="s">
        <v>7667</v>
      </c>
      <c r="C3123" s="13" t="n">
        <v>15506</v>
      </c>
      <c r="D3123" s="13" t="n">
        <v>24770</v>
      </c>
      <c r="E3123" s="6" t="n">
        <f>SUM(C3123,D3123)/2</f>
        <v>20138</v>
      </c>
      <c r="F3123" s="12" t="n">
        <v>13010</v>
      </c>
      <c r="G3123" s="12" t="n">
        <v>17848</v>
      </c>
      <c r="H3123" s="6" t="n">
        <f>SUM(F3123,G3123)/2</f>
        <v>15429</v>
      </c>
    </row>
    <row r="3124" s="18" customFormat="1" ht="14.399999999999999" customHeight="1">
      <c r="A3124" s="10" t="s">
        <v>7668</v>
      </c>
      <c r="B3124" s="10" t="s">
        <v>7669</v>
      </c>
      <c r="C3124" s="13" t="n">
        <v>13893</v>
      </c>
      <c r="D3124" s="13" t="n">
        <v>22193</v>
      </c>
      <c r="E3124" s="6" t="n">
        <f>SUM(C3124,D3124)/2</f>
        <v>18043</v>
      </c>
      <c r="F3124" s="12" t="n">
        <v>9814</v>
      </c>
      <c r="G3124" s="12" t="n">
        <v>13081</v>
      </c>
      <c r="H3124" s="6" t="n">
        <f>SUM(F3124,G3124)/2</f>
        <v>11447.5</v>
      </c>
    </row>
    <row r="3125" s="18" customFormat="1" ht="14.399999999999999" customHeight="1">
      <c r="A3125" s="10" t="s">
        <v>7670</v>
      </c>
      <c r="B3125" s="10" t="s">
        <v>7671</v>
      </c>
      <c r="C3125" s="13" t="n">
        <v>2907</v>
      </c>
      <c r="D3125" s="13" t="n">
        <v>4643</v>
      </c>
      <c r="E3125" s="6" t="n">
        <f>SUM(C3125,D3125)/2</f>
        <v>3775</v>
      </c>
      <c r="F3125" s="12" t="n">
        <v>5249</v>
      </c>
      <c r="G3125" s="12" t="n">
        <v>8089</v>
      </c>
      <c r="H3125" s="6" t="n">
        <f>SUM(F3125,G3125)/2</f>
        <v>6669</v>
      </c>
    </row>
    <row r="3126" s="18" customFormat="1" ht="14.399999999999999" customHeight="1">
      <c r="A3126" s="10" t="s">
        <v>1723</v>
      </c>
      <c r="B3126" s="10" t="s">
        <v>7672</v>
      </c>
      <c r="C3126" s="10" t="n">
        <v>106</v>
      </c>
      <c r="D3126" s="10" t="n">
        <v>170</v>
      </c>
      <c r="E3126" s="6" t="n">
        <f>SUM(C3126,D3126)/2</f>
        <v>138</v>
      </c>
      <c r="F3126" s="18" t="n">
        <v>1</v>
      </c>
      <c r="G3126" s="18" t="n">
        <v>1</v>
      </c>
      <c r="H3126" s="6" t="n">
        <f>SUM(F3126,G3126)/2</f>
        <v>1</v>
      </c>
    </row>
    <row r="3127" s="18" customFormat="1" ht="14.399999999999999" customHeight="1">
      <c r="A3127" s="10" t="s">
        <v>7673</v>
      </c>
      <c r="B3127" s="10" t="s">
        <v>7674</v>
      </c>
      <c r="C3127" s="13" t="n">
        <v>95527</v>
      </c>
      <c r="D3127" s="13" t="n">
        <v>152595</v>
      </c>
      <c r="E3127" s="6" t="n">
        <f>SUM(C3127,D3127)/2</f>
        <v>124061</v>
      </c>
      <c r="F3127" s="12" t="n">
        <v>55695</v>
      </c>
      <c r="G3127" s="12" t="n">
        <v>79165</v>
      </c>
      <c r="H3127" s="6" t="n">
        <f>SUM(F3127,G3127)/2</f>
        <v>67430</v>
      </c>
    </row>
    <row r="3128" s="18" customFormat="1" ht="14.399999999999999" customHeight="1">
      <c r="A3128" s="10" t="s">
        <v>7675</v>
      </c>
      <c r="B3128" s="10" t="s">
        <v>7676</v>
      </c>
      <c r="C3128" s="13" t="n">
        <v>99804</v>
      </c>
      <c r="D3128" s="13" t="n">
        <v>159428</v>
      </c>
      <c r="E3128" s="6" t="n">
        <f>SUM(C3128,D3128)/2</f>
        <v>129616</v>
      </c>
      <c r="F3128" s="12" t="n">
        <v>17828</v>
      </c>
      <c r="G3128" s="12" t="n">
        <v>28262</v>
      </c>
      <c r="H3128" s="6" t="n">
        <f>SUM(F3128,G3128)/2</f>
        <v>23045</v>
      </c>
    </row>
    <row r="3129" s="18" customFormat="1" ht="14.399999999999999" customHeight="1">
      <c r="A3129" s="10" t="s">
        <v>7677</v>
      </c>
      <c r="B3129" s="10" t="s">
        <v>7678</v>
      </c>
      <c r="C3129" s="13" t="n">
        <v>2374</v>
      </c>
      <c r="D3129" s="13" t="n">
        <v>3792</v>
      </c>
      <c r="E3129" s="6" t="n">
        <f>SUM(C3129,D3129)/2</f>
        <v>3083</v>
      </c>
      <c r="F3129" s="12" t="n">
        <v>5727</v>
      </c>
      <c r="G3129" s="12" t="n">
        <v>8344</v>
      </c>
      <c r="H3129" s="6" t="n">
        <f>SUM(F3129,G3129)/2</f>
        <v>7035.5</v>
      </c>
    </row>
    <row r="3130" s="18" customFormat="1" ht="14.399999999999999" customHeight="1">
      <c r="A3130" s="10" t="s">
        <v>3629</v>
      </c>
      <c r="B3130" s="10" t="s">
        <v>7679</v>
      </c>
      <c r="C3130" s="13" t="n">
        <v>35948</v>
      </c>
      <c r="D3130" s="13" t="n">
        <v>57424</v>
      </c>
      <c r="E3130" s="6" t="n">
        <f>SUM(C3130,D3130)/2</f>
        <v>46686</v>
      </c>
      <c r="F3130" s="12" t="n">
        <v>24168</v>
      </c>
      <c r="G3130" s="12" t="n">
        <v>29218</v>
      </c>
      <c r="H3130" s="6" t="n">
        <f>SUM(F3130,G3130)/2</f>
        <v>26693</v>
      </c>
    </row>
    <row r="3131" s="18" customFormat="1" ht="14.399999999999999" customHeight="1">
      <c r="A3131" s="10" t="s">
        <v>2504</v>
      </c>
      <c r="B3131" s="10" t="s">
        <v>7680</v>
      </c>
      <c r="C3131" s="10" t="n">
        <v>220</v>
      </c>
      <c r="D3131" s="10" t="n">
        <v>352</v>
      </c>
      <c r="E3131" s="6" t="n">
        <f>SUM(C3131,D3131)/2</f>
        <v>286</v>
      </c>
      <c r="F3131" s="18" t="n">
        <v>3</v>
      </c>
      <c r="G3131" s="18" t="n">
        <v>5</v>
      </c>
      <c r="H3131" s="6" t="n">
        <f>SUM(F3131,G3131)/2</f>
        <v>4</v>
      </c>
    </row>
    <row r="3132" s="18" customFormat="1" ht="14.399999999999999" customHeight="1">
      <c r="A3132" s="10" t="s">
        <v>7681</v>
      </c>
      <c r="B3132" s="10" t="s">
        <v>7682</v>
      </c>
      <c r="C3132" s="13" t="n">
        <v>5773</v>
      </c>
      <c r="D3132" s="13" t="n">
        <v>9223</v>
      </c>
      <c r="E3132" s="6" t="n">
        <f>SUM(C3132,D3132)/2</f>
        <v>7498</v>
      </c>
      <c r="F3132" s="12" t="n">
        <v>14739</v>
      </c>
      <c r="G3132" s="12" t="n">
        <v>22395</v>
      </c>
      <c r="H3132" s="6" t="n">
        <f>SUM(F3132,G3132)/2</f>
        <v>18567</v>
      </c>
    </row>
    <row r="3133" s="18" customFormat="1" ht="14.399999999999999" customHeight="1">
      <c r="A3133" s="10" t="s">
        <v>1025</v>
      </c>
      <c r="B3133" s="10" t="s">
        <v>7683</v>
      </c>
      <c r="C3133" s="10" t="n">
        <v>41</v>
      </c>
      <c r="D3133" s="10" t="n">
        <v>67</v>
      </c>
      <c r="E3133" s="6" t="n">
        <f>SUM(C3133,D3133)/2</f>
        <v>54</v>
      </c>
      <c r="F3133" s="18" t="n">
        <v>0</v>
      </c>
      <c r="G3133" s="18" t="n">
        <v>0</v>
      </c>
      <c r="H3133" s="6" t="n">
        <f>SUM(F3133,G3133)/2</f>
        <v>0</v>
      </c>
    </row>
    <row r="3134" s="18" customFormat="1" ht="14.399999999999999" customHeight="1">
      <c r="A3134" s="10" t="s">
        <v>4645</v>
      </c>
      <c r="B3134" s="10" t="s">
        <v>7684</v>
      </c>
      <c r="C3134" s="13" t="n">
        <v>23145</v>
      </c>
      <c r="D3134" s="13" t="n">
        <v>36973</v>
      </c>
      <c r="E3134" s="6" t="n">
        <f>SUM(C3134,D3134)/2</f>
        <v>30059</v>
      </c>
      <c r="F3134" s="12" t="n">
        <v>5578</v>
      </c>
      <c r="G3134" s="12" t="n">
        <v>8720</v>
      </c>
      <c r="H3134" s="6" t="n">
        <f>SUM(F3134,G3134)/2</f>
        <v>7149</v>
      </c>
    </row>
    <row r="3135" s="18" customFormat="1" ht="14.399999999999999" customHeight="1">
      <c r="A3135" s="10" t="s">
        <v>1597</v>
      </c>
      <c r="B3135" s="10" t="s">
        <v>7685</v>
      </c>
      <c r="C3135" s="10" t="n">
        <v>23</v>
      </c>
      <c r="D3135" s="10" t="n">
        <v>37</v>
      </c>
      <c r="E3135" s="6" t="n">
        <f>SUM(C3135,D3135)/2</f>
        <v>30</v>
      </c>
      <c r="F3135" s="18" t="n">
        <v>1</v>
      </c>
      <c r="G3135" s="18" t="n">
        <v>1</v>
      </c>
      <c r="H3135" s="6" t="n">
        <f>SUM(F3135,G3135)/2</f>
        <v>1</v>
      </c>
    </row>
    <row r="3136" s="18" customFormat="1" ht="14.399999999999999" customHeight="1">
      <c r="A3136" s="10" t="s">
        <v>7686</v>
      </c>
      <c r="B3136" s="10" t="s">
        <v>7687</v>
      </c>
      <c r="C3136" s="13" t="n">
        <v>7693</v>
      </c>
      <c r="D3136" s="13" t="n">
        <v>12289</v>
      </c>
      <c r="E3136" s="6" t="n">
        <f>SUM(C3136,D3136)/2</f>
        <v>9991</v>
      </c>
      <c r="F3136" s="12" t="n">
        <v>11362</v>
      </c>
      <c r="G3136" s="12" t="n">
        <v>15839</v>
      </c>
      <c r="H3136" s="6" t="n">
        <f>SUM(F3136,G3136)/2</f>
        <v>13600.5</v>
      </c>
    </row>
    <row r="3137" s="18" customFormat="1" ht="14.399999999999999" customHeight="1">
      <c r="A3137" s="10" t="s">
        <v>7688</v>
      </c>
      <c r="B3137" s="10" t="s">
        <v>7689</v>
      </c>
      <c r="C3137" s="10" t="n">
        <v>3</v>
      </c>
      <c r="D3137" s="10" t="n">
        <v>5</v>
      </c>
      <c r="E3137" s="6" t="n">
        <f>SUM(C3137,D3137)/2</f>
        <v>4</v>
      </c>
      <c r="F3137" s="18" t="n">
        <v>1</v>
      </c>
      <c r="G3137" s="18" t="n">
        <v>1</v>
      </c>
      <c r="H3137" s="6" t="n">
        <f>SUM(F3137,G3137)/2</f>
        <v>1</v>
      </c>
    </row>
    <row r="3138" s="18" customFormat="1" ht="14.399999999999999" customHeight="1">
      <c r="A3138" s="10" t="s">
        <v>7690</v>
      </c>
      <c r="B3138" s="10" t="s">
        <v>7691</v>
      </c>
      <c r="C3138" s="13" t="n">
        <v>449673</v>
      </c>
      <c r="D3138" s="13" t="n">
        <v>718307</v>
      </c>
      <c r="E3138" s="6" t="n">
        <f>SUM(C3138,D3138)/2</f>
        <v>583990</v>
      </c>
      <c r="F3138" s="12" t="n">
        <v>36080</v>
      </c>
      <c r="G3138" s="12" t="n">
        <v>46425</v>
      </c>
      <c r="H3138" s="6" t="n">
        <f>SUM(F3138,G3138)/2</f>
        <v>41252.5</v>
      </c>
    </row>
    <row r="3139" s="18" customFormat="1" ht="14.399999999999999" customHeight="1">
      <c r="A3139" s="10" t="s">
        <v>5235</v>
      </c>
      <c r="B3139" s="10" t="s">
        <v>7692</v>
      </c>
      <c r="C3139" s="13" t="n">
        <v>2530</v>
      </c>
      <c r="D3139" s="13" t="n">
        <v>4040</v>
      </c>
      <c r="E3139" s="6" t="n">
        <f>SUM(C3139,D3139)/2</f>
        <v>3285</v>
      </c>
      <c r="F3139" s="12" t="n">
        <v>2099</v>
      </c>
      <c r="G3139" s="12" t="n">
        <v>3317</v>
      </c>
      <c r="H3139" s="6" t="n">
        <f>SUM(F3139,G3139)/2</f>
        <v>2708</v>
      </c>
    </row>
    <row r="3140" s="18" customFormat="1" ht="14.399999999999999" customHeight="1">
      <c r="A3140" s="10" t="s">
        <v>82</v>
      </c>
      <c r="B3140" s="10" t="s">
        <v>7693</v>
      </c>
      <c r="C3140" s="13" t="n">
        <v>239570</v>
      </c>
      <c r="D3140" s="13" t="n">
        <v>382690</v>
      </c>
      <c r="E3140" s="6" t="n">
        <f>SUM(C3140,D3140)/2</f>
        <v>311130</v>
      </c>
      <c r="F3140" s="12" t="n">
        <v>5607</v>
      </c>
      <c r="G3140" s="12" t="n">
        <v>12723</v>
      </c>
      <c r="H3140" s="6" t="n">
        <f>SUM(F3140,G3140)/2</f>
        <v>9165</v>
      </c>
    </row>
    <row r="3141" s="18" customFormat="1" ht="14.399999999999999" customHeight="1">
      <c r="A3141" s="10" t="s">
        <v>5292</v>
      </c>
      <c r="B3141" s="10" t="s">
        <v>7694</v>
      </c>
      <c r="C3141" s="13" t="n">
        <v>1239</v>
      </c>
      <c r="D3141" s="13" t="n">
        <v>1979</v>
      </c>
      <c r="E3141" s="6" t="n">
        <f>SUM(C3141,D3141)/2</f>
        <v>1609</v>
      </c>
      <c r="F3141" s="18" t="n">
        <v>454</v>
      </c>
      <c r="G3141" s="18" t="n">
        <v>626</v>
      </c>
      <c r="H3141" s="6" t="n">
        <f>SUM(F3141,G3141)/2</f>
        <v>540</v>
      </c>
    </row>
    <row r="3142" s="18" customFormat="1" ht="14.399999999999999" customHeight="1">
      <c r="A3142" s="10" t="s">
        <v>4547</v>
      </c>
      <c r="B3142" s="10" t="s">
        <v>7695</v>
      </c>
      <c r="C3142" s="13" t="n">
        <v>13255</v>
      </c>
      <c r="D3142" s="13" t="n">
        <v>21173</v>
      </c>
      <c r="E3142" s="6" t="n">
        <f>SUM(C3142,D3142)/2</f>
        <v>17214</v>
      </c>
      <c r="F3142" s="12" t="n">
        <v>10317</v>
      </c>
      <c r="G3142" s="12" t="n">
        <v>11913</v>
      </c>
      <c r="H3142" s="6" t="n">
        <f>SUM(F3142,G3142)/2</f>
        <v>11115</v>
      </c>
    </row>
    <row r="3143" s="18" customFormat="1" ht="14.399999999999999" customHeight="1">
      <c r="A3143" s="10" t="s">
        <v>7696</v>
      </c>
      <c r="B3143" s="10" t="s">
        <v>7697</v>
      </c>
      <c r="C3143" s="13" t="n">
        <v>76451</v>
      </c>
      <c r="D3143" s="13" t="n">
        <v>122123</v>
      </c>
      <c r="E3143" s="6" t="n">
        <f>SUM(C3143,D3143)/2</f>
        <v>99287</v>
      </c>
      <c r="F3143" s="12" t="n">
        <v>16537</v>
      </c>
      <c r="G3143" s="12" t="n">
        <v>21023</v>
      </c>
      <c r="H3143" s="6" t="n">
        <f>SUM(F3143,G3143)/2</f>
        <v>18780</v>
      </c>
    </row>
    <row r="3144" s="18" customFormat="1" ht="14.399999999999999" customHeight="1">
      <c r="A3144" s="10" t="s">
        <v>7698</v>
      </c>
      <c r="B3144" s="10" t="s">
        <v>7699</v>
      </c>
      <c r="C3144" s="13" t="n">
        <v>50770</v>
      </c>
      <c r="D3144" s="13" t="n">
        <v>81102</v>
      </c>
      <c r="E3144" s="6" t="n">
        <f>SUM(C3144,D3144)/2</f>
        <v>65936</v>
      </c>
      <c r="F3144" s="12" t="n">
        <v>13811</v>
      </c>
      <c r="G3144" s="12" t="n">
        <v>19208</v>
      </c>
      <c r="H3144" s="6" t="n">
        <f>SUM(F3144,G3144)/2</f>
        <v>16509.5</v>
      </c>
    </row>
    <row r="3145" s="18" customFormat="1" ht="14.399999999999999" customHeight="1">
      <c r="A3145" s="10" t="s">
        <v>7700</v>
      </c>
      <c r="B3145" s="10" t="s">
        <v>7701</v>
      </c>
      <c r="C3145" s="13" t="n">
        <v>8699</v>
      </c>
      <c r="D3145" s="13" t="n">
        <v>13895</v>
      </c>
      <c r="E3145" s="6" t="n">
        <f>SUM(C3145,D3145)/2</f>
        <v>11297</v>
      </c>
      <c r="F3145" s="12" t="n">
        <v>12004</v>
      </c>
      <c r="G3145" s="12" t="n">
        <v>17144</v>
      </c>
      <c r="H3145" s="6" t="n">
        <f>SUM(F3145,G3145)/2</f>
        <v>14574</v>
      </c>
    </row>
    <row r="3146" s="18" customFormat="1" ht="14.399999999999999" customHeight="1">
      <c r="A3146" s="10" t="s">
        <v>7702</v>
      </c>
      <c r="B3146" s="10" t="s">
        <v>7703</v>
      </c>
      <c r="C3146" s="13" t="n">
        <v>25793</v>
      </c>
      <c r="D3146" s="13" t="n">
        <v>41203</v>
      </c>
      <c r="E3146" s="6" t="n">
        <f>SUM(C3146,D3146)/2</f>
        <v>33498</v>
      </c>
      <c r="F3146" s="12" t="n">
        <v>12789</v>
      </c>
      <c r="G3146" s="12" t="n">
        <v>15643</v>
      </c>
      <c r="H3146" s="6" t="n">
        <f>SUM(F3146,G3146)/2</f>
        <v>14216</v>
      </c>
    </row>
    <row r="3147" s="18" customFormat="1" ht="14.399999999999999" customHeight="1">
      <c r="A3147" s="10" t="s">
        <v>7704</v>
      </c>
      <c r="B3147" s="10" t="s">
        <v>7705</v>
      </c>
      <c r="C3147" s="13" t="n">
        <v>19345</v>
      </c>
      <c r="D3147" s="13" t="n">
        <v>30903</v>
      </c>
      <c r="E3147" s="6" t="n">
        <f>SUM(C3147,D3147)/2</f>
        <v>25124</v>
      </c>
      <c r="F3147" s="12" t="n">
        <v>12964</v>
      </c>
      <c r="G3147" s="12" t="n">
        <v>15071</v>
      </c>
      <c r="H3147" s="6" t="n">
        <f>SUM(F3147,G3147)/2</f>
        <v>14017.5</v>
      </c>
    </row>
    <row r="3148" s="18" customFormat="1" ht="14.399999999999999" customHeight="1">
      <c r="A3148" s="10" t="s">
        <v>7706</v>
      </c>
      <c r="B3148" s="10" t="s">
        <v>7707</v>
      </c>
      <c r="C3148" s="13" t="n">
        <v>84258</v>
      </c>
      <c r="D3148" s="13" t="n">
        <v>134596</v>
      </c>
      <c r="E3148" s="6" t="n">
        <f>SUM(C3148,D3148)/2</f>
        <v>109427</v>
      </c>
      <c r="F3148" s="12" t="n">
        <v>15834</v>
      </c>
      <c r="G3148" s="12" t="n">
        <v>23616</v>
      </c>
      <c r="H3148" s="6" t="n">
        <f>SUM(F3148,G3148)/2</f>
        <v>19725</v>
      </c>
    </row>
    <row r="3149" s="18" customFormat="1" ht="14.399999999999999" customHeight="1">
      <c r="A3149" s="10" t="s">
        <v>7708</v>
      </c>
      <c r="B3149" s="10" t="s">
        <v>7709</v>
      </c>
      <c r="C3149" s="13" t="n">
        <v>25946</v>
      </c>
      <c r="D3149" s="13" t="n">
        <v>41444</v>
      </c>
      <c r="E3149" s="6" t="n">
        <f>SUM(C3149,D3149)/2</f>
        <v>33695</v>
      </c>
      <c r="F3149" s="12" t="n">
        <v>6008</v>
      </c>
      <c r="G3149" s="12" t="n">
        <v>10378</v>
      </c>
      <c r="H3149" s="6" t="n">
        <f>SUM(F3149,G3149)/2</f>
        <v>8193</v>
      </c>
    </row>
    <row r="3150" s="18" customFormat="1" ht="14.399999999999999" customHeight="1">
      <c r="A3150" s="10" t="s">
        <v>7710</v>
      </c>
      <c r="B3150" s="10" t="s">
        <v>7711</v>
      </c>
      <c r="C3150" s="10" t="n">
        <v>0</v>
      </c>
      <c r="D3150" s="10" t="n">
        <v>0</v>
      </c>
      <c r="E3150" s="6" t="n">
        <f>SUM(C3150,D3150)/2</f>
        <v>0</v>
      </c>
      <c r="F3150" s="18" t="n">
        <v>0</v>
      </c>
      <c r="G3150" s="18" t="n">
        <v>0</v>
      </c>
      <c r="H3150" s="6" t="n">
        <f>SUM(F3150,G3150)/2</f>
        <v>0</v>
      </c>
    </row>
    <row r="3151" s="18" customFormat="1" ht="14.399999999999999" customHeight="1">
      <c r="A3151" s="10" t="s">
        <v>5175</v>
      </c>
      <c r="B3151" s="10" t="s">
        <v>7712</v>
      </c>
      <c r="C3151" s="13" t="n">
        <v>7995</v>
      </c>
      <c r="D3151" s="13" t="n">
        <v>12769</v>
      </c>
      <c r="E3151" s="6" t="n">
        <f>SUM(C3151,D3151)/2</f>
        <v>10382</v>
      </c>
      <c r="F3151" s="12" t="n">
        <v>3754</v>
      </c>
      <c r="G3151" s="12" t="n">
        <v>5207</v>
      </c>
      <c r="H3151" s="6" t="n">
        <f>SUM(F3151,G3151)/2</f>
        <v>4480.5</v>
      </c>
    </row>
    <row r="3152" s="18" customFormat="1" ht="14.399999999999999" customHeight="1">
      <c r="A3152" s="10" t="s">
        <v>7713</v>
      </c>
      <c r="B3152" s="10" t="s">
        <v>7714</v>
      </c>
      <c r="C3152" s="13" t="n">
        <v>30814</v>
      </c>
      <c r="D3152" s="13" t="n">
        <v>49220</v>
      </c>
      <c r="E3152" s="6" t="n">
        <f>SUM(C3152,D3152)/2</f>
        <v>40017</v>
      </c>
      <c r="F3152" s="12" t="n">
        <v>8007</v>
      </c>
      <c r="G3152" s="12" t="n">
        <v>10248</v>
      </c>
      <c r="H3152" s="6" t="n">
        <f>SUM(F3152,G3152)/2</f>
        <v>9127.5</v>
      </c>
    </row>
    <row r="3153" s="18" customFormat="1" ht="14.399999999999999" customHeight="1">
      <c r="A3153" s="10" t="s">
        <v>7715</v>
      </c>
      <c r="B3153" s="10" t="s">
        <v>7716</v>
      </c>
      <c r="C3153" s="13" t="n">
        <v>44502</v>
      </c>
      <c r="D3153" s="13" t="n">
        <v>71086</v>
      </c>
      <c r="E3153" s="6" t="n">
        <f>SUM(C3153,D3153)/2</f>
        <v>57794</v>
      </c>
      <c r="F3153" s="12" t="n">
        <v>16690</v>
      </c>
      <c r="G3153" s="12" t="n">
        <v>20210</v>
      </c>
      <c r="H3153" s="6" t="n">
        <f>SUM(F3153,G3153)/2</f>
        <v>18450</v>
      </c>
    </row>
    <row r="3154" s="18" customFormat="1" ht="14.399999999999999" customHeight="1">
      <c r="A3154" s="10" t="s">
        <v>1334</v>
      </c>
      <c r="B3154" s="10" t="s">
        <v>7717</v>
      </c>
      <c r="C3154" s="10" t="n">
        <v>91</v>
      </c>
      <c r="D3154" s="10" t="n">
        <v>145</v>
      </c>
      <c r="E3154" s="6" t="n">
        <f>SUM(C3154,D3154)/2</f>
        <v>118</v>
      </c>
      <c r="F3154" s="18" t="n">
        <v>58</v>
      </c>
      <c r="G3154" s="18" t="n">
        <v>66</v>
      </c>
      <c r="H3154" s="6" t="n">
        <f>SUM(F3154,G3154)/2</f>
        <v>62</v>
      </c>
    </row>
    <row r="3155" s="18" customFormat="1" ht="14.399999999999999" customHeight="1">
      <c r="A3155" s="10" t="s">
        <v>4333</v>
      </c>
      <c r="B3155" s="10" t="s">
        <v>7718</v>
      </c>
      <c r="C3155" s="13" t="n">
        <v>24588</v>
      </c>
      <c r="D3155" s="13" t="n">
        <v>39278</v>
      </c>
      <c r="E3155" s="6" t="n">
        <f>SUM(C3155,D3155)/2</f>
        <v>31933</v>
      </c>
      <c r="F3155" s="12" t="n">
        <v>9811</v>
      </c>
      <c r="G3155" s="12" t="n">
        <v>12343</v>
      </c>
      <c r="H3155" s="6" t="n">
        <f>SUM(F3155,G3155)/2</f>
        <v>11077</v>
      </c>
    </row>
    <row r="3156" s="18" customFormat="1" ht="14.399999999999999" customHeight="1">
      <c r="A3156" s="10" t="s">
        <v>5221</v>
      </c>
      <c r="B3156" s="10" t="s">
        <v>7719</v>
      </c>
      <c r="C3156" s="13" t="n">
        <v>7257</v>
      </c>
      <c r="D3156" s="13" t="n">
        <v>11591</v>
      </c>
      <c r="E3156" s="6" t="n">
        <f>SUM(C3156,D3156)/2</f>
        <v>9424</v>
      </c>
      <c r="F3156" s="12" t="n">
        <v>1979</v>
      </c>
      <c r="G3156" s="12" t="n">
        <v>2607</v>
      </c>
      <c r="H3156" s="6" t="n">
        <f>SUM(F3156,G3156)/2</f>
        <v>2293</v>
      </c>
    </row>
    <row r="3157" s="18" customFormat="1" ht="14.399999999999999" customHeight="1">
      <c r="A3157" s="10" t="s">
        <v>1336</v>
      </c>
      <c r="B3157" s="10" t="s">
        <v>7720</v>
      </c>
      <c r="C3157" s="10" t="n">
        <v>279</v>
      </c>
      <c r="D3157" s="10" t="n">
        <v>445</v>
      </c>
      <c r="E3157" s="6" t="n">
        <f>SUM(C3157,D3157)/2</f>
        <v>362</v>
      </c>
      <c r="F3157" s="18" t="n">
        <v>8</v>
      </c>
      <c r="G3157" s="18" t="n">
        <v>12</v>
      </c>
      <c r="H3157" s="6" t="n">
        <f>SUM(F3157,G3157)/2</f>
        <v>10</v>
      </c>
    </row>
    <row r="3158" s="18" customFormat="1" ht="14.399999999999999" customHeight="1">
      <c r="A3158" s="10" t="s">
        <v>7721</v>
      </c>
      <c r="B3158" s="10" t="s">
        <v>7722</v>
      </c>
      <c r="C3158" s="13" t="n">
        <v>350819</v>
      </c>
      <c r="D3158" s="13" t="n">
        <v>560399</v>
      </c>
      <c r="E3158" s="6" t="n">
        <f>SUM(C3158,D3158)/2</f>
        <v>455609</v>
      </c>
      <c r="F3158" s="12" t="n">
        <v>124384</v>
      </c>
      <c r="G3158" s="12" t="n">
        <v>150040</v>
      </c>
      <c r="H3158" s="6" t="n">
        <f>SUM(F3158,G3158)/2</f>
        <v>137212</v>
      </c>
    </row>
    <row r="3159" s="18" customFormat="1" ht="14.399999999999999" customHeight="1">
      <c r="A3159" s="10" t="s">
        <v>7723</v>
      </c>
      <c r="B3159" s="10" t="s">
        <v>7724</v>
      </c>
      <c r="C3159" s="13" t="n">
        <v>12809</v>
      </c>
      <c r="D3159" s="13" t="n">
        <v>20461</v>
      </c>
      <c r="E3159" s="6" t="n">
        <f>SUM(C3159,D3159)/2</f>
        <v>16635</v>
      </c>
      <c r="F3159" s="12" t="n">
        <v>9247</v>
      </c>
      <c r="G3159" s="12" t="n">
        <v>10899</v>
      </c>
      <c r="H3159" s="6" t="n">
        <f>SUM(F3159,G3159)/2</f>
        <v>10073</v>
      </c>
    </row>
    <row r="3160" s="18" customFormat="1" ht="14.399999999999999" customHeight="1">
      <c r="A3160" s="10" t="s">
        <v>7725</v>
      </c>
      <c r="B3160" s="10" t="s">
        <v>7726</v>
      </c>
      <c r="C3160" s="13" t="n">
        <v>54720</v>
      </c>
      <c r="D3160" s="13" t="n">
        <v>87410</v>
      </c>
      <c r="E3160" s="6" t="n">
        <f>SUM(C3160,D3160)/2</f>
        <v>71065</v>
      </c>
      <c r="F3160" s="12" t="n">
        <v>8039</v>
      </c>
      <c r="G3160" s="12" t="n">
        <v>11848</v>
      </c>
      <c r="H3160" s="6" t="n">
        <f>SUM(F3160,G3160)/2</f>
        <v>9943.5</v>
      </c>
    </row>
    <row r="3161" s="18" customFormat="1" ht="14.399999999999999" customHeight="1">
      <c r="A3161" s="10" t="s">
        <v>3009</v>
      </c>
      <c r="B3161" s="10" t="s">
        <v>7727</v>
      </c>
      <c r="C3161" s="10" t="n">
        <v>0</v>
      </c>
      <c r="D3161" s="10" t="n">
        <v>0</v>
      </c>
      <c r="E3161" s="6" t="n">
        <f>SUM(C3161,D3161)/2</f>
        <v>0</v>
      </c>
      <c r="F3161" s="18" t="n">
        <v>0</v>
      </c>
      <c r="G3161" s="18" t="n">
        <v>0</v>
      </c>
      <c r="H3161" s="6" t="n">
        <f>SUM(F3161,G3161)/2</f>
        <v>0</v>
      </c>
    </row>
    <row r="3162" s="18" customFormat="1" ht="14.399999999999999" customHeight="1">
      <c r="A3162" s="10" t="s">
        <v>7728</v>
      </c>
      <c r="B3162" s="10" t="s">
        <v>7729</v>
      </c>
      <c r="C3162" s="13" t="n">
        <v>43176</v>
      </c>
      <c r="D3162" s="13" t="n">
        <v>68968</v>
      </c>
      <c r="E3162" s="6" t="n">
        <f>SUM(C3162,D3162)/2</f>
        <v>56072</v>
      </c>
      <c r="F3162" s="12" t="n">
        <v>7596</v>
      </c>
      <c r="G3162" s="12" t="n">
        <v>11856</v>
      </c>
      <c r="H3162" s="6" t="n">
        <f>SUM(F3162,G3162)/2</f>
        <v>9726</v>
      </c>
    </row>
    <row r="3163" s="18" customFormat="1" ht="14.399999999999999" customHeight="1">
      <c r="A3163" s="10" t="s">
        <v>2670</v>
      </c>
      <c r="B3163" s="10" t="s">
        <v>7730</v>
      </c>
      <c r="C3163" s="10" t="n">
        <v>4</v>
      </c>
      <c r="D3163" s="10" t="n">
        <v>6</v>
      </c>
      <c r="E3163" s="6" t="n">
        <f>SUM(C3163,D3163)/2</f>
        <v>5</v>
      </c>
      <c r="F3163" s="18" t="n">
        <v>0</v>
      </c>
      <c r="G3163" s="18" t="n">
        <v>0</v>
      </c>
      <c r="H3163" s="6" t="n">
        <f>SUM(F3163,G3163)/2</f>
        <v>0</v>
      </c>
    </row>
    <row r="3164" s="18" customFormat="1" ht="14.399999999999999" customHeight="1">
      <c r="A3164" s="10" t="s">
        <v>7731</v>
      </c>
      <c r="B3164" s="10" t="s">
        <v>7732</v>
      </c>
      <c r="C3164" s="13" t="n">
        <v>41035</v>
      </c>
      <c r="D3164" s="13" t="n">
        <v>65551</v>
      </c>
      <c r="E3164" s="6" t="n">
        <f>SUM(C3164,D3164)/2</f>
        <v>53293</v>
      </c>
      <c r="F3164" s="12" t="n">
        <v>6929</v>
      </c>
      <c r="G3164" s="12" t="n">
        <v>9697</v>
      </c>
      <c r="H3164" s="6" t="n">
        <f>SUM(F3164,G3164)/2</f>
        <v>8313</v>
      </c>
    </row>
    <row r="3165" s="18" customFormat="1" ht="14.399999999999999" customHeight="1">
      <c r="A3165" s="10" t="s">
        <v>3391</v>
      </c>
      <c r="B3165" s="10" t="s">
        <v>7733</v>
      </c>
      <c r="C3165" s="13" t="n">
        <v>93137</v>
      </c>
      <c r="D3165" s="13" t="n">
        <v>148779</v>
      </c>
      <c r="E3165" s="6" t="n">
        <f>SUM(C3165,D3165)/2</f>
        <v>120958</v>
      </c>
      <c r="F3165" s="12" t="n">
        <v>16457</v>
      </c>
      <c r="G3165" s="12" t="n">
        <v>26238</v>
      </c>
      <c r="H3165" s="6" t="n">
        <f>SUM(F3165,G3165)/2</f>
        <v>21347.5</v>
      </c>
    </row>
    <row r="3166" s="18" customFormat="1" ht="14.399999999999999" customHeight="1">
      <c r="A3166" s="10" t="s">
        <v>2642</v>
      </c>
      <c r="B3166" s="10" t="s">
        <v>7734</v>
      </c>
      <c r="C3166" s="10" t="n">
        <v>75</v>
      </c>
      <c r="D3166" s="10" t="n">
        <v>119</v>
      </c>
      <c r="E3166" s="6" t="n">
        <f>SUM(C3166,D3166)/2</f>
        <v>97</v>
      </c>
      <c r="F3166" s="18" t="n">
        <v>318</v>
      </c>
      <c r="G3166" s="18" t="n">
        <v>353</v>
      </c>
      <c r="H3166" s="6" t="n">
        <f>SUM(F3166,G3166)/2</f>
        <v>335.5</v>
      </c>
    </row>
    <row r="3167" s="18" customFormat="1" ht="14.399999999999999" customHeight="1">
      <c r="A3167" s="10" t="s">
        <v>4633</v>
      </c>
      <c r="B3167" s="10" t="s">
        <v>7735</v>
      </c>
      <c r="C3167" s="13" t="n">
        <v>18777</v>
      </c>
      <c r="D3167" s="13" t="n">
        <v>29995</v>
      </c>
      <c r="E3167" s="6" t="n">
        <f>SUM(C3167,D3167)/2</f>
        <v>24386</v>
      </c>
      <c r="F3167" s="12" t="n">
        <v>7104</v>
      </c>
      <c r="G3167" s="12" t="n">
        <v>9871</v>
      </c>
      <c r="H3167" s="6" t="n">
        <f>SUM(F3167,G3167)/2</f>
        <v>8487.5</v>
      </c>
    </row>
    <row r="3168" s="18" customFormat="1" ht="14.399999999999999" customHeight="1">
      <c r="A3168" s="10" t="s">
        <v>7736</v>
      </c>
      <c r="B3168" s="10" t="s">
        <v>7737</v>
      </c>
      <c r="C3168" s="13" t="n">
        <v>16424</v>
      </c>
      <c r="D3168" s="13" t="n">
        <v>26240</v>
      </c>
      <c r="E3168" s="6" t="n">
        <f>SUM(C3168,D3168)/2</f>
        <v>21332</v>
      </c>
      <c r="F3168" s="12" t="n">
        <v>5978</v>
      </c>
      <c r="G3168" s="12" t="n">
        <v>8077</v>
      </c>
      <c r="H3168" s="6" t="n">
        <f>SUM(F3168,G3168)/2</f>
        <v>7027.5</v>
      </c>
    </row>
    <row r="3169" s="18" customFormat="1" ht="14.399999999999999" customHeight="1">
      <c r="A3169" s="10" t="s">
        <v>3925</v>
      </c>
      <c r="B3169" s="10" t="s">
        <v>7738</v>
      </c>
      <c r="C3169" s="13" t="n">
        <v>54250</v>
      </c>
      <c r="D3169" s="13" t="n">
        <v>86658</v>
      </c>
      <c r="E3169" s="6" t="n">
        <f>SUM(C3169,D3169)/2</f>
        <v>70454</v>
      </c>
      <c r="F3169" s="12" t="n">
        <v>8376</v>
      </c>
      <c r="G3169" s="12" t="n">
        <v>13809</v>
      </c>
      <c r="H3169" s="6" t="n">
        <f>SUM(F3169,G3169)/2</f>
        <v>11092.5</v>
      </c>
    </row>
    <row r="3170" s="18" customFormat="1" ht="14.399999999999999" customHeight="1">
      <c r="A3170" s="10" t="s">
        <v>7739</v>
      </c>
      <c r="B3170" s="10" t="s">
        <v>7740</v>
      </c>
      <c r="C3170" s="13" t="n">
        <v>7499</v>
      </c>
      <c r="D3170" s="13" t="n">
        <v>11977</v>
      </c>
      <c r="E3170" s="6" t="n">
        <f>SUM(C3170,D3170)/2</f>
        <v>9738</v>
      </c>
      <c r="F3170" s="12" t="n">
        <v>6341</v>
      </c>
      <c r="G3170" s="12" t="n">
        <v>8752</v>
      </c>
      <c r="H3170" s="6" t="n">
        <f>SUM(F3170,G3170)/2</f>
        <v>7546.5</v>
      </c>
    </row>
    <row r="3171" s="18" customFormat="1" ht="14.399999999999999" customHeight="1">
      <c r="A3171" s="10" t="s">
        <v>1921</v>
      </c>
      <c r="B3171" s="10" t="s">
        <v>7741</v>
      </c>
      <c r="C3171" s="10" t="n">
        <v>24</v>
      </c>
      <c r="D3171" s="10" t="n">
        <v>38</v>
      </c>
      <c r="E3171" s="6" t="n">
        <f>SUM(C3171,D3171)/2</f>
        <v>31</v>
      </c>
      <c r="F3171" s="18" t="n">
        <v>7</v>
      </c>
      <c r="G3171" s="18" t="n">
        <v>10</v>
      </c>
      <c r="H3171" s="6" t="n">
        <f>SUM(F3171,G3171)/2</f>
        <v>8.5</v>
      </c>
    </row>
    <row r="3172" s="18" customFormat="1" ht="14.399999999999999" customHeight="1">
      <c r="A3172" s="10" t="s">
        <v>7742</v>
      </c>
      <c r="B3172" s="10" t="s">
        <v>7743</v>
      </c>
      <c r="C3172" s="13" t="n">
        <v>25184</v>
      </c>
      <c r="D3172" s="13" t="n">
        <v>40228</v>
      </c>
      <c r="E3172" s="6" t="n">
        <f>SUM(C3172,D3172)/2</f>
        <v>32706</v>
      </c>
      <c r="F3172" s="12" t="n">
        <v>7347</v>
      </c>
      <c r="G3172" s="12" t="n">
        <v>9726</v>
      </c>
      <c r="H3172" s="6" t="n">
        <f>SUM(F3172,G3172)/2</f>
        <v>8536.5</v>
      </c>
    </row>
    <row r="3173" s="18" customFormat="1" ht="14.399999999999999" customHeight="1">
      <c r="A3173" s="10" t="s">
        <v>4571</v>
      </c>
      <c r="B3173" s="10" t="s">
        <v>7744</v>
      </c>
      <c r="C3173" s="13" t="n">
        <v>27416</v>
      </c>
      <c r="D3173" s="13" t="n">
        <v>43792</v>
      </c>
      <c r="E3173" s="6" t="n">
        <f>SUM(C3173,D3173)/2</f>
        <v>35604</v>
      </c>
      <c r="F3173" s="12" t="n">
        <v>5669</v>
      </c>
      <c r="G3173" s="12" t="n">
        <v>8181</v>
      </c>
      <c r="H3173" s="6" t="n">
        <f>SUM(F3173,G3173)/2</f>
        <v>6925</v>
      </c>
    </row>
    <row r="3174" s="18" customFormat="1" ht="14.399999999999999" customHeight="1">
      <c r="A3174" s="10" t="s">
        <v>1851</v>
      </c>
      <c r="B3174" s="10" t="s">
        <v>7745</v>
      </c>
      <c r="C3174" s="10" t="n">
        <v>71</v>
      </c>
      <c r="D3174" s="10" t="n">
        <v>115</v>
      </c>
      <c r="E3174" s="6" t="n">
        <f>SUM(C3174,D3174)/2</f>
        <v>93</v>
      </c>
      <c r="F3174" s="18" t="n">
        <v>0</v>
      </c>
      <c r="G3174" s="18" t="n">
        <v>0</v>
      </c>
      <c r="H3174" s="6" t="n">
        <f>SUM(F3174,G3174)/2</f>
        <v>0</v>
      </c>
    </row>
    <row r="3175" s="18" customFormat="1" ht="14.399999999999999" customHeight="1">
      <c r="A3175" s="10" t="s">
        <v>7746</v>
      </c>
      <c r="B3175" s="10" t="s">
        <v>7747</v>
      </c>
      <c r="C3175" s="13" t="n">
        <v>84337</v>
      </c>
      <c r="D3175" s="13" t="n">
        <v>134719</v>
      </c>
      <c r="E3175" s="6" t="n">
        <f>SUM(C3175,D3175)/2</f>
        <v>109528</v>
      </c>
      <c r="F3175" s="12" t="n">
        <v>8351</v>
      </c>
      <c r="G3175" s="12" t="n">
        <v>10886</v>
      </c>
      <c r="H3175" s="6" t="n">
        <f>SUM(F3175,G3175)/2</f>
        <v>9618.5</v>
      </c>
    </row>
    <row r="3176" s="18" customFormat="1" ht="14.399999999999999" customHeight="1">
      <c r="A3176" s="10" t="s">
        <v>5077</v>
      </c>
      <c r="B3176" s="10" t="s">
        <v>7748</v>
      </c>
      <c r="C3176" s="13" t="n">
        <v>6804</v>
      </c>
      <c r="D3176" s="13" t="n">
        <v>10868</v>
      </c>
      <c r="E3176" s="6" t="n">
        <f>SUM(C3176,D3176)/2</f>
        <v>8836</v>
      </c>
      <c r="F3176" s="12" t="n">
        <v>5237</v>
      </c>
      <c r="G3176" s="12" t="n">
        <v>8479</v>
      </c>
      <c r="H3176" s="6" t="n">
        <f>SUM(F3176,G3176)/2</f>
        <v>6858</v>
      </c>
    </row>
    <row r="3177" s="18" customFormat="1" ht="14.399999999999999" customHeight="1">
      <c r="A3177" s="10" t="s">
        <v>4727</v>
      </c>
      <c r="B3177" s="10" t="s">
        <v>7749</v>
      </c>
      <c r="C3177" s="13" t="n">
        <v>2007</v>
      </c>
      <c r="D3177" s="13" t="n">
        <v>3207</v>
      </c>
      <c r="E3177" s="6" t="n">
        <f>SUM(C3177,D3177)/2</f>
        <v>2607</v>
      </c>
      <c r="F3177" s="12" t="n">
        <v>9259</v>
      </c>
      <c r="G3177" s="12" t="n">
        <v>15009</v>
      </c>
      <c r="H3177" s="6" t="n">
        <f>SUM(F3177,G3177)/2</f>
        <v>12134</v>
      </c>
    </row>
    <row r="3178" s="18" customFormat="1" ht="14.399999999999999" customHeight="1">
      <c r="A3178" s="10" t="s">
        <v>2180</v>
      </c>
      <c r="B3178" s="10" t="s">
        <v>7750</v>
      </c>
      <c r="C3178" s="10" t="n">
        <v>3</v>
      </c>
      <c r="D3178" s="10" t="n">
        <v>5</v>
      </c>
      <c r="E3178" s="6" t="n">
        <f>SUM(C3178,D3178)/2</f>
        <v>4</v>
      </c>
      <c r="F3178" s="18" t="n">
        <v>6</v>
      </c>
      <c r="G3178" s="18" t="n">
        <v>8</v>
      </c>
      <c r="H3178" s="6" t="n">
        <f>SUM(F3178,G3178)/2</f>
        <v>7</v>
      </c>
    </row>
    <row r="3179" s="18" customFormat="1" ht="14.399999999999999" customHeight="1">
      <c r="A3179" s="10" t="s">
        <v>7751</v>
      </c>
      <c r="B3179" s="10" t="s">
        <v>7752</v>
      </c>
      <c r="C3179" s="13" t="n">
        <v>310038</v>
      </c>
      <c r="D3179" s="13" t="n">
        <v>495258</v>
      </c>
      <c r="E3179" s="6" t="n">
        <f>SUM(C3179,D3179)/2</f>
        <v>402648</v>
      </c>
      <c r="F3179" s="12" t="n">
        <v>22474</v>
      </c>
      <c r="G3179" s="12" t="n">
        <v>43616</v>
      </c>
      <c r="H3179" s="6" t="n">
        <f>SUM(F3179,G3179)/2</f>
        <v>33045</v>
      </c>
    </row>
    <row r="3180" s="18" customFormat="1" ht="14.399999999999999" customHeight="1">
      <c r="A3180" s="10" t="s">
        <v>7753</v>
      </c>
      <c r="B3180" s="10" t="s">
        <v>7754</v>
      </c>
      <c r="C3180" s="13" t="n">
        <v>54515</v>
      </c>
      <c r="D3180" s="13" t="n">
        <v>87083</v>
      </c>
      <c r="E3180" s="6" t="n">
        <f>SUM(C3180,D3180)/2</f>
        <v>70799</v>
      </c>
      <c r="F3180" s="12" t="n">
        <v>13513</v>
      </c>
      <c r="G3180" s="12" t="n">
        <v>19607</v>
      </c>
      <c r="H3180" s="6" t="n">
        <f>SUM(F3180,G3180)/2</f>
        <v>16560</v>
      </c>
    </row>
    <row r="3181" s="18" customFormat="1" ht="14.399999999999999" customHeight="1">
      <c r="A3181" s="10" t="s">
        <v>7755</v>
      </c>
      <c r="B3181" s="10" t="s">
        <v>7756</v>
      </c>
      <c r="C3181" s="13" t="n">
        <v>30497</v>
      </c>
      <c r="D3181" s="13" t="n">
        <v>48715</v>
      </c>
      <c r="E3181" s="6" t="n">
        <f>SUM(C3181,D3181)/2</f>
        <v>39606</v>
      </c>
      <c r="F3181" s="12" t="n">
        <v>9837</v>
      </c>
      <c r="G3181" s="12" t="n">
        <v>12582</v>
      </c>
      <c r="H3181" s="6" t="n">
        <f>SUM(F3181,G3181)/2</f>
        <v>11209.5</v>
      </c>
    </row>
    <row r="3182" s="18" customFormat="1" ht="14.399999999999999" customHeight="1">
      <c r="A3182" s="10" t="s">
        <v>1721</v>
      </c>
      <c r="B3182" s="10" t="s">
        <v>7757</v>
      </c>
      <c r="C3182" s="10" t="n">
        <v>44</v>
      </c>
      <c r="D3182" s="10" t="n">
        <v>68</v>
      </c>
      <c r="E3182" s="6" t="n">
        <f>SUM(C3182,D3182)/2</f>
        <v>56</v>
      </c>
      <c r="F3182" s="18" t="n">
        <v>14</v>
      </c>
      <c r="G3182" s="18" t="n">
        <v>24</v>
      </c>
      <c r="H3182" s="6" t="n">
        <f>SUM(F3182,G3182)/2</f>
        <v>19</v>
      </c>
    </row>
    <row r="3183" s="18" customFormat="1" ht="14.399999999999999" customHeight="1">
      <c r="A3183" s="10" t="s">
        <v>212</v>
      </c>
      <c r="B3183" s="10" t="s">
        <v>213</v>
      </c>
      <c r="C3183" s="13" t="n">
        <v>93871</v>
      </c>
      <c r="D3183" s="13" t="n">
        <v>149951</v>
      </c>
      <c r="E3183" s="6" t="n">
        <f>SUM(C3183,D3183)/2</f>
        <v>121911</v>
      </c>
      <c r="F3183" s="12" t="n">
        <v>9801</v>
      </c>
      <c r="G3183" s="12" t="n">
        <v>16862</v>
      </c>
      <c r="H3183" s="6" t="n">
        <f>SUM(F3183,G3183)/2</f>
        <v>13331.5</v>
      </c>
    </row>
    <row r="3184" s="18" customFormat="1" ht="14.399999999999999" customHeight="1">
      <c r="A3184" s="10" t="s">
        <v>7758</v>
      </c>
      <c r="B3184" s="10" t="s">
        <v>7759</v>
      </c>
      <c r="C3184" s="13" t="n">
        <v>151860</v>
      </c>
      <c r="D3184" s="13" t="n">
        <v>242580</v>
      </c>
      <c r="E3184" s="6" t="n">
        <f>SUM(C3184,D3184)/2</f>
        <v>197220</v>
      </c>
      <c r="F3184" s="12" t="n">
        <v>290496</v>
      </c>
      <c r="G3184" s="12" t="n">
        <v>395048</v>
      </c>
      <c r="H3184" s="6" t="n">
        <f>SUM(F3184,G3184)/2</f>
        <v>342772</v>
      </c>
    </row>
    <row r="3185" s="18" customFormat="1" ht="14.399999999999999" customHeight="1">
      <c r="A3185" s="10" t="s">
        <v>2476</v>
      </c>
      <c r="B3185" s="10" t="s">
        <v>7760</v>
      </c>
      <c r="C3185" s="10" t="n">
        <v>13</v>
      </c>
      <c r="D3185" s="10" t="n">
        <v>19</v>
      </c>
      <c r="E3185" s="6" t="n">
        <f>SUM(C3185,D3185)/2</f>
        <v>16</v>
      </c>
      <c r="F3185" s="18" t="n">
        <v>0</v>
      </c>
      <c r="G3185" s="18" t="n">
        <v>0</v>
      </c>
      <c r="H3185" s="6" t="n">
        <f>SUM(F3185,G3185)/2</f>
        <v>0</v>
      </c>
    </row>
    <row r="3186" s="18" customFormat="1" ht="14.399999999999999" customHeight="1">
      <c r="A3186" s="10" t="s">
        <v>7761</v>
      </c>
      <c r="B3186" s="10" t="s">
        <v>7762</v>
      </c>
      <c r="C3186" s="13" t="n">
        <v>14324</v>
      </c>
      <c r="D3186" s="13" t="n">
        <v>22882</v>
      </c>
      <c r="E3186" s="6" t="n">
        <f>SUM(C3186,D3186)/2</f>
        <v>18603</v>
      </c>
      <c r="F3186" s="12" t="n">
        <v>10328</v>
      </c>
      <c r="G3186" s="12" t="n">
        <v>12093</v>
      </c>
      <c r="H3186" s="6" t="n">
        <f>SUM(F3186,G3186)/2</f>
        <v>11210.5</v>
      </c>
    </row>
    <row r="3187" s="18" customFormat="1" ht="14.399999999999999" customHeight="1">
      <c r="A3187" s="10" t="s">
        <v>7763</v>
      </c>
      <c r="B3187" s="10" t="s">
        <v>7764</v>
      </c>
      <c r="C3187" s="13" t="n">
        <v>17952</v>
      </c>
      <c r="D3187" s="13" t="n">
        <v>28678</v>
      </c>
      <c r="E3187" s="6" t="n">
        <f>SUM(C3187,D3187)/2</f>
        <v>23315</v>
      </c>
      <c r="F3187" s="12" t="n">
        <v>5002</v>
      </c>
      <c r="G3187" s="12" t="n">
        <v>6662</v>
      </c>
      <c r="H3187" s="6" t="n">
        <f>SUM(F3187,G3187)/2</f>
        <v>5832</v>
      </c>
    </row>
    <row r="3188" s="18" customFormat="1" ht="14.399999999999999" customHeight="1">
      <c r="A3188" s="10" t="s">
        <v>7765</v>
      </c>
      <c r="B3188" s="10" t="s">
        <v>7766</v>
      </c>
      <c r="C3188" s="13" t="n">
        <v>33493</v>
      </c>
      <c r="D3188" s="13" t="n">
        <v>53505</v>
      </c>
      <c r="E3188" s="6" t="n">
        <f>SUM(C3188,D3188)/2</f>
        <v>43499</v>
      </c>
      <c r="F3188" s="12" t="n">
        <v>12346</v>
      </c>
      <c r="G3188" s="12" t="n">
        <v>18027</v>
      </c>
      <c r="H3188" s="6" t="n">
        <f>SUM(F3188,G3188)/2</f>
        <v>15186.5</v>
      </c>
    </row>
    <row r="3189" s="18" customFormat="1" ht="14.399999999999999" customHeight="1">
      <c r="A3189" s="10" t="s">
        <v>7767</v>
      </c>
      <c r="B3189" s="10" t="s">
        <v>7768</v>
      </c>
      <c r="C3189" s="13" t="n">
        <v>41162</v>
      </c>
      <c r="D3189" s="13" t="n">
        <v>65754</v>
      </c>
      <c r="E3189" s="6" t="n">
        <f>SUM(C3189,D3189)/2</f>
        <v>53458</v>
      </c>
      <c r="F3189" s="12" t="n">
        <v>7132</v>
      </c>
      <c r="G3189" s="12" t="n">
        <v>12531</v>
      </c>
      <c r="H3189" s="6" t="n">
        <f>SUM(F3189,G3189)/2</f>
        <v>9831.5</v>
      </c>
    </row>
    <row r="3190" s="18" customFormat="1" ht="14.399999999999999" customHeight="1">
      <c r="A3190" s="10" t="s">
        <v>1503</v>
      </c>
      <c r="B3190" s="10" t="s">
        <v>7769</v>
      </c>
      <c r="C3190" s="10" t="n">
        <v>122</v>
      </c>
      <c r="D3190" s="10" t="n">
        <v>196</v>
      </c>
      <c r="E3190" s="6" t="n">
        <f>SUM(C3190,D3190)/2</f>
        <v>159</v>
      </c>
      <c r="F3190" s="18" t="n">
        <v>0</v>
      </c>
      <c r="G3190" s="18" t="n">
        <v>0</v>
      </c>
      <c r="H3190" s="6" t="n">
        <f>SUM(F3190,G3190)/2</f>
        <v>0</v>
      </c>
    </row>
    <row r="3191" s="18" customFormat="1" ht="14.399999999999999" customHeight="1">
      <c r="A3191" s="10" t="s">
        <v>7770</v>
      </c>
      <c r="B3191" s="10" t="s">
        <v>7771</v>
      </c>
      <c r="C3191" s="13" t="n">
        <v>86983</v>
      </c>
      <c r="D3191" s="13" t="n">
        <v>138947</v>
      </c>
      <c r="E3191" s="6" t="n">
        <f>SUM(C3191,D3191)/2</f>
        <v>112965</v>
      </c>
      <c r="F3191" s="12" t="n">
        <v>27547</v>
      </c>
      <c r="G3191" s="12" t="n">
        <v>42560</v>
      </c>
      <c r="H3191" s="6" t="n">
        <f>SUM(F3191,G3191)/2</f>
        <v>35053.5</v>
      </c>
    </row>
    <row r="3192" s="18" customFormat="1" ht="14.399999999999999" customHeight="1">
      <c r="A3192" s="10" t="s">
        <v>5267</v>
      </c>
      <c r="B3192" s="10" t="s">
        <v>7772</v>
      </c>
      <c r="C3192" s="13" t="n">
        <v>419244</v>
      </c>
      <c r="D3192" s="13" t="n">
        <v>669702</v>
      </c>
      <c r="E3192" s="6" t="n">
        <f>SUM(C3192,D3192)/2</f>
        <v>544473</v>
      </c>
      <c r="F3192" s="12" t="n">
        <v>108332</v>
      </c>
      <c r="G3192" s="12" t="n">
        <v>152073</v>
      </c>
      <c r="H3192" s="6" t="n">
        <f>SUM(F3192,G3192)/2</f>
        <v>130202.5</v>
      </c>
    </row>
    <row r="3193" s="18" customFormat="1" ht="14.399999999999999" customHeight="1">
      <c r="A3193" s="10" t="s">
        <v>7773</v>
      </c>
      <c r="B3193" s="10" t="s">
        <v>7774</v>
      </c>
      <c r="C3193" s="13" t="n">
        <v>99600</v>
      </c>
      <c r="D3193" s="13" t="n">
        <v>159100</v>
      </c>
      <c r="E3193" s="6" t="n">
        <f>SUM(C3193,D3193)/2</f>
        <v>129350</v>
      </c>
      <c r="F3193" s="12" t="n">
        <v>17423</v>
      </c>
      <c r="G3193" s="12" t="n">
        <v>22992</v>
      </c>
      <c r="H3193" s="6" t="n">
        <f>SUM(F3193,G3193)/2</f>
        <v>20207.5</v>
      </c>
    </row>
    <row r="3194" s="18" customFormat="1" ht="14.399999999999999" customHeight="1">
      <c r="A3194" s="10" t="s">
        <v>2508</v>
      </c>
      <c r="B3194" s="10" t="s">
        <v>7775</v>
      </c>
      <c r="C3194" s="10" t="n">
        <v>76</v>
      </c>
      <c r="D3194" s="10" t="n">
        <v>122</v>
      </c>
      <c r="E3194" s="6" t="n">
        <f>SUM(C3194,D3194)/2</f>
        <v>99</v>
      </c>
      <c r="F3194" s="18" t="n">
        <v>32</v>
      </c>
      <c r="G3194" s="18" t="n">
        <v>46</v>
      </c>
      <c r="H3194" s="6" t="n">
        <f>SUM(F3194,G3194)/2</f>
        <v>39</v>
      </c>
    </row>
    <row r="3195" s="18" customFormat="1" ht="14.399999999999999" customHeight="1">
      <c r="A3195" s="10" t="s">
        <v>7776</v>
      </c>
      <c r="B3195" s="10" t="s">
        <v>7777</v>
      </c>
      <c r="C3195" s="13" t="n">
        <v>40447</v>
      </c>
      <c r="D3195" s="13" t="n">
        <v>64611</v>
      </c>
      <c r="E3195" s="6" t="n">
        <f>SUM(C3195,D3195)/2</f>
        <v>52529</v>
      </c>
      <c r="F3195" s="12" t="n">
        <v>9093</v>
      </c>
      <c r="G3195" s="12" t="n">
        <v>11407</v>
      </c>
      <c r="H3195" s="6" t="n">
        <f>SUM(F3195,G3195)/2</f>
        <v>10250</v>
      </c>
    </row>
    <row r="3196" s="18" customFormat="1" ht="14.399999999999999" customHeight="1">
      <c r="A3196" s="10" t="s">
        <v>7778</v>
      </c>
      <c r="B3196" s="10" t="s">
        <v>7779</v>
      </c>
      <c r="C3196" s="13" t="n">
        <v>103726</v>
      </c>
      <c r="D3196" s="13" t="n">
        <v>165690</v>
      </c>
      <c r="E3196" s="6" t="n">
        <f>SUM(C3196,D3196)/2</f>
        <v>134708</v>
      </c>
      <c r="F3196" s="12" t="n">
        <v>16199</v>
      </c>
      <c r="G3196" s="12" t="n">
        <v>23381</v>
      </c>
      <c r="H3196" s="6" t="n">
        <f>SUM(F3196,G3196)/2</f>
        <v>19790</v>
      </c>
    </row>
    <row r="3197" s="18" customFormat="1" ht="14.399999999999999" customHeight="1">
      <c r="A3197" s="10" t="s">
        <v>3199</v>
      </c>
      <c r="B3197" s="10" t="s">
        <v>7780</v>
      </c>
      <c r="C3197" s="13" t="n">
        <v>70988</v>
      </c>
      <c r="D3197" s="13" t="n">
        <v>113398</v>
      </c>
      <c r="E3197" s="6" t="n">
        <f>SUM(C3197,D3197)/2</f>
        <v>92193</v>
      </c>
      <c r="F3197" s="12" t="n">
        <v>32027</v>
      </c>
      <c r="G3197" s="12" t="n">
        <v>48868</v>
      </c>
      <c r="H3197" s="6" t="n">
        <f>SUM(F3197,G3197)/2</f>
        <v>40447.5</v>
      </c>
    </row>
    <row r="3198" s="18" customFormat="1" ht="14.399999999999999" customHeight="1">
      <c r="A3198" s="10" t="s">
        <v>7781</v>
      </c>
      <c r="B3198" s="10" t="s">
        <v>7782</v>
      </c>
      <c r="C3198" s="13" t="n">
        <v>29959</v>
      </c>
      <c r="D3198" s="13" t="n">
        <v>47857</v>
      </c>
      <c r="E3198" s="6" t="n">
        <f>SUM(C3198,D3198)/2</f>
        <v>38908</v>
      </c>
      <c r="F3198" s="12" t="n">
        <v>13027</v>
      </c>
      <c r="G3198" s="12" t="n">
        <v>19061</v>
      </c>
      <c r="H3198" s="6" t="n">
        <f>SUM(F3198,G3198)/2</f>
        <v>16044</v>
      </c>
    </row>
    <row r="3199" s="18" customFormat="1" ht="14.399999999999999" customHeight="1">
      <c r="A3199" s="10" t="s">
        <v>1358</v>
      </c>
      <c r="B3199" s="10" t="s">
        <v>7783</v>
      </c>
      <c r="C3199" s="10" t="n">
        <v>140</v>
      </c>
      <c r="D3199" s="10" t="n">
        <v>220</v>
      </c>
      <c r="E3199" s="6" t="n">
        <f>SUM(C3199,D3199)/2</f>
        <v>180</v>
      </c>
      <c r="F3199" s="18" t="n">
        <v>22</v>
      </c>
      <c r="G3199" s="18" t="n">
        <v>24</v>
      </c>
      <c r="H3199" s="6" t="n">
        <f>SUM(F3199,G3199)/2</f>
        <v>23</v>
      </c>
    </row>
    <row r="3200" s="18" customFormat="1" ht="14.399999999999999" customHeight="1">
      <c r="A3200" s="10" t="s">
        <v>1990</v>
      </c>
      <c r="B3200" s="10" t="s">
        <v>7784</v>
      </c>
      <c r="C3200" s="10" t="n">
        <v>13</v>
      </c>
      <c r="D3200" s="10" t="n">
        <v>21</v>
      </c>
      <c r="E3200" s="6" t="n">
        <f>SUM(C3200,D3200)/2</f>
        <v>17</v>
      </c>
      <c r="F3200" s="18" t="n">
        <v>8</v>
      </c>
      <c r="G3200" s="18" t="n">
        <v>11</v>
      </c>
      <c r="H3200" s="6" t="n">
        <f>SUM(F3200,G3200)/2</f>
        <v>9.5</v>
      </c>
    </row>
    <row r="3201" s="18" customFormat="1" ht="14.399999999999999" customHeight="1">
      <c r="A3201" s="10" t="s">
        <v>2022</v>
      </c>
      <c r="B3201" s="10" t="s">
        <v>7785</v>
      </c>
      <c r="C3201" s="10" t="n">
        <v>0</v>
      </c>
      <c r="D3201" s="10" t="n">
        <v>0</v>
      </c>
      <c r="E3201" s="6" t="n">
        <f>SUM(C3201,D3201)/2</f>
        <v>0</v>
      </c>
      <c r="F3201" s="18" t="n">
        <v>10</v>
      </c>
      <c r="G3201" s="18" t="n">
        <v>14</v>
      </c>
      <c r="H3201" s="6" t="n">
        <f>SUM(F3201,G3201)/2</f>
        <v>12</v>
      </c>
    </row>
    <row r="3202" s="18" customFormat="1" ht="14.399999999999999" customHeight="1">
      <c r="A3202" s="10" t="s">
        <v>7786</v>
      </c>
      <c r="B3202" s="10" t="s">
        <v>7787</v>
      </c>
      <c r="C3202" s="13" t="n">
        <v>19008</v>
      </c>
      <c r="D3202" s="13" t="n">
        <v>30360</v>
      </c>
      <c r="E3202" s="6" t="n">
        <f>SUM(C3202,D3202)/2</f>
        <v>24684</v>
      </c>
      <c r="F3202" s="12" t="n">
        <v>12968</v>
      </c>
      <c r="G3202" s="12" t="n">
        <v>16668</v>
      </c>
      <c r="H3202" s="6" t="n">
        <f>SUM(F3202,G3202)/2</f>
        <v>14818</v>
      </c>
    </row>
    <row r="3203" s="18" customFormat="1" ht="14.399999999999999" customHeight="1">
      <c r="A3203" s="10" t="s">
        <v>5394</v>
      </c>
      <c r="B3203" s="10" t="s">
        <v>7788</v>
      </c>
      <c r="C3203" s="10" t="n">
        <v>581</v>
      </c>
      <c r="D3203" s="10" t="n">
        <v>925</v>
      </c>
      <c r="E3203" s="6" t="n">
        <f>SUM(C3203,D3203)/2</f>
        <v>753</v>
      </c>
      <c r="F3203" s="18" t="n">
        <v>162</v>
      </c>
      <c r="G3203" s="18" t="n">
        <v>204</v>
      </c>
      <c r="H3203" s="6" t="n">
        <f>SUM(F3203,G3203)/2</f>
        <v>183</v>
      </c>
    </row>
    <row r="3204" s="18" customFormat="1" ht="14.399999999999999" customHeight="1">
      <c r="A3204" s="10" t="s">
        <v>1455</v>
      </c>
      <c r="B3204" s="10" t="s">
        <v>7789</v>
      </c>
      <c r="C3204" s="10" t="n">
        <v>1</v>
      </c>
      <c r="D3204" s="10" t="n">
        <v>1</v>
      </c>
      <c r="E3204" s="6" t="n">
        <f>SUM(C3204,D3204)/2</f>
        <v>1</v>
      </c>
      <c r="F3204" s="18" t="n">
        <v>1</v>
      </c>
      <c r="G3204" s="18" t="n">
        <v>1</v>
      </c>
      <c r="H3204" s="6" t="n">
        <f>SUM(F3204,G3204)/2</f>
        <v>1</v>
      </c>
    </row>
    <row r="3205" s="18" customFormat="1" ht="14.399999999999999" customHeight="1">
      <c r="A3205" s="10" t="s">
        <v>7790</v>
      </c>
      <c r="B3205" s="10" t="s">
        <v>7791</v>
      </c>
      <c r="C3205" s="13" t="n">
        <v>17316</v>
      </c>
      <c r="D3205" s="13" t="n">
        <v>27662</v>
      </c>
      <c r="E3205" s="6" t="n">
        <f>SUM(C3205,D3205)/2</f>
        <v>22489</v>
      </c>
      <c r="F3205" s="12" t="n">
        <v>9236</v>
      </c>
      <c r="G3205" s="12" t="n">
        <v>11762</v>
      </c>
      <c r="H3205" s="6" t="n">
        <f>SUM(F3205,G3205)/2</f>
        <v>10499</v>
      </c>
    </row>
    <row r="3206" s="18" customFormat="1" ht="14.399999999999999" customHeight="1">
      <c r="A3206" s="10" t="s">
        <v>7792</v>
      </c>
      <c r="B3206" s="10" t="s">
        <v>7793</v>
      </c>
      <c r="C3206" s="13" t="n">
        <v>30303</v>
      </c>
      <c r="D3206" s="13" t="n">
        <v>48407</v>
      </c>
      <c r="E3206" s="6" t="n">
        <f>SUM(C3206,D3206)/2</f>
        <v>39355</v>
      </c>
      <c r="F3206" s="12" t="n">
        <v>5042</v>
      </c>
      <c r="G3206" s="12" t="n">
        <v>7979</v>
      </c>
      <c r="H3206" s="6" t="n">
        <f>SUM(F3206,G3206)/2</f>
        <v>6510.5</v>
      </c>
    </row>
    <row r="3207" s="18" customFormat="1" ht="14.399999999999999" customHeight="1">
      <c r="A3207" s="10" t="s">
        <v>3813</v>
      </c>
      <c r="B3207" s="10" t="s">
        <v>7794</v>
      </c>
      <c r="C3207" s="13" t="n">
        <v>25110</v>
      </c>
      <c r="D3207" s="13" t="n">
        <v>40108</v>
      </c>
      <c r="E3207" s="6" t="n">
        <f>SUM(C3207,D3207)/2</f>
        <v>32609</v>
      </c>
      <c r="F3207" s="12" t="n">
        <v>19432</v>
      </c>
      <c r="G3207" s="12" t="n">
        <v>25952</v>
      </c>
      <c r="H3207" s="6" t="n">
        <f>SUM(F3207,G3207)/2</f>
        <v>22692</v>
      </c>
    </row>
    <row r="3208" s="18" customFormat="1" ht="14.399999999999999" customHeight="1">
      <c r="A3208" s="10" t="s">
        <v>7795</v>
      </c>
      <c r="B3208" s="10" t="s">
        <v>7796</v>
      </c>
      <c r="C3208" s="13" t="n">
        <v>17774</v>
      </c>
      <c r="D3208" s="13" t="n">
        <v>28394</v>
      </c>
      <c r="E3208" s="6" t="n">
        <f>SUM(C3208,D3208)/2</f>
        <v>23084</v>
      </c>
      <c r="F3208" s="12" t="n">
        <v>4916</v>
      </c>
      <c r="G3208" s="12" t="n">
        <v>6729</v>
      </c>
      <c r="H3208" s="6" t="n">
        <f>SUM(F3208,G3208)/2</f>
        <v>5822.5</v>
      </c>
    </row>
    <row r="3209" s="18" customFormat="1" ht="14.399999999999999" customHeight="1">
      <c r="A3209" s="10" t="s">
        <v>7797</v>
      </c>
      <c r="B3209" s="10" t="s">
        <v>7798</v>
      </c>
      <c r="C3209" s="13" t="n">
        <v>88039</v>
      </c>
      <c r="D3209" s="13" t="n">
        <v>140633</v>
      </c>
      <c r="E3209" s="6" t="n">
        <f>SUM(C3209,D3209)/2</f>
        <v>114336</v>
      </c>
      <c r="F3209" s="12" t="n">
        <v>14263</v>
      </c>
      <c r="G3209" s="12" t="n">
        <v>22679</v>
      </c>
      <c r="H3209" s="6" t="n">
        <f>SUM(F3209,G3209)/2</f>
        <v>18471</v>
      </c>
    </row>
    <row r="3210" s="18" customFormat="1" ht="14.399999999999999" customHeight="1">
      <c r="A3210" s="10" t="s">
        <v>3011</v>
      </c>
      <c r="B3210" s="10" t="s">
        <v>7799</v>
      </c>
      <c r="C3210" s="10" t="n">
        <v>0</v>
      </c>
      <c r="D3210" s="10" t="n">
        <v>0</v>
      </c>
      <c r="E3210" s="6" t="n">
        <f>SUM(C3210,D3210)/2</f>
        <v>0</v>
      </c>
      <c r="F3210" s="18" t="n">
        <v>0</v>
      </c>
      <c r="G3210" s="18" t="n">
        <v>0</v>
      </c>
      <c r="H3210" s="6" t="n">
        <f>SUM(F3210,G3210)/2</f>
        <v>0</v>
      </c>
    </row>
    <row r="3211" s="18" customFormat="1" ht="14.399999999999999" customHeight="1">
      <c r="A3211" s="10" t="s">
        <v>7800</v>
      </c>
      <c r="B3211" s="10" t="s">
        <v>7801</v>
      </c>
      <c r="C3211" s="13" t="n">
        <v>22336</v>
      </c>
      <c r="D3211" s="13" t="n">
        <v>35679</v>
      </c>
      <c r="E3211" s="6" t="n">
        <f>SUM(C3211,D3211)/2</f>
        <v>29007.5</v>
      </c>
      <c r="F3211" s="12" t="n">
        <v>11260</v>
      </c>
      <c r="G3211" s="12" t="n">
        <v>17057</v>
      </c>
      <c r="H3211" s="6" t="n">
        <f>SUM(F3211,G3211)/2</f>
        <v>14158.5</v>
      </c>
    </row>
    <row r="3212" s="18" customFormat="1" ht="14.399999999999999" customHeight="1">
      <c r="A3212" s="10" t="s">
        <v>4863</v>
      </c>
      <c r="B3212" s="10" t="s">
        <v>7802</v>
      </c>
      <c r="C3212" s="13" t="n">
        <v>23224</v>
      </c>
      <c r="D3212" s="13" t="n">
        <v>37096</v>
      </c>
      <c r="E3212" s="6" t="n">
        <f>SUM(C3212,D3212)/2</f>
        <v>30160</v>
      </c>
      <c r="F3212" s="12" t="n">
        <v>4130</v>
      </c>
      <c r="G3212" s="12" t="n">
        <v>5382</v>
      </c>
      <c r="H3212" s="6" t="n">
        <f>SUM(F3212,G3212)/2</f>
        <v>4756</v>
      </c>
    </row>
    <row r="3213" s="18" customFormat="1" ht="14.399999999999999" customHeight="1">
      <c r="A3213" s="10" t="s">
        <v>1683</v>
      </c>
      <c r="B3213" s="10" t="s">
        <v>7803</v>
      </c>
      <c r="C3213" s="10" t="n">
        <v>68</v>
      </c>
      <c r="D3213" s="10" t="n">
        <v>107</v>
      </c>
      <c r="E3213" s="6" t="n">
        <f>SUM(C3213,D3213)/2</f>
        <v>87.5</v>
      </c>
      <c r="F3213" s="18" t="n">
        <v>14</v>
      </c>
      <c r="G3213" s="18" t="n">
        <v>22</v>
      </c>
      <c r="H3213" s="6" t="n">
        <f>SUM(F3213,G3213)/2</f>
        <v>18</v>
      </c>
    </row>
    <row r="3214" s="18" customFormat="1" ht="14.399999999999999" customHeight="1">
      <c r="A3214" s="10" t="s">
        <v>1027</v>
      </c>
      <c r="B3214" s="10" t="s">
        <v>7804</v>
      </c>
      <c r="C3214" s="10" t="n">
        <v>253</v>
      </c>
      <c r="D3214" s="10" t="n">
        <v>403</v>
      </c>
      <c r="E3214" s="6" t="n">
        <f>SUM(C3214,D3214)/2</f>
        <v>328</v>
      </c>
      <c r="F3214" s="18" t="n">
        <v>6</v>
      </c>
      <c r="G3214" s="18" t="n">
        <v>10</v>
      </c>
      <c r="H3214" s="6" t="n">
        <f>SUM(F3214,G3214)/2</f>
        <v>8</v>
      </c>
    </row>
    <row r="3215" s="18" customFormat="1" ht="14.399999999999999" customHeight="1">
      <c r="A3215" s="10" t="s">
        <v>7805</v>
      </c>
      <c r="B3215" s="10" t="s">
        <v>7806</v>
      </c>
      <c r="C3215" s="13" t="n">
        <v>102180</v>
      </c>
      <c r="D3215" s="13" t="n">
        <v>163222</v>
      </c>
      <c r="E3215" s="6" t="n">
        <f>SUM(C3215,D3215)/2</f>
        <v>132701</v>
      </c>
      <c r="F3215" s="12" t="n">
        <v>18240</v>
      </c>
      <c r="G3215" s="12" t="n">
        <v>25523</v>
      </c>
      <c r="H3215" s="6" t="n">
        <f>SUM(F3215,G3215)/2</f>
        <v>21881.5</v>
      </c>
    </row>
    <row r="3216" s="18" customFormat="1" ht="14.399999999999999" customHeight="1">
      <c r="A3216" s="10" t="s">
        <v>7807</v>
      </c>
      <c r="B3216" s="10" t="s">
        <v>7808</v>
      </c>
      <c r="C3216" s="13" t="n">
        <v>224881</v>
      </c>
      <c r="D3216" s="13" t="n">
        <v>359225</v>
      </c>
      <c r="E3216" s="6" t="n">
        <f>SUM(C3216,D3216)/2</f>
        <v>292053</v>
      </c>
      <c r="F3216" s="12" t="n">
        <v>4209</v>
      </c>
      <c r="G3216" s="12" t="n">
        <v>20332</v>
      </c>
      <c r="H3216" s="6" t="n">
        <f>SUM(F3216,G3216)/2</f>
        <v>12270.5</v>
      </c>
    </row>
    <row r="3217" s="18" customFormat="1" ht="14.399999999999999" customHeight="1">
      <c r="A3217" s="10" t="s">
        <v>4481</v>
      </c>
      <c r="B3217" s="10" t="s">
        <v>7809</v>
      </c>
      <c r="C3217" s="13" t="n">
        <v>18269</v>
      </c>
      <c r="D3217" s="13" t="n">
        <v>29185</v>
      </c>
      <c r="E3217" s="6" t="n">
        <f>SUM(C3217,D3217)/2</f>
        <v>23727</v>
      </c>
      <c r="F3217" s="12" t="n">
        <v>6438</v>
      </c>
      <c r="G3217" s="12" t="n">
        <v>14826</v>
      </c>
      <c r="H3217" s="6" t="n">
        <f>SUM(F3217,G3217)/2</f>
        <v>10632</v>
      </c>
    </row>
    <row r="3218" s="18" customFormat="1" ht="14.399999999999999" customHeight="1">
      <c r="A3218" s="10" t="s">
        <v>7810</v>
      </c>
      <c r="B3218" s="10" t="s">
        <v>7811</v>
      </c>
      <c r="C3218" s="13" t="n">
        <v>82449</v>
      </c>
      <c r="D3218" s="13" t="n">
        <v>131705</v>
      </c>
      <c r="E3218" s="6" t="n">
        <f>SUM(C3218,D3218)/2</f>
        <v>107077</v>
      </c>
      <c r="F3218" s="12" t="n">
        <v>8178</v>
      </c>
      <c r="G3218" s="12" t="n">
        <v>10744</v>
      </c>
      <c r="H3218" s="6" t="n">
        <f>SUM(F3218,G3218)/2</f>
        <v>9461</v>
      </c>
    </row>
    <row r="3219" s="18" customFormat="1" ht="14.399999999999999" customHeight="1">
      <c r="A3219" s="10" t="s">
        <v>2012</v>
      </c>
      <c r="B3219" s="10" t="s">
        <v>7812</v>
      </c>
      <c r="C3219" s="10" t="n">
        <v>103</v>
      </c>
      <c r="D3219" s="10" t="n">
        <v>163</v>
      </c>
      <c r="E3219" s="6" t="n">
        <f>SUM(C3219,D3219)/2</f>
        <v>133</v>
      </c>
      <c r="F3219" s="18" t="n">
        <v>242</v>
      </c>
      <c r="G3219" s="18" t="n">
        <v>282</v>
      </c>
      <c r="H3219" s="6" t="n">
        <f>SUM(F3219,G3219)/2</f>
        <v>262</v>
      </c>
    </row>
    <row r="3220" s="18" customFormat="1" ht="14.399999999999999" customHeight="1">
      <c r="A3220" s="10" t="s">
        <v>7813</v>
      </c>
      <c r="B3220" s="10" t="s">
        <v>7814</v>
      </c>
      <c r="C3220" s="13" t="n">
        <v>35477</v>
      </c>
      <c r="D3220" s="13" t="n">
        <v>56669</v>
      </c>
      <c r="E3220" s="6" t="n">
        <f>SUM(C3220,D3220)/2</f>
        <v>46073</v>
      </c>
      <c r="F3220" s="12" t="n">
        <v>27552</v>
      </c>
      <c r="G3220" s="12" t="n">
        <v>32206</v>
      </c>
      <c r="H3220" s="6" t="n">
        <f>SUM(F3220,G3220)/2</f>
        <v>29879</v>
      </c>
    </row>
    <row r="3221" s="18" customFormat="1" ht="14.399999999999999" customHeight="1">
      <c r="A3221" s="10" t="s">
        <v>7815</v>
      </c>
      <c r="B3221" s="10" t="s">
        <v>7816</v>
      </c>
      <c r="C3221" s="13" t="n">
        <v>33336</v>
      </c>
      <c r="D3221" s="13" t="n">
        <v>53250</v>
      </c>
      <c r="E3221" s="6" t="n">
        <f>SUM(C3221,D3221)/2</f>
        <v>43293</v>
      </c>
      <c r="F3221" s="12" t="n">
        <v>8815</v>
      </c>
      <c r="G3221" s="12" t="n">
        <v>10532</v>
      </c>
      <c r="H3221" s="6" t="n">
        <f>SUM(F3221,G3221)/2</f>
        <v>9673.5</v>
      </c>
    </row>
    <row r="3222" s="18" customFormat="1" ht="14.399999999999999" customHeight="1">
      <c r="A3222" s="10" t="s">
        <v>3507</v>
      </c>
      <c r="B3222" s="10" t="s">
        <v>7817</v>
      </c>
      <c r="C3222" s="13" t="n">
        <v>54762</v>
      </c>
      <c r="D3222" s="13" t="n">
        <v>87479</v>
      </c>
      <c r="E3222" s="6" t="n">
        <f>SUM(C3222,D3222)/2</f>
        <v>71120.5</v>
      </c>
      <c r="F3222" s="12" t="n">
        <v>24328</v>
      </c>
      <c r="G3222" s="12" t="n">
        <v>29669</v>
      </c>
      <c r="H3222" s="6" t="n">
        <f>SUM(F3222,G3222)/2</f>
        <v>26998.5</v>
      </c>
    </row>
    <row r="3223" s="18" customFormat="1" ht="14.399999999999999" customHeight="1">
      <c r="A3223" s="10" t="s">
        <v>1905</v>
      </c>
      <c r="B3223" s="10" t="s">
        <v>7818</v>
      </c>
      <c r="C3223" s="10" t="n">
        <v>40</v>
      </c>
      <c r="D3223" s="10" t="n">
        <v>64</v>
      </c>
      <c r="E3223" s="6" t="n">
        <f>SUM(C3223,D3223)/2</f>
        <v>52</v>
      </c>
      <c r="F3223" s="18" t="n">
        <v>5</v>
      </c>
      <c r="G3223" s="18" t="n">
        <v>6</v>
      </c>
      <c r="H3223" s="6" t="n">
        <f>SUM(F3223,G3223)/2</f>
        <v>5.5</v>
      </c>
    </row>
    <row r="3224" s="18" customFormat="1" ht="14.399999999999999" customHeight="1">
      <c r="A3224" s="10" t="s">
        <v>4965</v>
      </c>
      <c r="B3224" s="10" t="s">
        <v>7819</v>
      </c>
      <c r="C3224" s="13" t="n">
        <v>5993</v>
      </c>
      <c r="D3224" s="13" t="n">
        <v>9571</v>
      </c>
      <c r="E3224" s="6" t="n">
        <f>SUM(C3224,D3224)/2</f>
        <v>7782</v>
      </c>
      <c r="F3224" s="12" t="n">
        <v>6789</v>
      </c>
      <c r="G3224" s="12" t="n">
        <v>9971</v>
      </c>
      <c r="H3224" s="6" t="n">
        <f>SUM(F3224,G3224)/2</f>
        <v>8380</v>
      </c>
    </row>
    <row r="3225" s="18" customFormat="1" ht="14.399999999999999" customHeight="1">
      <c r="A3225" s="10" t="s">
        <v>5442</v>
      </c>
      <c r="B3225" s="10" t="s">
        <v>7820</v>
      </c>
      <c r="C3225" s="10" t="n">
        <v>357</v>
      </c>
      <c r="D3225" s="10" t="n">
        <v>571</v>
      </c>
      <c r="E3225" s="6" t="n">
        <f>SUM(C3225,D3225)/2</f>
        <v>464</v>
      </c>
      <c r="F3225" s="18" t="n">
        <v>101</v>
      </c>
      <c r="G3225" s="18" t="n">
        <v>131</v>
      </c>
      <c r="H3225" s="6" t="n">
        <f>SUM(F3225,G3225)/2</f>
        <v>116</v>
      </c>
    </row>
    <row r="3226" s="18" customFormat="1" ht="14.399999999999999" customHeight="1">
      <c r="A3226" s="10" t="s">
        <v>7821</v>
      </c>
      <c r="B3226" s="10" t="s">
        <v>7822</v>
      </c>
      <c r="C3226" s="13" t="n">
        <v>12762</v>
      </c>
      <c r="D3226" s="13" t="n">
        <v>20388</v>
      </c>
      <c r="E3226" s="6" t="n">
        <f>SUM(C3226,D3226)/2</f>
        <v>16575</v>
      </c>
      <c r="F3226" s="12" t="n">
        <v>4340</v>
      </c>
      <c r="G3226" s="12" t="n">
        <v>6167</v>
      </c>
      <c r="H3226" s="6" t="n">
        <f>SUM(F3226,G3226)/2</f>
        <v>5253.5</v>
      </c>
    </row>
    <row r="3227" s="18" customFormat="1" ht="14.399999999999999" customHeight="1">
      <c r="A3227" s="10" t="s">
        <v>7823</v>
      </c>
      <c r="B3227" s="10" t="s">
        <v>7824</v>
      </c>
      <c r="C3227" s="13" t="n">
        <v>47570</v>
      </c>
      <c r="D3227" s="13" t="n">
        <v>75986</v>
      </c>
      <c r="E3227" s="6" t="n">
        <f>SUM(C3227,D3227)/2</f>
        <v>61778</v>
      </c>
      <c r="F3227" s="12" t="n">
        <v>7274</v>
      </c>
      <c r="G3227" s="12" t="n">
        <v>11370</v>
      </c>
      <c r="H3227" s="6" t="n">
        <f>SUM(F3227,G3227)/2</f>
        <v>9322</v>
      </c>
    </row>
    <row r="3228" s="18" customFormat="1" ht="14.399999999999999" customHeight="1">
      <c r="A3228" s="10" t="s">
        <v>4879</v>
      </c>
      <c r="B3228" s="10" t="s">
        <v>7825</v>
      </c>
      <c r="C3228" s="13" t="n">
        <v>8968</v>
      </c>
      <c r="D3228" s="13" t="n">
        <v>14324</v>
      </c>
      <c r="E3228" s="6" t="n">
        <f>SUM(C3228,D3228)/2</f>
        <v>11646</v>
      </c>
      <c r="F3228" s="12" t="n">
        <v>6660</v>
      </c>
      <c r="G3228" s="12" t="n">
        <v>10496</v>
      </c>
      <c r="H3228" s="6" t="n">
        <f>SUM(F3228,G3228)/2</f>
        <v>8578</v>
      </c>
    </row>
    <row r="3229" s="18" customFormat="1" ht="14.399999999999999" customHeight="1">
      <c r="A3229" s="10" t="s">
        <v>7826</v>
      </c>
      <c r="B3229" s="10" t="s">
        <v>7827</v>
      </c>
      <c r="C3229" s="10" t="n">
        <v>0</v>
      </c>
      <c r="D3229" s="10" t="n">
        <v>0</v>
      </c>
      <c r="E3229" s="6" t="n">
        <f>SUM(C3229,D3229)/2</f>
        <v>0</v>
      </c>
      <c r="F3229" s="18" t="n">
        <v>0</v>
      </c>
      <c r="G3229" s="18" t="n">
        <v>0</v>
      </c>
      <c r="H3229" s="6" t="n">
        <f>SUM(F3229,G3229)/2</f>
        <v>0</v>
      </c>
    </row>
    <row r="3230" s="18" customFormat="1" ht="14.399999999999999" customHeight="1">
      <c r="A3230" s="10" t="s">
        <v>7828</v>
      </c>
      <c r="B3230" s="10" t="s">
        <v>7829</v>
      </c>
      <c r="C3230" s="13" t="n">
        <v>15152</v>
      </c>
      <c r="D3230" s="13" t="n">
        <v>24206</v>
      </c>
      <c r="E3230" s="6" t="n">
        <f>SUM(C3230,D3230)/2</f>
        <v>19679</v>
      </c>
      <c r="F3230" s="12" t="n">
        <v>10832</v>
      </c>
      <c r="G3230" s="12" t="n">
        <v>12249</v>
      </c>
      <c r="H3230" s="6" t="n">
        <f>SUM(F3230,G3230)/2</f>
        <v>11540.5</v>
      </c>
    </row>
    <row r="3231" s="18" customFormat="1" ht="14.399999999999999" customHeight="1">
      <c r="A3231" s="10" t="s">
        <v>7830</v>
      </c>
      <c r="B3231" s="10" t="s">
        <v>7831</v>
      </c>
      <c r="C3231" s="13" t="n">
        <v>35706</v>
      </c>
      <c r="D3231" s="13" t="n">
        <v>57039</v>
      </c>
      <c r="E3231" s="6" t="n">
        <f>SUM(C3231,D3231)/2</f>
        <v>46372.5</v>
      </c>
      <c r="F3231" s="12" t="n">
        <v>15747</v>
      </c>
      <c r="G3231" s="12" t="n">
        <v>20498</v>
      </c>
      <c r="H3231" s="6" t="n">
        <f>SUM(F3231,G3231)/2</f>
        <v>18122.5</v>
      </c>
    </row>
    <row r="3232" s="18" customFormat="1" ht="14.399999999999999" customHeight="1">
      <c r="A3232" s="10" t="s">
        <v>2494</v>
      </c>
      <c r="B3232" s="10" t="s">
        <v>7832</v>
      </c>
      <c r="C3232" s="10" t="n">
        <v>2</v>
      </c>
      <c r="D3232" s="10" t="n">
        <v>4</v>
      </c>
      <c r="E3232" s="6" t="n">
        <f>SUM(C3232,D3232)/2</f>
        <v>3</v>
      </c>
      <c r="F3232" s="18" t="n">
        <v>2</v>
      </c>
      <c r="G3232" s="18" t="n">
        <v>3</v>
      </c>
      <c r="H3232" s="6" t="n">
        <f>SUM(F3232,G3232)/2</f>
        <v>2.5</v>
      </c>
    </row>
    <row r="3233" s="18" customFormat="1" ht="14.399999999999999" customHeight="1">
      <c r="A3233" s="10" t="s">
        <v>7833</v>
      </c>
      <c r="B3233" s="10" t="s">
        <v>7834</v>
      </c>
      <c r="C3233" s="10" t="n">
        <v>0</v>
      </c>
      <c r="D3233" s="10" t="n">
        <v>0</v>
      </c>
      <c r="E3233" s="6" t="n">
        <f>SUM(C3233,D3233)/2</f>
        <v>0</v>
      </c>
      <c r="F3233" s="18" t="n">
        <v>0</v>
      </c>
      <c r="G3233" s="18" t="n">
        <v>0</v>
      </c>
      <c r="H3233" s="6" t="n">
        <f>SUM(F3233,G3233)/2</f>
        <v>0</v>
      </c>
    </row>
    <row r="3234" s="18" customFormat="1" ht="14.399999999999999" customHeight="1">
      <c r="A3234" s="10" t="s">
        <v>660</v>
      </c>
      <c r="B3234" s="10" t="s">
        <v>661</v>
      </c>
      <c r="C3234" s="10" t="n">
        <v>699</v>
      </c>
      <c r="D3234" s="13" t="n">
        <v>1117</v>
      </c>
      <c r="E3234" s="6" t="n">
        <f>SUM(C3234,D3234)/2</f>
        <v>908</v>
      </c>
      <c r="F3234" s="18" t="n">
        <v>103</v>
      </c>
      <c r="G3234" s="18" t="n">
        <v>142</v>
      </c>
      <c r="H3234" s="6" t="n">
        <f>SUM(F3234,G3234)/2</f>
        <v>122.5</v>
      </c>
    </row>
    <row r="3235" s="18" customFormat="1" ht="14.399999999999999" customHeight="1">
      <c r="A3235" s="10" t="s">
        <v>3871</v>
      </c>
      <c r="B3235" s="10" t="s">
        <v>7835</v>
      </c>
      <c r="C3235" s="13" t="n">
        <v>55689</v>
      </c>
      <c r="D3235" s="13" t="n">
        <v>88958</v>
      </c>
      <c r="E3235" s="6" t="n">
        <f>SUM(C3235,D3235)/2</f>
        <v>72323.5</v>
      </c>
      <c r="F3235" s="12" t="n">
        <v>8642</v>
      </c>
      <c r="G3235" s="12" t="n">
        <v>16330</v>
      </c>
      <c r="H3235" s="6" t="n">
        <f>SUM(F3235,G3235)/2</f>
        <v>12486</v>
      </c>
    </row>
    <row r="3236" s="18" customFormat="1" ht="14.399999999999999" customHeight="1">
      <c r="A3236" s="10" t="s">
        <v>3489</v>
      </c>
      <c r="B3236" s="10" t="s">
        <v>7836</v>
      </c>
      <c r="C3236" s="13" t="n">
        <v>68006</v>
      </c>
      <c r="D3236" s="13" t="n">
        <v>108633</v>
      </c>
      <c r="E3236" s="6" t="n">
        <f>SUM(C3236,D3236)/2</f>
        <v>88319.5</v>
      </c>
      <c r="F3236" s="12" t="n">
        <v>20353</v>
      </c>
      <c r="G3236" s="12" t="n">
        <v>28344</v>
      </c>
      <c r="H3236" s="6" t="n">
        <f>SUM(F3236,G3236)/2</f>
        <v>24348.5</v>
      </c>
    </row>
    <row r="3237" s="18" customFormat="1" ht="14.399999999999999" customHeight="1">
      <c r="A3237" s="10" t="s">
        <v>1707</v>
      </c>
      <c r="B3237" s="10" t="s">
        <v>7837</v>
      </c>
      <c r="C3237" s="10" t="n">
        <v>14</v>
      </c>
      <c r="D3237" s="10" t="n">
        <v>22</v>
      </c>
      <c r="E3237" s="6" t="n">
        <f>SUM(C3237,D3237)/2</f>
        <v>18</v>
      </c>
      <c r="F3237" s="18" t="n">
        <v>23</v>
      </c>
      <c r="G3237" s="18" t="n">
        <v>34</v>
      </c>
      <c r="H3237" s="6" t="n">
        <f>SUM(F3237,G3237)/2</f>
        <v>28.5</v>
      </c>
    </row>
    <row r="3238" s="18" customFormat="1" ht="14.399999999999999" customHeight="1">
      <c r="A3238" s="10" t="s">
        <v>7838</v>
      </c>
      <c r="B3238" s="10" t="s">
        <v>7839</v>
      </c>
      <c r="C3238" s="10" t="n">
        <v>323</v>
      </c>
      <c r="D3238" s="10" t="n">
        <v>515</v>
      </c>
      <c r="E3238" s="6" t="n">
        <f>SUM(C3238,D3238)/2</f>
        <v>419</v>
      </c>
      <c r="F3238" s="18" t="n">
        <v>10</v>
      </c>
      <c r="G3238" s="18" t="n">
        <v>15</v>
      </c>
      <c r="H3238" s="6" t="n">
        <f>SUM(F3238,G3238)/2</f>
        <v>12.5</v>
      </c>
    </row>
    <row r="3239" s="18" customFormat="1" ht="14.399999999999999" customHeight="1">
      <c r="A3239" s="10" t="s">
        <v>7840</v>
      </c>
      <c r="B3239" s="10" t="s">
        <v>7841</v>
      </c>
      <c r="C3239" s="13" t="n">
        <v>228531</v>
      </c>
      <c r="D3239" s="13" t="n">
        <v>365055</v>
      </c>
      <c r="E3239" s="6" t="n">
        <f>SUM(C3239,D3239)/2</f>
        <v>296793</v>
      </c>
      <c r="F3239" s="12" t="n">
        <v>42361</v>
      </c>
      <c r="G3239" s="12" t="n">
        <v>67987</v>
      </c>
      <c r="H3239" s="6" t="n">
        <f>SUM(F3239,G3239)/2</f>
        <v>55174</v>
      </c>
    </row>
    <row r="3240" s="18" customFormat="1" ht="14.399999999999999" customHeight="1">
      <c r="A3240" s="10" t="s">
        <v>7842</v>
      </c>
      <c r="B3240" s="10" t="s">
        <v>7843</v>
      </c>
      <c r="C3240" s="13" t="n">
        <v>20807</v>
      </c>
      <c r="D3240" s="13" t="n">
        <v>33239</v>
      </c>
      <c r="E3240" s="6" t="n">
        <f>SUM(C3240,D3240)/2</f>
        <v>27023</v>
      </c>
      <c r="F3240" s="12" t="n">
        <v>8294</v>
      </c>
      <c r="G3240" s="12" t="n">
        <v>13464</v>
      </c>
      <c r="H3240" s="6" t="n">
        <f>SUM(F3240,G3240)/2</f>
        <v>10879</v>
      </c>
    </row>
    <row r="3241" s="18" customFormat="1" ht="14.399999999999999" customHeight="1">
      <c r="A3241" s="10" t="s">
        <v>7844</v>
      </c>
      <c r="B3241" s="10" t="s">
        <v>7845</v>
      </c>
      <c r="C3241" s="10" t="n">
        <v>58</v>
      </c>
      <c r="D3241" s="10" t="n">
        <v>92</v>
      </c>
      <c r="E3241" s="6" t="n">
        <f>SUM(C3241,D3241)/2</f>
        <v>75</v>
      </c>
      <c r="F3241" s="18" t="n">
        <v>4</v>
      </c>
      <c r="G3241" s="18" t="n">
        <v>6</v>
      </c>
      <c r="H3241" s="6" t="n">
        <f>SUM(F3241,G3241)/2</f>
        <v>5</v>
      </c>
    </row>
    <row r="3242" s="18" customFormat="1" ht="14.399999999999999" customHeight="1">
      <c r="A3242" s="10" t="s">
        <v>3393</v>
      </c>
      <c r="B3242" s="10" t="s">
        <v>7846</v>
      </c>
      <c r="C3242" s="13" t="n">
        <v>86728</v>
      </c>
      <c r="D3242" s="13" t="n">
        <v>138538</v>
      </c>
      <c r="E3242" s="6" t="n">
        <f>SUM(C3242,D3242)/2</f>
        <v>112633</v>
      </c>
      <c r="F3242" s="12" t="n">
        <v>14860</v>
      </c>
      <c r="G3242" s="12" t="n">
        <v>31197</v>
      </c>
      <c r="H3242" s="6" t="n">
        <f>SUM(F3242,G3242)/2</f>
        <v>23028.5</v>
      </c>
    </row>
    <row r="3243" s="18" customFormat="1" ht="14.399999999999999" customHeight="1">
      <c r="A3243" s="10" t="s">
        <v>7847</v>
      </c>
      <c r="B3243" s="10" t="s">
        <v>7848</v>
      </c>
      <c r="C3243" s="13" t="n">
        <v>6360</v>
      </c>
      <c r="D3243" s="13" t="n">
        <v>10160</v>
      </c>
      <c r="E3243" s="6" t="n">
        <f>SUM(C3243,D3243)/2</f>
        <v>8260</v>
      </c>
      <c r="F3243" s="12" t="n">
        <v>9723</v>
      </c>
      <c r="G3243" s="12" t="n">
        <v>13366</v>
      </c>
      <c r="H3243" s="6" t="n">
        <f>SUM(F3243,G3243)/2</f>
        <v>11544.5</v>
      </c>
    </row>
    <row r="3244" s="18" customFormat="1" ht="14.399999999999999" customHeight="1">
      <c r="A3244" s="10" t="s">
        <v>1731</v>
      </c>
      <c r="B3244" s="10" t="s">
        <v>7849</v>
      </c>
      <c r="C3244" s="10" t="n">
        <v>60</v>
      </c>
      <c r="D3244" s="10" t="n">
        <v>96</v>
      </c>
      <c r="E3244" s="6" t="n">
        <f>SUM(C3244,D3244)/2</f>
        <v>78</v>
      </c>
      <c r="F3244" s="18" t="n">
        <v>11</v>
      </c>
      <c r="G3244" s="18" t="n">
        <v>14</v>
      </c>
      <c r="H3244" s="6" t="n">
        <f>SUM(F3244,G3244)/2</f>
        <v>12.5</v>
      </c>
    </row>
    <row r="3245" s="18" customFormat="1" ht="14.399999999999999" customHeight="1">
      <c r="A3245" s="10" t="s">
        <v>1569</v>
      </c>
      <c r="B3245" s="10" t="s">
        <v>7850</v>
      </c>
      <c r="C3245" s="10" t="n">
        <v>138</v>
      </c>
      <c r="D3245" s="10" t="n">
        <v>220</v>
      </c>
      <c r="E3245" s="6" t="n">
        <f>SUM(C3245,D3245)/2</f>
        <v>179</v>
      </c>
      <c r="F3245" s="18" t="n">
        <v>8</v>
      </c>
      <c r="G3245" s="18" t="n">
        <v>13</v>
      </c>
      <c r="H3245" s="6" t="n">
        <f>SUM(F3245,G3245)/2</f>
        <v>10.5</v>
      </c>
    </row>
    <row r="3246" s="18" customFormat="1" ht="14.399999999999999" customHeight="1">
      <c r="A3246" s="10" t="s">
        <v>5474</v>
      </c>
      <c r="B3246" s="10" t="s">
        <v>7851</v>
      </c>
      <c r="C3246" s="10" t="n">
        <v>390</v>
      </c>
      <c r="D3246" s="10" t="n">
        <v>624</v>
      </c>
      <c r="E3246" s="6" t="n">
        <f>SUM(C3246,D3246)/2</f>
        <v>507</v>
      </c>
      <c r="F3246" s="18" t="n">
        <v>67</v>
      </c>
      <c r="G3246" s="18" t="n">
        <v>96</v>
      </c>
      <c r="H3246" s="6" t="n">
        <f>SUM(F3246,G3246)/2</f>
        <v>81.5</v>
      </c>
    </row>
    <row r="3247" s="18" customFormat="1" ht="14.399999999999999" customHeight="1">
      <c r="A3247" s="10" t="s">
        <v>2602</v>
      </c>
      <c r="B3247" s="10" t="s">
        <v>7852</v>
      </c>
      <c r="C3247" s="10" t="n">
        <v>7</v>
      </c>
      <c r="D3247" s="10" t="n">
        <v>11</v>
      </c>
      <c r="E3247" s="6" t="n">
        <f>SUM(C3247,D3247)/2</f>
        <v>9</v>
      </c>
      <c r="F3247" s="18" t="n">
        <v>0</v>
      </c>
      <c r="G3247" s="18" t="n">
        <v>0</v>
      </c>
      <c r="H3247" s="6" t="n">
        <f>SUM(F3247,G3247)/2</f>
        <v>0</v>
      </c>
    </row>
    <row r="3248" s="18" customFormat="1" ht="14.399999999999999" customHeight="1">
      <c r="A3248" s="10" t="s">
        <v>2364</v>
      </c>
      <c r="B3248" s="10" t="s">
        <v>7853</v>
      </c>
      <c r="C3248" s="10" t="n">
        <v>0</v>
      </c>
      <c r="D3248" s="10" t="n">
        <v>0</v>
      </c>
      <c r="E3248" s="6" t="n">
        <f>SUM(C3248,D3248)/2</f>
        <v>0</v>
      </c>
      <c r="F3248" s="18" t="n">
        <v>5</v>
      </c>
      <c r="G3248" s="18" t="n">
        <v>5</v>
      </c>
      <c r="H3248" s="6" t="n">
        <f>SUM(F3248,G3248)/2</f>
        <v>5</v>
      </c>
    </row>
    <row r="3249" s="18" customFormat="1" ht="14.399999999999999" customHeight="1">
      <c r="A3249" s="10" t="s">
        <v>7854</v>
      </c>
      <c r="B3249" s="10" t="s">
        <v>7855</v>
      </c>
      <c r="C3249" s="13" t="n">
        <v>261232</v>
      </c>
      <c r="D3249" s="13" t="n">
        <v>417290</v>
      </c>
      <c r="E3249" s="6" t="n">
        <f>SUM(C3249,D3249)/2</f>
        <v>339261</v>
      </c>
      <c r="F3249" s="12" t="n">
        <v>206061</v>
      </c>
      <c r="G3249" s="12" t="n">
        <v>280513</v>
      </c>
      <c r="H3249" s="6" t="n">
        <f>SUM(F3249,G3249)/2</f>
        <v>243287</v>
      </c>
    </row>
    <row r="3250" s="18" customFormat="1" ht="14.399999999999999" customHeight="1">
      <c r="A3250" s="10" t="s">
        <v>5286</v>
      </c>
      <c r="B3250" s="10" t="s">
        <v>7856</v>
      </c>
      <c r="C3250" s="13" t="n">
        <v>1419</v>
      </c>
      <c r="D3250" s="13" t="n">
        <v>2265</v>
      </c>
      <c r="E3250" s="6" t="n">
        <f>SUM(C3250,D3250)/2</f>
        <v>1842</v>
      </c>
      <c r="F3250" s="18" t="n">
        <v>495</v>
      </c>
      <c r="G3250" s="18" t="n">
        <v>594</v>
      </c>
      <c r="H3250" s="6" t="n">
        <f>SUM(F3250,G3250)/2</f>
        <v>544.5</v>
      </c>
    </row>
    <row r="3251" s="18" customFormat="1" ht="14.399999999999999" customHeight="1">
      <c r="A3251" s="10" t="s">
        <v>2594</v>
      </c>
      <c r="B3251" s="10" t="s">
        <v>7857</v>
      </c>
      <c r="C3251" s="10" t="n">
        <v>0</v>
      </c>
      <c r="D3251" s="10" t="n">
        <v>0</v>
      </c>
      <c r="E3251" s="6" t="n">
        <f>SUM(C3251,D3251)/2</f>
        <v>0</v>
      </c>
      <c r="F3251" s="18" t="n">
        <v>2</v>
      </c>
      <c r="G3251" s="18" t="n">
        <v>2</v>
      </c>
      <c r="H3251" s="6" t="n">
        <f>SUM(F3251,G3251)/2</f>
        <v>2</v>
      </c>
    </row>
    <row r="3252" s="18" customFormat="1" ht="14.399999999999999" customHeight="1">
      <c r="A3252" s="10" t="s">
        <v>1769</v>
      </c>
      <c r="B3252" s="10" t="s">
        <v>7858</v>
      </c>
      <c r="C3252" s="10" t="n">
        <v>89</v>
      </c>
      <c r="D3252" s="10" t="n">
        <v>141</v>
      </c>
      <c r="E3252" s="6" t="n">
        <f>SUM(C3252,D3252)/2</f>
        <v>115</v>
      </c>
      <c r="F3252" s="18" t="n">
        <v>0</v>
      </c>
      <c r="G3252" s="18" t="n">
        <v>0</v>
      </c>
      <c r="H3252" s="6" t="n">
        <f>SUM(F3252,G3252)/2</f>
        <v>0</v>
      </c>
    </row>
    <row r="3253" s="18" customFormat="1" ht="14.399999999999999" customHeight="1">
      <c r="A3253" s="10" t="s">
        <v>2000</v>
      </c>
      <c r="B3253" s="10" t="s">
        <v>7859</v>
      </c>
      <c r="C3253" s="10" t="n">
        <v>46</v>
      </c>
      <c r="D3253" s="10" t="n">
        <v>74</v>
      </c>
      <c r="E3253" s="6" t="n">
        <f>SUM(C3253,D3253)/2</f>
        <v>60</v>
      </c>
      <c r="F3253" s="18" t="n">
        <v>0</v>
      </c>
      <c r="G3253" s="18" t="n">
        <v>0</v>
      </c>
      <c r="H3253" s="6" t="n">
        <f>SUM(F3253,G3253)/2</f>
        <v>0</v>
      </c>
    </row>
    <row r="3254" s="18" customFormat="1" ht="14.399999999999999" customHeight="1">
      <c r="A3254" s="10" t="s">
        <v>3893</v>
      </c>
      <c r="B3254" s="10" t="s">
        <v>7860</v>
      </c>
      <c r="C3254" s="13" t="n">
        <v>57235</v>
      </c>
      <c r="D3254" s="13" t="n">
        <v>91429</v>
      </c>
      <c r="E3254" s="6" t="n">
        <f>SUM(C3254,D3254)/2</f>
        <v>74332</v>
      </c>
      <c r="F3254" s="12" t="n">
        <v>9430</v>
      </c>
      <c r="G3254" s="12" t="n">
        <v>13262</v>
      </c>
      <c r="H3254" s="6" t="n">
        <f>SUM(F3254,G3254)/2</f>
        <v>11346</v>
      </c>
    </row>
    <row r="3255" s="18" customFormat="1" ht="14.399999999999999" customHeight="1">
      <c r="A3255" s="10" t="s">
        <v>2558</v>
      </c>
      <c r="B3255" s="10" t="s">
        <v>7861</v>
      </c>
      <c r="C3255" s="10" t="n">
        <v>9</v>
      </c>
      <c r="D3255" s="10" t="n">
        <v>13</v>
      </c>
      <c r="E3255" s="6" t="n">
        <f>SUM(C3255,D3255)/2</f>
        <v>11</v>
      </c>
      <c r="F3255" s="18" t="n">
        <v>0</v>
      </c>
      <c r="G3255" s="18" t="n">
        <v>0</v>
      </c>
      <c r="H3255" s="6" t="n">
        <f>SUM(F3255,G3255)/2</f>
        <v>0</v>
      </c>
    </row>
    <row r="3256" s="18" customFormat="1" ht="14.399999999999999" customHeight="1">
      <c r="A3256" s="10" t="s">
        <v>2344</v>
      </c>
      <c r="B3256" s="10" t="s">
        <v>7862</v>
      </c>
      <c r="C3256" s="10" t="n">
        <v>11</v>
      </c>
      <c r="D3256" s="10" t="n">
        <v>19</v>
      </c>
      <c r="E3256" s="6" t="n">
        <f>SUM(C3256,D3256)/2</f>
        <v>15</v>
      </c>
      <c r="F3256" s="18" t="n">
        <v>2</v>
      </c>
      <c r="G3256" s="18" t="n">
        <v>2</v>
      </c>
      <c r="H3256" s="6" t="n">
        <f>SUM(F3256,G3256)/2</f>
        <v>2</v>
      </c>
    </row>
    <row r="3257" s="18" customFormat="1" ht="14.399999999999999" customHeight="1">
      <c r="A3257" s="10" t="s">
        <v>7863</v>
      </c>
      <c r="B3257" s="10" t="s">
        <v>7864</v>
      </c>
      <c r="C3257" s="13" t="n">
        <v>24901</v>
      </c>
      <c r="D3257" s="13" t="n">
        <v>39776</v>
      </c>
      <c r="E3257" s="6" t="n">
        <f>SUM(C3257,D3257)/2</f>
        <v>32338.5</v>
      </c>
      <c r="F3257" s="12" t="n">
        <v>4628</v>
      </c>
      <c r="G3257" s="12" t="n">
        <v>6882</v>
      </c>
      <c r="H3257" s="6" t="n">
        <f>SUM(F3257,G3257)/2</f>
        <v>5755</v>
      </c>
    </row>
    <row r="3258" s="18" customFormat="1" ht="14.399999999999999" customHeight="1">
      <c r="A3258" s="10" t="s">
        <v>7865</v>
      </c>
      <c r="B3258" s="10" t="s">
        <v>7866</v>
      </c>
      <c r="C3258" s="13" t="n">
        <v>39169</v>
      </c>
      <c r="D3258" s="13" t="n">
        <v>62569</v>
      </c>
      <c r="E3258" s="6" t="n">
        <f>SUM(C3258,D3258)/2</f>
        <v>50869</v>
      </c>
      <c r="F3258" s="12" t="n">
        <v>7828</v>
      </c>
      <c r="G3258" s="12" t="n">
        <v>9929</v>
      </c>
      <c r="H3258" s="6" t="n">
        <f>SUM(F3258,G3258)/2</f>
        <v>8878.5</v>
      </c>
    </row>
    <row r="3259" s="18" customFormat="1" ht="14.399999999999999" customHeight="1">
      <c r="A3259" s="10" t="s">
        <v>1437</v>
      </c>
      <c r="B3259" s="10" t="s">
        <v>7867</v>
      </c>
      <c r="C3259" s="10" t="n">
        <v>69</v>
      </c>
      <c r="D3259" s="10" t="n">
        <v>111</v>
      </c>
      <c r="E3259" s="6" t="n">
        <f>SUM(C3259,D3259)/2</f>
        <v>90</v>
      </c>
      <c r="F3259" s="18" t="n">
        <v>0</v>
      </c>
      <c r="G3259" s="18" t="n">
        <v>0</v>
      </c>
      <c r="H3259" s="6" t="n">
        <f>SUM(F3259,G3259)/2</f>
        <v>0</v>
      </c>
    </row>
    <row r="3260" s="18" customFormat="1" ht="14.399999999999999" customHeight="1">
      <c r="A3260" s="10" t="s">
        <v>1687</v>
      </c>
      <c r="B3260" s="10" t="s">
        <v>7868</v>
      </c>
      <c r="C3260" s="10" t="n">
        <v>46</v>
      </c>
      <c r="D3260" s="10" t="n">
        <v>76</v>
      </c>
      <c r="E3260" s="6" t="n">
        <f>SUM(C3260,D3260)/2</f>
        <v>61</v>
      </c>
      <c r="F3260" s="18" t="n">
        <v>19</v>
      </c>
      <c r="G3260" s="18" t="n">
        <v>26</v>
      </c>
      <c r="H3260" s="6" t="n">
        <f>SUM(F3260,G3260)/2</f>
        <v>22.5</v>
      </c>
    </row>
    <row r="3261" s="18" customFormat="1" ht="14.399999999999999" customHeight="1">
      <c r="A3261" s="10" t="s">
        <v>1013</v>
      </c>
      <c r="B3261" s="10" t="s">
        <v>7869</v>
      </c>
      <c r="C3261" s="13" t="n">
        <v>23663</v>
      </c>
      <c r="D3261" s="13" t="n">
        <v>37799</v>
      </c>
      <c r="E3261" s="6" t="n">
        <f>SUM(C3261,D3261)/2</f>
        <v>30731</v>
      </c>
      <c r="F3261" s="18" t="n">
        <v>1377</v>
      </c>
      <c r="G3261" s="18" t="n">
        <v>2150</v>
      </c>
      <c r="H3261" s="6" t="n">
        <f>SUM(F3261,G3261)/2</f>
        <v>1763.5</v>
      </c>
    </row>
    <row r="3262" s="18" customFormat="1" ht="14.399999999999999" customHeight="1">
      <c r="A3262" s="10" t="s">
        <v>1344</v>
      </c>
      <c r="B3262" s="10" t="s">
        <v>7870</v>
      </c>
      <c r="C3262" s="10" t="n">
        <v>98</v>
      </c>
      <c r="D3262" s="10" t="n">
        <v>156</v>
      </c>
      <c r="E3262" s="6" t="n">
        <f>SUM(C3262,D3262)/2</f>
        <v>127</v>
      </c>
      <c r="F3262" s="18" t="n">
        <v>36</v>
      </c>
      <c r="G3262" s="18" t="n">
        <v>60</v>
      </c>
      <c r="H3262" s="6" t="n">
        <f>SUM(F3262,G3262)/2</f>
        <v>48</v>
      </c>
    </row>
    <row r="3263" s="18" customFormat="1" ht="14.399999999999999" customHeight="1">
      <c r="A3263" s="10" t="s">
        <v>7871</v>
      </c>
      <c r="B3263" s="10" t="s">
        <v>7872</v>
      </c>
      <c r="C3263" s="13" t="n">
        <v>10051</v>
      </c>
      <c r="D3263" s="13" t="n">
        <v>16055</v>
      </c>
      <c r="E3263" s="6" t="n">
        <f>SUM(C3263,D3263)/2</f>
        <v>13053</v>
      </c>
      <c r="F3263" s="12" t="n">
        <v>20494</v>
      </c>
      <c r="G3263" s="12" t="n">
        <v>31621</v>
      </c>
      <c r="H3263" s="6" t="n">
        <f>SUM(F3263,G3263)/2</f>
        <v>26057.5</v>
      </c>
    </row>
    <row r="3264" s="18" customFormat="1" ht="14.399999999999999" customHeight="1">
      <c r="A3264" s="10" t="s">
        <v>552</v>
      </c>
      <c r="B3264" s="10" t="s">
        <v>553</v>
      </c>
      <c r="C3264" s="10" t="n">
        <v>764</v>
      </c>
      <c r="D3264" s="13" t="n">
        <v>1220</v>
      </c>
      <c r="E3264" s="6" t="n">
        <f>SUM(C3264,D3264)/2</f>
        <v>992</v>
      </c>
      <c r="F3264" s="18" t="n">
        <v>10</v>
      </c>
      <c r="G3264" s="18" t="n">
        <v>15</v>
      </c>
      <c r="H3264" s="6" t="n">
        <f>SUM(F3264,G3264)/2</f>
        <v>12.5</v>
      </c>
    </row>
    <row r="3265" s="18" customFormat="1" ht="14.399999999999999" customHeight="1">
      <c r="A3265" s="10" t="s">
        <v>1350</v>
      </c>
      <c r="B3265" s="10" t="s">
        <v>7873</v>
      </c>
      <c r="C3265" s="10" t="n">
        <v>37</v>
      </c>
      <c r="D3265" s="10" t="n">
        <v>57</v>
      </c>
      <c r="E3265" s="6" t="n">
        <f>SUM(C3265,D3265)/2</f>
        <v>47</v>
      </c>
      <c r="F3265" s="18" t="n">
        <v>19</v>
      </c>
      <c r="G3265" s="18" t="n">
        <v>88</v>
      </c>
      <c r="H3265" s="6" t="n">
        <f>SUM(F3265,G3265)/2</f>
        <v>53.5</v>
      </c>
    </row>
    <row r="3266" s="18" customFormat="1" ht="14.399999999999999" customHeight="1">
      <c r="A3266" s="10" t="s">
        <v>2218</v>
      </c>
      <c r="B3266" s="10" t="s">
        <v>7874</v>
      </c>
      <c r="C3266" s="10" t="n">
        <v>22</v>
      </c>
      <c r="D3266" s="10" t="n">
        <v>36</v>
      </c>
      <c r="E3266" s="6" t="n">
        <f>SUM(C3266,D3266)/2</f>
        <v>29</v>
      </c>
      <c r="F3266" s="18" t="n">
        <v>1</v>
      </c>
      <c r="G3266" s="18" t="n">
        <v>1</v>
      </c>
      <c r="H3266" s="6" t="n">
        <f>SUM(F3266,G3266)/2</f>
        <v>1</v>
      </c>
    </row>
    <row r="3267" s="18" customFormat="1" ht="14.399999999999999" customHeight="1">
      <c r="A3267" s="10" t="s">
        <v>7875</v>
      </c>
      <c r="B3267" s="10" t="s">
        <v>7876</v>
      </c>
      <c r="C3267" s="13" t="n">
        <v>1139624</v>
      </c>
      <c r="D3267" s="13" t="n">
        <v>1820436</v>
      </c>
      <c r="E3267" s="6" t="n">
        <f>SUM(C3267,D3267)/2</f>
        <v>1480030</v>
      </c>
      <c r="F3267" s="12" t="n">
        <v>179060</v>
      </c>
      <c r="G3267" s="12" t="n">
        <v>415192</v>
      </c>
      <c r="H3267" s="6" t="n">
        <f>SUM(F3267,G3267)/2</f>
        <v>297126</v>
      </c>
    </row>
    <row r="3268" s="18" customFormat="1" ht="14.399999999999999" customHeight="1">
      <c r="A3268" s="10" t="s">
        <v>7877</v>
      </c>
      <c r="B3268" s="10" t="s">
        <v>7878</v>
      </c>
      <c r="C3268" s="13" t="n">
        <v>6418</v>
      </c>
      <c r="D3268" s="13" t="n">
        <v>10254</v>
      </c>
      <c r="E3268" s="6" t="n">
        <f>SUM(C3268,D3268)/2</f>
        <v>8336</v>
      </c>
      <c r="F3268" s="12" t="n">
        <v>11252</v>
      </c>
      <c r="G3268" s="12" t="n">
        <v>15960</v>
      </c>
      <c r="H3268" s="6" t="n">
        <f>SUM(F3268,G3268)/2</f>
        <v>13606</v>
      </c>
    </row>
    <row r="3269" s="18" customFormat="1" ht="14.399999999999999" customHeight="1">
      <c r="A3269" s="10" t="s">
        <v>7879</v>
      </c>
      <c r="B3269" s="10" t="s">
        <v>7880</v>
      </c>
      <c r="C3269" s="13" t="n">
        <v>9466</v>
      </c>
      <c r="D3269" s="13" t="n">
        <v>15122</v>
      </c>
      <c r="E3269" s="6" t="n">
        <f>SUM(C3269,D3269)/2</f>
        <v>12294</v>
      </c>
      <c r="F3269" s="12" t="n">
        <v>5541</v>
      </c>
      <c r="G3269" s="12" t="n">
        <v>6315</v>
      </c>
      <c r="H3269" s="6" t="n">
        <f>SUM(F3269,G3269)/2</f>
        <v>5928</v>
      </c>
    </row>
    <row r="3270" s="18" customFormat="1" ht="14.399999999999999" customHeight="1">
      <c r="A3270" s="10" t="s">
        <v>7881</v>
      </c>
      <c r="B3270" s="10" t="s">
        <v>7882</v>
      </c>
      <c r="C3270" s="13" t="n">
        <v>32206</v>
      </c>
      <c r="D3270" s="13" t="n">
        <v>51446</v>
      </c>
      <c r="E3270" s="6" t="n">
        <f>SUM(C3270,D3270)/2</f>
        <v>41826</v>
      </c>
      <c r="F3270" s="12" t="n">
        <v>31489</v>
      </c>
      <c r="G3270" s="12" t="n">
        <v>52511</v>
      </c>
      <c r="H3270" s="6" t="n">
        <f>SUM(F3270,G3270)/2</f>
        <v>42000</v>
      </c>
    </row>
    <row r="3271" s="18" customFormat="1" ht="14.399999999999999" customHeight="1">
      <c r="A3271" s="10" t="s">
        <v>7883</v>
      </c>
      <c r="B3271" s="10" t="s">
        <v>7884</v>
      </c>
      <c r="C3271" s="13" t="n">
        <v>8354</v>
      </c>
      <c r="D3271" s="13" t="n">
        <v>13342</v>
      </c>
      <c r="E3271" s="6" t="n">
        <f>SUM(C3271,D3271)/2</f>
        <v>10848</v>
      </c>
      <c r="F3271" s="12" t="n">
        <v>5333</v>
      </c>
      <c r="G3271" s="12" t="n">
        <v>7453</v>
      </c>
      <c r="H3271" s="6" t="n">
        <f>SUM(F3271,G3271)/2</f>
        <v>6393</v>
      </c>
    </row>
    <row r="3272" s="18" customFormat="1" ht="14.399999999999999" customHeight="1">
      <c r="A3272" s="10" t="s">
        <v>7885</v>
      </c>
      <c r="B3272" s="10" t="s">
        <v>7886</v>
      </c>
      <c r="C3272" s="10" t="n">
        <v>381</v>
      </c>
      <c r="D3272" s="10" t="n">
        <v>609</v>
      </c>
      <c r="E3272" s="6" t="n">
        <f>SUM(C3272,D3272)/2</f>
        <v>495</v>
      </c>
      <c r="F3272" s="18" t="n">
        <v>87</v>
      </c>
      <c r="G3272" s="18" t="n">
        <v>113</v>
      </c>
      <c r="H3272" s="6" t="n">
        <f>SUM(F3272,G3272)/2</f>
        <v>100</v>
      </c>
    </row>
    <row r="3273" s="18" customFormat="1" ht="14.399999999999999" customHeight="1">
      <c r="A3273" s="10" t="s">
        <v>7887</v>
      </c>
      <c r="B3273" s="10" t="s">
        <v>7888</v>
      </c>
      <c r="C3273" s="13" t="n">
        <v>51216</v>
      </c>
      <c r="D3273" s="13" t="n">
        <v>81810</v>
      </c>
      <c r="E3273" s="6" t="n">
        <f>SUM(C3273,D3273)/2</f>
        <v>66513</v>
      </c>
      <c r="F3273" s="12" t="n">
        <v>15870</v>
      </c>
      <c r="G3273" s="12" t="n">
        <v>18618</v>
      </c>
      <c r="H3273" s="6" t="n">
        <f>SUM(F3273,G3273)/2</f>
        <v>17244</v>
      </c>
    </row>
    <row r="3274" s="18" customFormat="1" ht="14.399999999999999" customHeight="1">
      <c r="A3274" s="10" t="s">
        <v>2548</v>
      </c>
      <c r="B3274" s="10" t="s">
        <v>7889</v>
      </c>
      <c r="C3274" s="10" t="n">
        <v>9</v>
      </c>
      <c r="D3274" s="10" t="n">
        <v>15</v>
      </c>
      <c r="E3274" s="6" t="n">
        <f>SUM(C3274,D3274)/2</f>
        <v>12</v>
      </c>
      <c r="F3274" s="18" t="n">
        <v>0</v>
      </c>
      <c r="G3274" s="18" t="n">
        <v>0</v>
      </c>
      <c r="H3274" s="6" t="n">
        <f>SUM(F3274,G3274)/2</f>
        <v>0</v>
      </c>
    </row>
    <row r="3275" s="18" customFormat="1" ht="14.399999999999999" customHeight="1">
      <c r="A3275" s="10" t="s">
        <v>7890</v>
      </c>
      <c r="B3275" s="10" t="s">
        <v>7891</v>
      </c>
      <c r="C3275" s="13" t="n">
        <v>96517</v>
      </c>
      <c r="D3275" s="13" t="n">
        <v>154175</v>
      </c>
      <c r="E3275" s="6" t="n">
        <f>SUM(C3275,D3275)/2</f>
        <v>125346</v>
      </c>
      <c r="F3275" s="18" t="n">
        <v>50321</v>
      </c>
      <c r="G3275" s="18" t="n">
        <v>70296</v>
      </c>
      <c r="H3275" s="6" t="n">
        <f>SUM(F3275,G3275)/2</f>
        <v>60308.5</v>
      </c>
    </row>
    <row r="3276" s="18" customFormat="1" ht="14.399999999999999" customHeight="1">
      <c r="A3276" s="10" t="s">
        <v>7892</v>
      </c>
      <c r="B3276" s="10" t="s">
        <v>7893</v>
      </c>
      <c r="C3276" s="13" t="n">
        <v>64841</v>
      </c>
      <c r="D3276" s="13" t="n">
        <v>103577</v>
      </c>
      <c r="E3276" s="6" t="n">
        <f>SUM(C3276,D3276)/2</f>
        <v>84209</v>
      </c>
      <c r="F3276" s="12" t="n">
        <v>15042</v>
      </c>
      <c r="G3276" s="12" t="n">
        <v>19055</v>
      </c>
      <c r="H3276" s="6" t="n">
        <f>SUM(F3276,G3276)/2</f>
        <v>17048.5</v>
      </c>
    </row>
    <row r="3277" s="18" customFormat="1" ht="14.399999999999999" customHeight="1">
      <c r="A3277" s="10" t="s">
        <v>7894</v>
      </c>
      <c r="B3277" s="10" t="s">
        <v>7895</v>
      </c>
      <c r="C3277" s="13" t="n">
        <v>27973</v>
      </c>
      <c r="D3277" s="13" t="n">
        <v>44683</v>
      </c>
      <c r="E3277" s="6" t="n">
        <f>SUM(C3277,D3277)/2</f>
        <v>36328</v>
      </c>
      <c r="F3277" s="12" t="n">
        <v>28707</v>
      </c>
      <c r="G3277" s="12" t="n">
        <v>38569</v>
      </c>
      <c r="H3277" s="6" t="n">
        <f>SUM(F3277,G3277)/2</f>
        <v>33638</v>
      </c>
    </row>
    <row r="3278" s="18" customFormat="1" ht="14.399999999999999" customHeight="1">
      <c r="A3278" s="10" t="s">
        <v>5302</v>
      </c>
      <c r="B3278" s="10" t="s">
        <v>7896</v>
      </c>
      <c r="C3278" s="10" t="n">
        <v>908</v>
      </c>
      <c r="D3278" s="13" t="n">
        <v>1452</v>
      </c>
      <c r="E3278" s="6" t="n">
        <f>SUM(C3278,D3278)/2</f>
        <v>1180</v>
      </c>
      <c r="F3278" s="18" t="n">
        <v>475</v>
      </c>
      <c r="G3278" s="18" t="n">
        <v>564</v>
      </c>
      <c r="H3278" s="6" t="n">
        <f>SUM(F3278,G3278)/2</f>
        <v>519.5</v>
      </c>
    </row>
    <row r="3279" s="18" customFormat="1" ht="14.399999999999999" customHeight="1">
      <c r="A3279" s="10" t="s">
        <v>7897</v>
      </c>
      <c r="B3279" s="10" t="s">
        <v>7898</v>
      </c>
      <c r="C3279" s="13" t="n">
        <v>45029</v>
      </c>
      <c r="D3279" s="13" t="n">
        <v>71931</v>
      </c>
      <c r="E3279" s="6" t="n">
        <f>SUM(C3279,D3279)/2</f>
        <v>58480</v>
      </c>
      <c r="F3279" s="12" t="n">
        <v>13918</v>
      </c>
      <c r="G3279" s="12" t="n">
        <v>22122</v>
      </c>
      <c r="H3279" s="6" t="n">
        <f>SUM(F3279,G3279)/2</f>
        <v>18020</v>
      </c>
    </row>
    <row r="3280" s="18" customFormat="1" ht="14.399999999999999" customHeight="1">
      <c r="A3280" s="10" t="s">
        <v>7899</v>
      </c>
      <c r="B3280" s="10" t="s">
        <v>7900</v>
      </c>
      <c r="C3280" s="13" t="n">
        <v>83927</v>
      </c>
      <c r="D3280" s="13" t="n">
        <v>134063</v>
      </c>
      <c r="E3280" s="6" t="n">
        <f>SUM(C3280,D3280)/2</f>
        <v>108995</v>
      </c>
      <c r="F3280" s="12" t="n">
        <v>13994</v>
      </c>
      <c r="G3280" s="12" t="n">
        <v>21679</v>
      </c>
      <c r="H3280" s="6" t="n">
        <f>SUM(F3280,G3280)/2</f>
        <v>17836.5</v>
      </c>
    </row>
    <row r="3281" s="18" customFormat="1" ht="14.399999999999999" customHeight="1">
      <c r="A3281" s="10" t="s">
        <v>7901</v>
      </c>
      <c r="B3281" s="10" t="s">
        <v>7902</v>
      </c>
      <c r="C3281" s="13" t="n">
        <v>128792</v>
      </c>
      <c r="D3281" s="13" t="n">
        <v>205732</v>
      </c>
      <c r="E3281" s="6" t="n">
        <f>SUM(C3281,D3281)/2</f>
        <v>167262</v>
      </c>
      <c r="F3281" s="12" t="n">
        <v>42353</v>
      </c>
      <c r="G3281" s="12" t="n">
        <v>47933</v>
      </c>
      <c r="H3281" s="6" t="n">
        <f>SUM(F3281,G3281)/2</f>
        <v>45143</v>
      </c>
    </row>
    <row r="3282" s="18" customFormat="1" ht="14.399999999999999" customHeight="1">
      <c r="A3282" s="10" t="s">
        <v>3693</v>
      </c>
      <c r="B3282" s="10" t="s">
        <v>7903</v>
      </c>
      <c r="C3282" s="13" t="n">
        <v>91784</v>
      </c>
      <c r="D3282" s="13" t="n">
        <v>146618</v>
      </c>
      <c r="E3282" s="6" t="n">
        <f>SUM(C3282,D3282)/2</f>
        <v>119201</v>
      </c>
      <c r="F3282" s="12" t="n">
        <v>7702</v>
      </c>
      <c r="G3282" s="12" t="n">
        <v>10945</v>
      </c>
      <c r="H3282" s="6" t="n">
        <f>SUM(F3282,G3282)/2</f>
        <v>9323.5</v>
      </c>
    </row>
    <row r="3283" s="18" customFormat="1" ht="14.399999999999999" customHeight="1">
      <c r="A3283" s="10" t="s">
        <v>7904</v>
      </c>
      <c r="B3283" s="10" t="s">
        <v>7905</v>
      </c>
      <c r="C3283" s="13" t="n">
        <v>64194</v>
      </c>
      <c r="D3283" s="13" t="n">
        <v>102544</v>
      </c>
      <c r="E3283" s="6" t="n">
        <f>SUM(C3283,D3283)/2</f>
        <v>83369</v>
      </c>
      <c r="F3283" s="12" t="n">
        <v>14108</v>
      </c>
      <c r="G3283" s="12" t="n">
        <v>22537</v>
      </c>
      <c r="H3283" s="6" t="n">
        <f>SUM(F3283,G3283)/2</f>
        <v>18322.5</v>
      </c>
    </row>
    <row r="3284" s="18" customFormat="1" ht="14.399999999999999" customHeight="1">
      <c r="A3284" s="10" t="s">
        <v>7906</v>
      </c>
      <c r="B3284" s="10" t="s">
        <v>7907</v>
      </c>
      <c r="C3284" s="13" t="n">
        <v>23519</v>
      </c>
      <c r="D3284" s="13" t="n">
        <v>37571</v>
      </c>
      <c r="E3284" s="6" t="n">
        <f>SUM(C3284,D3284)/2</f>
        <v>30545</v>
      </c>
      <c r="F3284" s="12" t="n">
        <v>4815</v>
      </c>
      <c r="G3284" s="12" t="n">
        <v>7115</v>
      </c>
      <c r="H3284" s="6" t="n">
        <f>SUM(F3284,G3284)/2</f>
        <v>5965</v>
      </c>
    </row>
    <row r="3285" s="18" customFormat="1" ht="14.399999999999999" customHeight="1">
      <c r="A3285" s="10" t="s">
        <v>2134</v>
      </c>
      <c r="B3285" s="10" t="s">
        <v>7908</v>
      </c>
      <c r="C3285" s="13" t="n">
        <v>226935</v>
      </c>
      <c r="D3285" s="13" t="n">
        <v>362505</v>
      </c>
      <c r="E3285" s="6" t="n">
        <f>SUM(C3285,D3285)/2</f>
        <v>294720</v>
      </c>
      <c r="F3285" s="12" t="n">
        <v>12680</v>
      </c>
      <c r="G3285" s="12" t="n">
        <v>51916</v>
      </c>
      <c r="H3285" s="6" t="n">
        <f>SUM(F3285,G3285)/2</f>
        <v>32298</v>
      </c>
    </row>
    <row r="3286" s="18" customFormat="1" ht="14.399999999999999" customHeight="1">
      <c r="A3286" s="10" t="s">
        <v>7909</v>
      </c>
      <c r="B3286" s="10" t="s">
        <v>7910</v>
      </c>
      <c r="C3286" s="13" t="n">
        <v>12653</v>
      </c>
      <c r="D3286" s="13" t="n">
        <v>20211</v>
      </c>
      <c r="E3286" s="6" t="n">
        <f>SUM(C3286,D3286)/2</f>
        <v>16432</v>
      </c>
      <c r="F3286" s="12" t="n">
        <v>14756</v>
      </c>
      <c r="G3286" s="12" t="n">
        <v>21387</v>
      </c>
      <c r="H3286" s="6" t="n">
        <f>SUM(F3286,G3286)/2</f>
        <v>18071.5</v>
      </c>
    </row>
    <row r="3287" s="18" customFormat="1" ht="14.399999999999999" customHeight="1">
      <c r="A3287" s="10" t="s">
        <v>7911</v>
      </c>
      <c r="B3287" s="10" t="s">
        <v>7912</v>
      </c>
      <c r="C3287" s="13" t="n">
        <v>10034</v>
      </c>
      <c r="D3287" s="13" t="n">
        <v>16028</v>
      </c>
      <c r="E3287" s="6" t="n">
        <f>SUM(C3287,D3287)/2</f>
        <v>13031</v>
      </c>
      <c r="F3287" s="12" t="n">
        <v>5170</v>
      </c>
      <c r="G3287" s="12" t="n">
        <v>7851</v>
      </c>
      <c r="H3287" s="6" t="n">
        <f>SUM(F3287,G3287)/2</f>
        <v>6510.5</v>
      </c>
    </row>
    <row r="3288" s="18" customFormat="1" ht="14.399999999999999" customHeight="1">
      <c r="A3288" s="10" t="s">
        <v>3429</v>
      </c>
      <c r="B3288" s="10" t="s">
        <v>7913</v>
      </c>
      <c r="C3288" s="13" t="n">
        <v>72890</v>
      </c>
      <c r="D3288" s="13" t="n">
        <v>116434</v>
      </c>
      <c r="E3288" s="6" t="n">
        <f>SUM(C3288,D3288)/2</f>
        <v>94662</v>
      </c>
      <c r="F3288" s="12" t="n">
        <v>17031</v>
      </c>
      <c r="G3288" s="12" t="n">
        <v>34069</v>
      </c>
      <c r="H3288" s="6" t="n">
        <f>SUM(F3288,G3288)/2</f>
        <v>25550</v>
      </c>
    </row>
    <row r="3289" s="18" customFormat="1" ht="14.399999999999999" customHeight="1">
      <c r="A3289" s="10" t="s">
        <v>3137</v>
      </c>
      <c r="B3289" s="10" t="s">
        <v>7914</v>
      </c>
      <c r="C3289" s="13" t="n">
        <v>132391</v>
      </c>
      <c r="D3289" s="13" t="n">
        <v>211481</v>
      </c>
      <c r="E3289" s="6" t="n">
        <f>SUM(C3289,D3289)/2</f>
        <v>171936</v>
      </c>
      <c r="F3289" s="12" t="n">
        <v>31999</v>
      </c>
      <c r="G3289" s="12" t="n">
        <v>50047</v>
      </c>
      <c r="H3289" s="6" t="n">
        <f>SUM(F3289,G3289)/2</f>
        <v>41023</v>
      </c>
    </row>
    <row r="3290" s="18" customFormat="1" ht="14.399999999999999" customHeight="1">
      <c r="A3290" s="10" t="s">
        <v>5005</v>
      </c>
      <c r="B3290" s="10" t="s">
        <v>7915</v>
      </c>
      <c r="C3290" s="13" t="n">
        <v>11528</v>
      </c>
      <c r="D3290" s="13" t="n">
        <v>18414</v>
      </c>
      <c r="E3290" s="6" t="n">
        <f>SUM(C3290,D3290)/2</f>
        <v>14971</v>
      </c>
      <c r="F3290" s="12" t="n">
        <v>5443</v>
      </c>
      <c r="G3290" s="12" t="n">
        <v>7363</v>
      </c>
      <c r="H3290" s="6" t="n">
        <f>SUM(F3290,G3290)/2</f>
        <v>6403</v>
      </c>
    </row>
    <row r="3291" s="18" customFormat="1" ht="14.399999999999999" customHeight="1">
      <c r="A3291" s="10" t="s">
        <v>7916</v>
      </c>
      <c r="B3291" s="10" t="s">
        <v>7917</v>
      </c>
      <c r="C3291" s="13" t="n">
        <v>2418</v>
      </c>
      <c r="D3291" s="13" t="n">
        <v>3860</v>
      </c>
      <c r="E3291" s="6" t="n">
        <f>SUM(C3291,D3291)/2</f>
        <v>3139</v>
      </c>
      <c r="F3291" s="12" t="n">
        <v>5908</v>
      </c>
      <c r="G3291" s="12" t="n">
        <v>7842</v>
      </c>
      <c r="H3291" s="6" t="n">
        <f>SUM(F3291,G3291)/2</f>
        <v>6875</v>
      </c>
    </row>
    <row r="3292" s="18" customFormat="1" ht="14.399999999999999" customHeight="1">
      <c r="A3292" s="10" t="s">
        <v>4473</v>
      </c>
      <c r="B3292" s="10" t="s">
        <v>7918</v>
      </c>
      <c r="C3292" s="13" t="n">
        <v>5923</v>
      </c>
      <c r="D3292" s="13" t="n">
        <v>9459</v>
      </c>
      <c r="E3292" s="6" t="n">
        <f>SUM(C3292,D3292)/2</f>
        <v>7691</v>
      </c>
      <c r="F3292" s="12" t="n">
        <v>11612</v>
      </c>
      <c r="G3292" s="12" t="n">
        <v>16644</v>
      </c>
      <c r="H3292" s="6" t="n">
        <f>SUM(F3292,G3292)/2</f>
        <v>14128</v>
      </c>
    </row>
    <row r="3293" s="18" customFormat="1" ht="14.399999999999999" customHeight="1">
      <c r="A3293" s="10" t="s">
        <v>7919</v>
      </c>
      <c r="B3293" s="10" t="s">
        <v>7920</v>
      </c>
      <c r="C3293" s="13" t="n">
        <v>55960</v>
      </c>
      <c r="D3293" s="13" t="n">
        <v>89390</v>
      </c>
      <c r="E3293" s="6" t="n">
        <f>SUM(C3293,D3293)/2</f>
        <v>72675</v>
      </c>
      <c r="F3293" s="12" t="n">
        <v>22640</v>
      </c>
      <c r="G3293" s="12" t="n">
        <v>31017</v>
      </c>
      <c r="H3293" s="6" t="n">
        <f>SUM(F3293,G3293)/2</f>
        <v>26828.5</v>
      </c>
    </row>
    <row r="3294" s="18" customFormat="1" ht="14.399999999999999" customHeight="1">
      <c r="A3294" s="10" t="s">
        <v>4079</v>
      </c>
      <c r="B3294" s="10" t="s">
        <v>7921</v>
      </c>
      <c r="C3294" s="13" t="n">
        <v>16814</v>
      </c>
      <c r="D3294" s="13" t="n">
        <v>26856</v>
      </c>
      <c r="E3294" s="6" t="n">
        <f>SUM(C3294,D3294)/2</f>
        <v>21835</v>
      </c>
      <c r="F3294" s="12" t="n">
        <v>15485</v>
      </c>
      <c r="G3294" s="12" t="n">
        <v>20714</v>
      </c>
      <c r="H3294" s="6" t="n">
        <f>SUM(F3294,G3294)/2</f>
        <v>18099.5</v>
      </c>
    </row>
    <row r="3295" s="18" customFormat="1" ht="14.399999999999999" customHeight="1">
      <c r="A3295" s="10" t="s">
        <v>246</v>
      </c>
      <c r="B3295" s="10" t="s">
        <v>247</v>
      </c>
      <c r="C3295" s="13" t="n">
        <v>3283</v>
      </c>
      <c r="D3295" s="13" t="n">
        <v>5245</v>
      </c>
      <c r="E3295" s="6" t="n">
        <f>SUM(C3295,D3295)/2</f>
        <v>4264</v>
      </c>
      <c r="F3295" s="18" t="n">
        <v>527</v>
      </c>
      <c r="G3295" s="18" t="n">
        <v>801</v>
      </c>
      <c r="H3295" s="6" t="n">
        <f>SUM(F3295,G3295)/2</f>
        <v>664</v>
      </c>
    </row>
    <row r="3296" s="18" customFormat="1" ht="14.399999999999999" customHeight="1">
      <c r="A3296" s="10" t="s">
        <v>7922</v>
      </c>
      <c r="B3296" s="10" t="s">
        <v>7923</v>
      </c>
      <c r="C3296" s="13" t="n">
        <v>194949</v>
      </c>
      <c r="D3296" s="13" t="n">
        <v>311413</v>
      </c>
      <c r="E3296" s="6" t="n">
        <f>SUM(C3296,D3296)/2</f>
        <v>253181</v>
      </c>
      <c r="F3296" s="12" t="n">
        <v>10939</v>
      </c>
      <c r="G3296" s="12" t="n">
        <v>16698</v>
      </c>
      <c r="H3296" s="6" t="n">
        <f>SUM(F3296,G3296)/2</f>
        <v>13818.5</v>
      </c>
    </row>
    <row r="3297" s="18" customFormat="1" ht="14.399999999999999" customHeight="1">
      <c r="A3297" s="10" t="s">
        <v>7924</v>
      </c>
      <c r="B3297" s="10" t="s">
        <v>7925</v>
      </c>
      <c r="C3297" s="13" t="n">
        <v>33337</v>
      </c>
      <c r="D3297" s="13" t="n">
        <v>53255</v>
      </c>
      <c r="E3297" s="6" t="n">
        <f>SUM(C3297,D3297)/2</f>
        <v>43296</v>
      </c>
      <c r="F3297" s="12" t="n">
        <v>5979</v>
      </c>
      <c r="G3297" s="12" t="n">
        <v>10058</v>
      </c>
      <c r="H3297" s="6" t="n">
        <f>SUM(F3297,G3297)/2</f>
        <v>8018.5</v>
      </c>
    </row>
    <row r="3298" s="18" customFormat="1" ht="14.399999999999999" customHeight="1">
      <c r="A3298" s="10" t="s">
        <v>4909</v>
      </c>
      <c r="B3298" s="10" t="s">
        <v>7926</v>
      </c>
      <c r="C3298" s="13" t="n">
        <v>9109</v>
      </c>
      <c r="D3298" s="13" t="n">
        <v>14553</v>
      </c>
      <c r="E3298" s="6" t="n">
        <f>SUM(C3298,D3298)/2</f>
        <v>11831</v>
      </c>
      <c r="F3298" s="18" t="n">
        <v>6880</v>
      </c>
      <c r="G3298" s="18" t="n">
        <v>9551</v>
      </c>
      <c r="H3298" s="6" t="n">
        <f>SUM(F3298,G3298)/2</f>
        <v>8215.5</v>
      </c>
    </row>
    <row r="3299" s="18" customFormat="1" ht="14.399999999999999" customHeight="1">
      <c r="A3299" s="10" t="s">
        <v>7927</v>
      </c>
      <c r="B3299" s="10" t="s">
        <v>7928</v>
      </c>
      <c r="C3299" s="10"/>
      <c r="D3299" s="10"/>
      <c r="E3299" s="6" t="n">
        <f>SUM(C3299,D3299)/2</f>
        <v>0</v>
      </c>
      <c r="F3299" s="12" t="n">
        <v>31984</v>
      </c>
      <c r="G3299" s="12" t="n">
        <v>45391</v>
      </c>
      <c r="H3299" s="6" t="n">
        <f>SUM(F3299,G3299)/2</f>
        <v>38687.5</v>
      </c>
    </row>
    <row r="3300" s="18" customFormat="1" ht="14.399999999999999" customHeight="1">
      <c r="A3300" s="10" t="s">
        <v>7929</v>
      </c>
      <c r="B3300" s="10" t="s">
        <v>7930</v>
      </c>
      <c r="C3300" s="13" t="n">
        <v>9716</v>
      </c>
      <c r="D3300" s="13" t="n">
        <v>15520</v>
      </c>
      <c r="E3300" s="6" t="n">
        <f>SUM(C3300,D3300)/2</f>
        <v>12618</v>
      </c>
      <c r="F3300" s="12" t="n">
        <v>5285</v>
      </c>
      <c r="G3300" s="12" t="n">
        <v>7594</v>
      </c>
      <c r="H3300" s="6" t="n">
        <f>SUM(F3300,G3300)/2</f>
        <v>6439.5</v>
      </c>
    </row>
    <row r="3301" s="18" customFormat="1" ht="14.399999999999999" customHeight="1">
      <c r="A3301" s="10" t="s">
        <v>3013</v>
      </c>
      <c r="B3301" s="10" t="s">
        <v>7931</v>
      </c>
      <c r="C3301" s="10" t="n">
        <v>0</v>
      </c>
      <c r="D3301" s="10" t="n">
        <v>0</v>
      </c>
      <c r="E3301" s="6" t="n">
        <f>SUM(C3301,D3301)/2</f>
        <v>0</v>
      </c>
      <c r="F3301" s="18" t="n">
        <v>0</v>
      </c>
      <c r="G3301" s="18" t="n">
        <v>0</v>
      </c>
      <c r="H3301" s="6" t="n">
        <f>SUM(F3301,G3301)/2</f>
        <v>0</v>
      </c>
    </row>
    <row r="3302" s="18" customFormat="1" ht="14.399999999999999" customHeight="1">
      <c r="A3302" s="10" t="s">
        <v>2422</v>
      </c>
      <c r="B3302" s="10" t="s">
        <v>7932</v>
      </c>
      <c r="C3302" s="10" t="n">
        <v>11</v>
      </c>
      <c r="D3302" s="10" t="n">
        <v>19</v>
      </c>
      <c r="E3302" s="6" t="n">
        <f>SUM(C3302,D3302)/2</f>
        <v>15</v>
      </c>
      <c r="F3302" s="18" t="n">
        <v>1</v>
      </c>
      <c r="G3302" s="18" t="n">
        <v>1</v>
      </c>
      <c r="H3302" s="6" t="n">
        <f>SUM(F3302,G3302)/2</f>
        <v>1</v>
      </c>
    </row>
    <row r="3303" s="18" customFormat="1" ht="14.399999999999999" customHeight="1">
      <c r="A3303" s="10" t="s">
        <v>7933</v>
      </c>
      <c r="B3303" s="10" t="s">
        <v>7934</v>
      </c>
      <c r="C3303" s="13" t="n">
        <v>24466</v>
      </c>
      <c r="D3303" s="13" t="n">
        <v>39080</v>
      </c>
      <c r="E3303" s="6" t="n">
        <f>SUM(C3303,D3303)/2</f>
        <v>31773</v>
      </c>
      <c r="F3303" s="12" t="n">
        <v>6841</v>
      </c>
      <c r="G3303" s="12" t="n">
        <v>8664</v>
      </c>
      <c r="H3303" s="6" t="n">
        <f>SUM(F3303,G3303)/2</f>
        <v>7752.5</v>
      </c>
    </row>
    <row r="3304" s="18" customFormat="1" ht="14.399999999999999" customHeight="1">
      <c r="A3304" s="10" t="s">
        <v>7935</v>
      </c>
      <c r="B3304" s="10" t="s">
        <v>7936</v>
      </c>
      <c r="C3304" s="13" t="n">
        <v>96686</v>
      </c>
      <c r="D3304" s="13" t="n">
        <v>154450</v>
      </c>
      <c r="E3304" s="6" t="n">
        <f>SUM(C3304,D3304)/2</f>
        <v>125568</v>
      </c>
      <c r="F3304" s="12" t="n">
        <v>20612</v>
      </c>
      <c r="G3304" s="12" t="n">
        <v>29530</v>
      </c>
      <c r="H3304" s="6" t="n">
        <f>SUM(F3304,G3304)/2</f>
        <v>25071</v>
      </c>
    </row>
    <row r="3305" s="18" customFormat="1" ht="14.399999999999999" customHeight="1">
      <c r="A3305" s="10" t="s">
        <v>1968</v>
      </c>
      <c r="B3305" s="10" t="s">
        <v>7937</v>
      </c>
      <c r="C3305" s="10" t="n">
        <v>9</v>
      </c>
      <c r="D3305" s="10" t="n">
        <v>13</v>
      </c>
      <c r="E3305" s="6" t="n">
        <f>SUM(C3305,D3305)/2</f>
        <v>11</v>
      </c>
      <c r="F3305" s="18" t="n">
        <v>9</v>
      </c>
      <c r="G3305" s="18" t="n">
        <v>13</v>
      </c>
      <c r="H3305" s="6" t="n">
        <f>SUM(F3305,G3305)/2</f>
        <v>11</v>
      </c>
    </row>
    <row r="3306" s="18" customFormat="1" ht="14.399999999999999" customHeight="1">
      <c r="A3306" s="10" t="s">
        <v>5392</v>
      </c>
      <c r="B3306" s="10" t="s">
        <v>7938</v>
      </c>
      <c r="C3306" s="10" t="n">
        <v>507</v>
      </c>
      <c r="D3306" s="10" t="n">
        <v>809</v>
      </c>
      <c r="E3306" s="6" t="n">
        <f>SUM(C3306,D3306)/2</f>
        <v>658</v>
      </c>
      <c r="F3306" s="18" t="n">
        <v>160</v>
      </c>
      <c r="G3306" s="18" t="n">
        <v>250</v>
      </c>
      <c r="H3306" s="6" t="n">
        <f>SUM(F3306,G3306)/2</f>
        <v>205</v>
      </c>
    </row>
    <row r="3307" s="18" customFormat="1" ht="14.399999999999999" customHeight="1">
      <c r="A3307" s="10" t="s">
        <v>5207</v>
      </c>
      <c r="B3307" s="10" t="s">
        <v>7939</v>
      </c>
      <c r="C3307" s="13" t="n">
        <v>19315</v>
      </c>
      <c r="D3307" s="13" t="n">
        <v>30853</v>
      </c>
      <c r="E3307" s="6" t="n">
        <f>SUM(C3307,D3307)/2</f>
        <v>25084</v>
      </c>
      <c r="F3307" s="18" t="n">
        <v>22</v>
      </c>
      <c r="G3307" s="18" t="n">
        <v>110</v>
      </c>
      <c r="H3307" s="6" t="n">
        <f>SUM(F3307,G3307)/2</f>
        <v>66</v>
      </c>
    </row>
    <row r="3308" s="18" customFormat="1" ht="14.399999999999999" customHeight="1">
      <c r="A3308" s="10" t="s">
        <v>3295</v>
      </c>
      <c r="B3308" s="10" t="s">
        <v>7940</v>
      </c>
      <c r="C3308" s="13" t="n">
        <v>154353</v>
      </c>
      <c r="D3308" s="13" t="n">
        <v>246563</v>
      </c>
      <c r="E3308" s="6" t="n">
        <f>SUM(C3308,D3308)/2</f>
        <v>200458</v>
      </c>
      <c r="F3308" s="12" t="n">
        <v>8788</v>
      </c>
      <c r="G3308" s="12" t="n">
        <v>13780</v>
      </c>
      <c r="H3308" s="6" t="n">
        <f>SUM(F3308,G3308)/2</f>
        <v>11284</v>
      </c>
    </row>
    <row r="3309" s="18" customFormat="1" ht="14.399999999999999" customHeight="1">
      <c r="A3309" s="10" t="s">
        <v>2821</v>
      </c>
      <c r="B3309" s="10" t="s">
        <v>7941</v>
      </c>
      <c r="C3309" s="10" t="n">
        <v>1</v>
      </c>
      <c r="D3309" s="10" t="n">
        <v>1</v>
      </c>
      <c r="E3309" s="6" t="n">
        <f>SUM(C3309,D3309)/2</f>
        <v>1</v>
      </c>
      <c r="F3309" s="18" t="n">
        <v>0</v>
      </c>
      <c r="G3309" s="18" t="n">
        <v>0</v>
      </c>
      <c r="H3309" s="6" t="n">
        <f>SUM(F3309,G3309)/2</f>
        <v>0</v>
      </c>
    </row>
    <row r="3310" s="18" customFormat="1" ht="14.399999999999999" customHeight="1">
      <c r="A3310" s="10" t="s">
        <v>7942</v>
      </c>
      <c r="B3310" s="10" t="s">
        <v>7943</v>
      </c>
      <c r="C3310" s="13" t="n">
        <v>51764</v>
      </c>
      <c r="D3310" s="13" t="n">
        <v>82686</v>
      </c>
      <c r="E3310" s="6" t="n">
        <f>SUM(C3310,D3310)/2</f>
        <v>67225</v>
      </c>
      <c r="F3310" s="12" t="n">
        <v>8935</v>
      </c>
      <c r="G3310" s="12" t="n">
        <v>12992</v>
      </c>
      <c r="H3310" s="6" t="n">
        <f>SUM(F3310,G3310)/2</f>
        <v>10963.5</v>
      </c>
    </row>
    <row r="3311" s="18" customFormat="1" ht="14.399999999999999" customHeight="1">
      <c r="A3311" s="10" t="s">
        <v>7944</v>
      </c>
      <c r="B3311" s="10" t="s">
        <v>7945</v>
      </c>
      <c r="C3311" s="13" t="n">
        <v>64416</v>
      </c>
      <c r="D3311" s="13" t="n">
        <v>102900</v>
      </c>
      <c r="E3311" s="6" t="n">
        <f>SUM(C3311,D3311)/2</f>
        <v>83658</v>
      </c>
      <c r="F3311" s="12" t="n">
        <v>12886</v>
      </c>
      <c r="G3311" s="12" t="n">
        <v>17817</v>
      </c>
      <c r="H3311" s="6" t="n">
        <f>SUM(F3311,G3311)/2</f>
        <v>15351.5</v>
      </c>
    </row>
    <row r="3312" s="18" customFormat="1" ht="14.399999999999999" customHeight="1">
      <c r="A3312" s="10" t="s">
        <v>5278</v>
      </c>
      <c r="B3312" s="10" t="s">
        <v>7946</v>
      </c>
      <c r="C3312" s="13" t="n">
        <v>2084</v>
      </c>
      <c r="D3312" s="13" t="n">
        <v>3328</v>
      </c>
      <c r="E3312" s="6" t="n">
        <f>SUM(C3312,D3312)/2</f>
        <v>2706</v>
      </c>
      <c r="F3312" s="18" t="n">
        <v>382</v>
      </c>
      <c r="G3312" s="18" t="n">
        <v>489</v>
      </c>
      <c r="H3312" s="6" t="n">
        <f>SUM(F3312,G3312)/2</f>
        <v>435.5</v>
      </c>
    </row>
    <row r="3313" s="18" customFormat="1" ht="14.399999999999999" customHeight="1">
      <c r="A3313" s="10" t="s">
        <v>7947</v>
      </c>
      <c r="B3313" s="10" t="s">
        <v>7948</v>
      </c>
      <c r="C3313" s="13" t="n">
        <v>22965</v>
      </c>
      <c r="D3313" s="13" t="n">
        <v>36689</v>
      </c>
      <c r="E3313" s="6" t="n">
        <f>SUM(C3313,D3313)/2</f>
        <v>29827</v>
      </c>
      <c r="F3313" s="12" t="n">
        <v>20366</v>
      </c>
      <c r="G3313" s="12" t="n">
        <v>28894</v>
      </c>
      <c r="H3313" s="6" t="n">
        <f>SUM(F3313,G3313)/2</f>
        <v>24630</v>
      </c>
    </row>
    <row r="3314" s="18" customFormat="1" ht="14.399999999999999" customHeight="1">
      <c r="A3314" s="10" t="s">
        <v>7949</v>
      </c>
      <c r="B3314" s="10" t="s">
        <v>7950</v>
      </c>
      <c r="C3314" s="13" t="n">
        <v>102408</v>
      </c>
      <c r="D3314" s="13" t="n">
        <v>163588</v>
      </c>
      <c r="E3314" s="6" t="n">
        <f>SUM(C3314,D3314)/2</f>
        <v>132998</v>
      </c>
      <c r="F3314" s="12" t="n">
        <v>10333</v>
      </c>
      <c r="G3314" s="12" t="n">
        <v>12619</v>
      </c>
      <c r="H3314" s="6" t="n">
        <f>SUM(F3314,G3314)/2</f>
        <v>11476</v>
      </c>
    </row>
    <row r="3315" s="18" customFormat="1" ht="14.399999999999999" customHeight="1">
      <c r="A3315" s="10" t="s">
        <v>7951</v>
      </c>
      <c r="B3315" s="10" t="s">
        <v>7952</v>
      </c>
      <c r="C3315" s="13" t="n">
        <v>13680</v>
      </c>
      <c r="D3315" s="13" t="n">
        <v>21854</v>
      </c>
      <c r="E3315" s="6" t="n">
        <f>SUM(C3315,D3315)/2</f>
        <v>17767</v>
      </c>
      <c r="F3315" s="12" t="n">
        <v>7580</v>
      </c>
      <c r="G3315" s="12" t="n">
        <v>8844</v>
      </c>
      <c r="H3315" s="6" t="n">
        <f>SUM(F3315,G3315)/2</f>
        <v>8212</v>
      </c>
    </row>
    <row r="3316" s="18" customFormat="1" ht="14.399999999999999" customHeight="1">
      <c r="A3316" s="10" t="s">
        <v>5223</v>
      </c>
      <c r="B3316" s="10" t="s">
        <v>7953</v>
      </c>
      <c r="C3316" s="13" t="n">
        <v>9560</v>
      </c>
      <c r="D3316" s="13" t="n">
        <v>15272</v>
      </c>
      <c r="E3316" s="6" t="n">
        <f>SUM(C3316,D3316)/2</f>
        <v>12416</v>
      </c>
      <c r="F3316" s="18" t="n">
        <v>1314</v>
      </c>
      <c r="G3316" s="18" t="n">
        <v>1912</v>
      </c>
      <c r="H3316" s="6" t="n">
        <f>SUM(F3316,G3316)/2</f>
        <v>1613</v>
      </c>
    </row>
    <row r="3317" s="18" customFormat="1" ht="14.399999999999999" customHeight="1">
      <c r="A3317" s="10" t="s">
        <v>666</v>
      </c>
      <c r="B3317" s="10" t="s">
        <v>667</v>
      </c>
      <c r="C3317" s="10" t="n">
        <v>452</v>
      </c>
      <c r="D3317" s="10" t="n">
        <v>724</v>
      </c>
      <c r="E3317" s="6" t="n">
        <f>SUM(C3317,D3317)/2</f>
        <v>588</v>
      </c>
      <c r="F3317" s="18" t="n">
        <v>41</v>
      </c>
      <c r="G3317" s="18" t="n">
        <v>79</v>
      </c>
      <c r="H3317" s="6" t="n">
        <f>SUM(F3317,G3317)/2</f>
        <v>60</v>
      </c>
    </row>
    <row r="3318" s="18" customFormat="1" ht="14.399999999999999" customHeight="1">
      <c r="A3318" s="10" t="s">
        <v>7954</v>
      </c>
      <c r="B3318" s="10" t="s">
        <v>7955</v>
      </c>
      <c r="C3318" s="13" t="n">
        <v>20042</v>
      </c>
      <c r="D3318" s="13" t="n">
        <v>32016</v>
      </c>
      <c r="E3318" s="6" t="n">
        <f>SUM(C3318,D3318)/2</f>
        <v>26029</v>
      </c>
      <c r="F3318" s="12" t="n">
        <v>4922</v>
      </c>
      <c r="G3318" s="12" t="n">
        <v>6128</v>
      </c>
      <c r="H3318" s="6" t="n">
        <f>SUM(F3318,G3318)/2</f>
        <v>5525</v>
      </c>
    </row>
    <row r="3319" s="18" customFormat="1" ht="14.399999999999999" customHeight="1">
      <c r="A3319" s="10" t="s">
        <v>7956</v>
      </c>
      <c r="B3319" s="10" t="s">
        <v>7957</v>
      </c>
      <c r="C3319" s="13" t="n">
        <v>9618</v>
      </c>
      <c r="D3319" s="13" t="n">
        <v>15364</v>
      </c>
      <c r="E3319" s="6" t="n">
        <f>SUM(C3319,D3319)/2</f>
        <v>12491</v>
      </c>
      <c r="F3319" s="12" t="n">
        <v>5729</v>
      </c>
      <c r="G3319" s="12" t="n">
        <v>8258</v>
      </c>
      <c r="H3319" s="6" t="n">
        <f>SUM(F3319,G3319)/2</f>
        <v>6993.5</v>
      </c>
    </row>
    <row r="3320" s="18" customFormat="1" ht="14.399999999999999" customHeight="1">
      <c r="A3320" s="10" t="s">
        <v>3899</v>
      </c>
      <c r="B3320" s="10" t="s">
        <v>7958</v>
      </c>
      <c r="C3320" s="13" t="n">
        <v>67536</v>
      </c>
      <c r="D3320" s="13" t="n">
        <v>107882</v>
      </c>
      <c r="E3320" s="6" t="n">
        <f>SUM(C3320,D3320)/2</f>
        <v>87709</v>
      </c>
      <c r="F3320" s="12" t="n">
        <v>7077</v>
      </c>
      <c r="G3320" s="12" t="n">
        <v>9544</v>
      </c>
      <c r="H3320" s="6" t="n">
        <f>SUM(F3320,G3320)/2</f>
        <v>8310.5</v>
      </c>
    </row>
    <row r="3321" s="18" customFormat="1" ht="14.399999999999999" customHeight="1">
      <c r="A3321" s="10" t="s">
        <v>7959</v>
      </c>
      <c r="B3321" s="10" t="s">
        <v>7960</v>
      </c>
      <c r="C3321" s="10" t="n">
        <v>24</v>
      </c>
      <c r="D3321" s="10" t="n">
        <v>38</v>
      </c>
      <c r="E3321" s="6" t="n">
        <f>SUM(C3321,D3321)/2</f>
        <v>31</v>
      </c>
      <c r="F3321" s="18" t="n">
        <v>50</v>
      </c>
      <c r="G3321" s="18" t="n">
        <v>56</v>
      </c>
      <c r="H3321" s="6" t="n">
        <f>SUM(F3321,G3321)/2</f>
        <v>53</v>
      </c>
    </row>
    <row r="3322" s="18" customFormat="1" ht="14.399999999999999" customHeight="1">
      <c r="A3322" s="10" t="s">
        <v>7961</v>
      </c>
      <c r="B3322" s="10" t="s">
        <v>7962</v>
      </c>
      <c r="C3322" s="13" t="n">
        <v>61392</v>
      </c>
      <c r="D3322" s="13" t="n">
        <v>98068</v>
      </c>
      <c r="E3322" s="6" t="n">
        <f>SUM(C3322,D3322)/2</f>
        <v>79730</v>
      </c>
      <c r="F3322" s="12" t="n">
        <v>6686</v>
      </c>
      <c r="G3322" s="12" t="n">
        <v>10779</v>
      </c>
      <c r="H3322" s="6" t="n">
        <f>SUM(F3322,G3322)/2</f>
        <v>8732.5</v>
      </c>
    </row>
    <row r="3323" s="18" customFormat="1" ht="14.399999999999999" customHeight="1">
      <c r="A3323" s="10" t="s">
        <v>2484</v>
      </c>
      <c r="B3323" s="10" t="s">
        <v>7963</v>
      </c>
      <c r="C3323" s="10" t="n">
        <v>9</v>
      </c>
      <c r="D3323" s="10" t="n">
        <v>13</v>
      </c>
      <c r="E3323" s="6" t="n">
        <f>SUM(C3323,D3323)/2</f>
        <v>11</v>
      </c>
      <c r="F3323" s="18" t="n">
        <v>1</v>
      </c>
      <c r="G3323" s="18" t="n">
        <v>1</v>
      </c>
      <c r="H3323" s="6" t="n">
        <f>SUM(F3323,G3323)/2</f>
        <v>1</v>
      </c>
    </row>
    <row r="3324" s="18" customFormat="1" ht="14.399999999999999" customHeight="1">
      <c r="A3324" s="10" t="s">
        <v>4635</v>
      </c>
      <c r="B3324" s="10" t="s">
        <v>7964</v>
      </c>
      <c r="C3324" s="13" t="n">
        <v>11647</v>
      </c>
      <c r="D3324" s="13" t="n">
        <v>18605</v>
      </c>
      <c r="E3324" s="6" t="n">
        <f>SUM(C3324,D3324)/2</f>
        <v>15126</v>
      </c>
      <c r="F3324" s="12" t="n">
        <v>8065</v>
      </c>
      <c r="G3324" s="12" t="n">
        <v>12800</v>
      </c>
      <c r="H3324" s="6" t="n">
        <f>SUM(F3324,G3324)/2</f>
        <v>10432.5</v>
      </c>
    </row>
    <row r="3325" s="18" customFormat="1" ht="14.399999999999999" customHeight="1">
      <c r="A3325" s="10" t="s">
        <v>7965</v>
      </c>
      <c r="B3325" s="10" t="s">
        <v>7966</v>
      </c>
      <c r="C3325" s="13" t="n">
        <v>32633</v>
      </c>
      <c r="D3325" s="13" t="n">
        <v>52129</v>
      </c>
      <c r="E3325" s="6" t="n">
        <f>SUM(C3325,D3325)/2</f>
        <v>42381</v>
      </c>
      <c r="F3325" s="12" t="n">
        <v>7361</v>
      </c>
      <c r="G3325" s="12" t="n">
        <v>11114</v>
      </c>
      <c r="H3325" s="6" t="n">
        <f>SUM(F3325,G3325)/2</f>
        <v>9237.5</v>
      </c>
    </row>
    <row r="3326" s="18" customFormat="1" ht="14.399999999999999" customHeight="1">
      <c r="A3326" s="10" t="s">
        <v>7967</v>
      </c>
      <c r="B3326" s="10" t="s">
        <v>7968</v>
      </c>
      <c r="C3326" s="13" t="n">
        <v>8391</v>
      </c>
      <c r="D3326" s="13" t="n">
        <v>13403</v>
      </c>
      <c r="E3326" s="6" t="n">
        <f>SUM(C3326,D3326)/2</f>
        <v>10897</v>
      </c>
      <c r="F3326" s="12" t="n">
        <v>13754</v>
      </c>
      <c r="G3326" s="12" t="n">
        <v>17339</v>
      </c>
      <c r="H3326" s="6" t="n">
        <f>SUM(F3326,G3326)/2</f>
        <v>15546.5</v>
      </c>
    </row>
    <row r="3327" s="18" customFormat="1" ht="14.399999999999999" customHeight="1">
      <c r="A3327" s="10" t="s">
        <v>602</v>
      </c>
      <c r="B3327" s="10" t="s">
        <v>603</v>
      </c>
      <c r="C3327" s="10" t="n">
        <v>676</v>
      </c>
      <c r="D3327" s="13" t="n">
        <v>1082</v>
      </c>
      <c r="E3327" s="6" t="n">
        <f>SUM(C3327,D3327)/2</f>
        <v>879</v>
      </c>
      <c r="F3327" s="18" t="n">
        <v>261</v>
      </c>
      <c r="G3327" s="18" t="n">
        <v>410</v>
      </c>
      <c r="H3327" s="6" t="n">
        <f>SUM(F3327,G3327)/2</f>
        <v>335.5</v>
      </c>
    </row>
    <row r="3328" s="18" customFormat="1" ht="14.399999999999999" customHeight="1">
      <c r="A3328" s="10" t="s">
        <v>7969</v>
      </c>
      <c r="B3328" s="10" t="s">
        <v>7970</v>
      </c>
      <c r="C3328" s="13" t="n">
        <v>76004</v>
      </c>
      <c r="D3328" s="13" t="n">
        <v>121410</v>
      </c>
      <c r="E3328" s="6" t="n">
        <f>SUM(C3328,D3328)/2</f>
        <v>98707</v>
      </c>
      <c r="F3328" s="12" t="n">
        <v>13111</v>
      </c>
      <c r="G3328" s="12" t="n">
        <v>21740</v>
      </c>
      <c r="H3328" s="6" t="n">
        <f>SUM(F3328,G3328)/2</f>
        <v>17425.5</v>
      </c>
    </row>
    <row r="3329" s="18" customFormat="1" ht="14.399999999999999" customHeight="1">
      <c r="A3329" s="10" t="s">
        <v>7971</v>
      </c>
      <c r="B3329" s="10" t="s">
        <v>7972</v>
      </c>
      <c r="C3329" s="13" t="n">
        <v>11208</v>
      </c>
      <c r="D3329" s="13" t="n">
        <v>17904</v>
      </c>
      <c r="E3329" s="6" t="n">
        <f>SUM(C3329,D3329)/2</f>
        <v>14556</v>
      </c>
      <c r="F3329" s="12" t="n">
        <v>6108</v>
      </c>
      <c r="G3329" s="12" t="n">
        <v>7625</v>
      </c>
      <c r="H3329" s="6" t="n">
        <f>SUM(F3329,G3329)/2</f>
        <v>6866.5</v>
      </c>
    </row>
    <row r="3330" s="18" customFormat="1" ht="14.399999999999999" customHeight="1">
      <c r="A3330" s="10" t="s">
        <v>5412</v>
      </c>
      <c r="B3330" s="10" t="s">
        <v>7973</v>
      </c>
      <c r="C3330" s="13" t="n">
        <v>133252</v>
      </c>
      <c r="D3330" s="13" t="n">
        <v>212856</v>
      </c>
      <c r="E3330" s="6" t="n">
        <f>SUM(C3330,D3330)/2</f>
        <v>173054</v>
      </c>
      <c r="F3330" s="12" t="n">
        <v>84029</v>
      </c>
      <c r="G3330" s="12" t="n">
        <v>100125</v>
      </c>
      <c r="H3330" s="6" t="n">
        <f>SUM(F3330,G3330)/2</f>
        <v>92077</v>
      </c>
    </row>
    <row r="3331" s="18" customFormat="1" ht="14.399999999999999" customHeight="1">
      <c r="A3331" s="10" t="s">
        <v>1379</v>
      </c>
      <c r="B3331" s="10" t="s">
        <v>7974</v>
      </c>
      <c r="C3331" s="10" t="n">
        <v>120</v>
      </c>
      <c r="D3331" s="10" t="n">
        <v>188</v>
      </c>
      <c r="E3331" s="6" t="n">
        <f>SUM(C3331,D3331)/2</f>
        <v>154</v>
      </c>
      <c r="F3331" s="18" t="n">
        <v>48</v>
      </c>
      <c r="G3331" s="18" t="n">
        <v>68</v>
      </c>
      <c r="H3331" s="6" t="n">
        <f>SUM(F3331,G3331)/2</f>
        <v>58</v>
      </c>
    </row>
    <row r="3332" s="18" customFormat="1" ht="14.399999999999999" customHeight="1">
      <c r="A3332" s="10" t="s">
        <v>7975</v>
      </c>
      <c r="B3332" s="10" t="s">
        <v>7976</v>
      </c>
      <c r="C3332" s="13" t="n">
        <v>23875</v>
      </c>
      <c r="D3332" s="13" t="n">
        <v>38137</v>
      </c>
      <c r="E3332" s="6" t="n">
        <f>SUM(C3332,D3332)/2</f>
        <v>31006</v>
      </c>
      <c r="F3332" s="12" t="n">
        <v>5557</v>
      </c>
      <c r="G3332" s="12" t="n">
        <v>7340</v>
      </c>
      <c r="H3332" s="6" t="n">
        <f>SUM(F3332,G3332)/2</f>
        <v>6448.5</v>
      </c>
    </row>
    <row r="3333" s="18" customFormat="1" ht="14.399999999999999" customHeight="1">
      <c r="A3333" s="10" t="s">
        <v>4851</v>
      </c>
      <c r="B3333" s="10" t="s">
        <v>7977</v>
      </c>
      <c r="C3333" s="13" t="n">
        <v>17069</v>
      </c>
      <c r="D3333" s="13" t="n">
        <v>27269</v>
      </c>
      <c r="E3333" s="6" t="n">
        <f>SUM(C3333,D3333)/2</f>
        <v>22169</v>
      </c>
      <c r="F3333" s="12" t="n">
        <v>4450</v>
      </c>
      <c r="G3333" s="12" t="n">
        <v>8736</v>
      </c>
      <c r="H3333" s="6" t="n">
        <f>SUM(F3333,G3333)/2</f>
        <v>6593</v>
      </c>
    </row>
    <row r="3334" s="18" customFormat="1" ht="14.399999999999999" customHeight="1">
      <c r="A3334" s="10" t="s">
        <v>3447</v>
      </c>
      <c r="B3334" s="10" t="s">
        <v>7978</v>
      </c>
      <c r="C3334" s="13" t="n">
        <v>134072</v>
      </c>
      <c r="D3334" s="13" t="n">
        <v>214166</v>
      </c>
      <c r="E3334" s="6" t="n">
        <f>SUM(C3334,D3334)/2</f>
        <v>174119</v>
      </c>
      <c r="F3334" s="12" t="n">
        <v>3378</v>
      </c>
      <c r="G3334" s="12" t="n">
        <v>11746</v>
      </c>
      <c r="H3334" s="6" t="n">
        <f>SUM(F3334,G3334)/2</f>
        <v>7562</v>
      </c>
    </row>
    <row r="3335" s="18" customFormat="1" ht="14.399999999999999" customHeight="1">
      <c r="A3335" s="10" t="s">
        <v>7979</v>
      </c>
      <c r="B3335" s="10" t="s">
        <v>7980</v>
      </c>
      <c r="C3335" s="13" t="n">
        <v>188637</v>
      </c>
      <c r="D3335" s="13" t="n">
        <v>301331</v>
      </c>
      <c r="E3335" s="6" t="n">
        <f>SUM(C3335,D3335)/2</f>
        <v>244984</v>
      </c>
      <c r="F3335" s="12" t="n">
        <v>149257</v>
      </c>
      <c r="G3335" s="12" t="n">
        <v>237804</v>
      </c>
      <c r="H3335" s="6" t="n">
        <f>SUM(F3335,G3335)/2</f>
        <v>193530.5</v>
      </c>
    </row>
    <row r="3336" s="18" customFormat="1" ht="14.399999999999999" customHeight="1">
      <c r="A3336" s="10" t="s">
        <v>158</v>
      </c>
      <c r="B3336" s="10" t="s">
        <v>7981</v>
      </c>
      <c r="C3336" s="13" t="n">
        <v>11198</v>
      </c>
      <c r="D3336" s="13" t="n">
        <v>17886</v>
      </c>
      <c r="E3336" s="6" t="n">
        <f>SUM(C3336,D3336)/2</f>
        <v>14542</v>
      </c>
      <c r="F3336" s="18" t="n">
        <v>598</v>
      </c>
      <c r="G3336" s="18" t="n">
        <v>1130</v>
      </c>
      <c r="H3336" s="6" t="n">
        <f>SUM(F3336,G3336)/2</f>
        <v>864</v>
      </c>
    </row>
    <row r="3337" s="18" customFormat="1" ht="14.399999999999999" customHeight="1">
      <c r="A3337" s="10" t="s">
        <v>4425</v>
      </c>
      <c r="B3337" s="10" t="s">
        <v>7982</v>
      </c>
      <c r="C3337" s="13" t="n">
        <v>16148</v>
      </c>
      <c r="D3337" s="13" t="n">
        <v>25794</v>
      </c>
      <c r="E3337" s="6" t="n">
        <f>SUM(C3337,D3337)/2</f>
        <v>20971</v>
      </c>
      <c r="F3337" s="12" t="n">
        <v>11113</v>
      </c>
      <c r="G3337" s="12" t="n">
        <v>12824</v>
      </c>
      <c r="H3337" s="6" t="n">
        <f>SUM(F3337,G3337)/2</f>
        <v>11968.5</v>
      </c>
    </row>
    <row r="3338" s="18" customFormat="1" ht="14.399999999999999" customHeight="1">
      <c r="A3338" s="10" t="s">
        <v>7983</v>
      </c>
      <c r="B3338" s="10" t="s">
        <v>7984</v>
      </c>
      <c r="C3338" s="13" t="n">
        <v>30569</v>
      </c>
      <c r="D3338" s="13" t="n">
        <v>48831</v>
      </c>
      <c r="E3338" s="6" t="n">
        <f>SUM(C3338,D3338)/2</f>
        <v>39700</v>
      </c>
      <c r="F3338" s="12" t="n">
        <v>6747</v>
      </c>
      <c r="G3338" s="12" t="n">
        <v>9907</v>
      </c>
      <c r="H3338" s="6" t="n">
        <f>SUM(F3338,G3338)/2</f>
        <v>8327</v>
      </c>
    </row>
    <row r="3339" s="18" customFormat="1" ht="14.399999999999999" customHeight="1">
      <c r="A3339" s="10" t="s">
        <v>4277</v>
      </c>
      <c r="B3339" s="10" t="s">
        <v>7985</v>
      </c>
      <c r="C3339" s="13" t="n">
        <v>17484</v>
      </c>
      <c r="D3339" s="13" t="n">
        <v>27930</v>
      </c>
      <c r="E3339" s="6" t="n">
        <f>SUM(C3339,D3339)/2</f>
        <v>22707</v>
      </c>
      <c r="F3339" s="12" t="n">
        <v>11152</v>
      </c>
      <c r="G3339" s="12" t="n">
        <v>16868</v>
      </c>
      <c r="H3339" s="6" t="n">
        <f>SUM(F3339,G3339)/2</f>
        <v>14010</v>
      </c>
    </row>
    <row r="3340" s="18" customFormat="1" ht="14.399999999999999" customHeight="1">
      <c r="A3340" s="10" t="s">
        <v>5476</v>
      </c>
      <c r="B3340" s="10" t="s">
        <v>7986</v>
      </c>
      <c r="C3340" s="10" t="n">
        <v>356</v>
      </c>
      <c r="D3340" s="10" t="n">
        <v>568</v>
      </c>
      <c r="E3340" s="6" t="n">
        <f>SUM(C3340,D3340)/2</f>
        <v>462</v>
      </c>
      <c r="F3340" s="18" t="n">
        <v>54</v>
      </c>
      <c r="G3340" s="18" t="n">
        <v>124</v>
      </c>
      <c r="H3340" s="6" t="n">
        <f>SUM(F3340,G3340)/2</f>
        <v>89</v>
      </c>
    </row>
    <row r="3341" s="18" customFormat="1" ht="14.399999999999999" customHeight="1">
      <c r="A3341" s="10" t="s">
        <v>810</v>
      </c>
      <c r="B3341" s="10" t="s">
        <v>7987</v>
      </c>
      <c r="C3341" s="13" t="n">
        <v>712528</v>
      </c>
      <c r="D3341" s="13" t="n">
        <v>1138196</v>
      </c>
      <c r="E3341" s="6" t="n">
        <f>SUM(C3341,D3341)/2</f>
        <v>925362</v>
      </c>
      <c r="F3341" s="12" t="n">
        <v>315120</v>
      </c>
      <c r="G3341" s="12" t="n">
        <v>460422</v>
      </c>
      <c r="H3341" s="6" t="n">
        <f>SUM(F3341,G3341)/2</f>
        <v>387771</v>
      </c>
    </row>
    <row r="3342" s="18" customFormat="1" ht="14.399999999999999" customHeight="1">
      <c r="A3342" s="10" t="s">
        <v>1120</v>
      </c>
      <c r="B3342" s="10" t="s">
        <v>7988</v>
      </c>
      <c r="C3342" s="13" t="n">
        <v>207736</v>
      </c>
      <c r="D3342" s="13" t="n">
        <v>331836</v>
      </c>
      <c r="E3342" s="6" t="n">
        <f>SUM(C3342,D3342)/2</f>
        <v>269786</v>
      </c>
      <c r="F3342" s="12" t="n">
        <v>117693</v>
      </c>
      <c r="G3342" s="12" t="n">
        <v>133957</v>
      </c>
      <c r="H3342" s="6" t="n">
        <f>SUM(F3342,G3342)/2</f>
        <v>125825</v>
      </c>
    </row>
    <row r="3343" s="18" customFormat="1" ht="14.399999999999999" customHeight="1">
      <c r="A3343" s="10" t="s">
        <v>857</v>
      </c>
      <c r="B3343" s="10" t="s">
        <v>7989</v>
      </c>
      <c r="C3343" s="13" t="n">
        <v>1042043</v>
      </c>
      <c r="D3343" s="13" t="n">
        <v>1664563</v>
      </c>
      <c r="E3343" s="6" t="n">
        <f>SUM(C3343,D3343)/2</f>
        <v>1353303</v>
      </c>
      <c r="F3343" s="12" t="n">
        <v>124081</v>
      </c>
      <c r="G3343" s="12" t="n">
        <v>211858</v>
      </c>
      <c r="H3343" s="6" t="n">
        <f>SUM(F3343,G3343)/2</f>
        <v>167969.5</v>
      </c>
    </row>
    <row r="3344" s="18" customFormat="1" ht="14.399999999999999" customHeight="1">
      <c r="A3344" s="10" t="s">
        <v>2220</v>
      </c>
      <c r="B3344" s="10" t="s">
        <v>7990</v>
      </c>
      <c r="C3344" s="10" t="n">
        <v>266</v>
      </c>
      <c r="D3344" s="10" t="n">
        <v>426</v>
      </c>
      <c r="E3344" s="6" t="n">
        <f>SUM(C3344,D3344)/2</f>
        <v>346</v>
      </c>
      <c r="F3344" s="18" t="n">
        <v>7</v>
      </c>
      <c r="G3344" s="18" t="n">
        <v>11</v>
      </c>
      <c r="H3344" s="6" t="n">
        <f>SUM(F3344,G3344)/2</f>
        <v>9</v>
      </c>
    </row>
    <row r="3345" s="18" customFormat="1" ht="14.399999999999999" customHeight="1">
      <c r="A3345" s="10" t="s">
        <v>3969</v>
      </c>
      <c r="B3345" s="10" t="s">
        <v>7991</v>
      </c>
      <c r="C3345" s="13" t="n">
        <v>43866</v>
      </c>
      <c r="D3345" s="13" t="n">
        <v>70072</v>
      </c>
      <c r="E3345" s="6" t="n">
        <f>SUM(C3345,D3345)/2</f>
        <v>56969</v>
      </c>
      <c r="F3345" s="12" t="n">
        <v>10970</v>
      </c>
      <c r="G3345" s="12" t="n">
        <v>15817</v>
      </c>
      <c r="H3345" s="6" t="n">
        <f>SUM(F3345,G3345)/2</f>
        <v>13393.5</v>
      </c>
    </row>
    <row r="3346" s="18" customFormat="1" ht="14.399999999999999" customHeight="1">
      <c r="A3346" s="10" t="s">
        <v>7992</v>
      </c>
      <c r="B3346" s="10" t="s">
        <v>7993</v>
      </c>
      <c r="C3346" s="13" t="n">
        <v>37975</v>
      </c>
      <c r="D3346" s="13" t="n">
        <v>60661</v>
      </c>
      <c r="E3346" s="6" t="n">
        <f>SUM(C3346,D3346)/2</f>
        <v>49318</v>
      </c>
      <c r="F3346" s="12" t="n">
        <v>9096</v>
      </c>
      <c r="G3346" s="12" t="n">
        <v>11832</v>
      </c>
      <c r="H3346" s="6" t="n">
        <f>SUM(F3346,G3346)/2</f>
        <v>10464</v>
      </c>
    </row>
    <row r="3347" s="18" customFormat="1" ht="14.399999999999999" customHeight="1">
      <c r="A3347" s="10" t="s">
        <v>7994</v>
      </c>
      <c r="B3347" s="10" t="s">
        <v>7995</v>
      </c>
      <c r="C3347" s="13" t="n">
        <v>105920</v>
      </c>
      <c r="D3347" s="13" t="n">
        <v>169198</v>
      </c>
      <c r="E3347" s="6" t="n">
        <f>SUM(C3347,D3347)/2</f>
        <v>137559</v>
      </c>
      <c r="F3347" s="12" t="n">
        <v>32436</v>
      </c>
      <c r="G3347" s="12" t="n">
        <v>49459</v>
      </c>
      <c r="H3347" s="6" t="n">
        <f>SUM(F3347,G3347)/2</f>
        <v>40947.5</v>
      </c>
    </row>
    <row r="3348" s="18" customFormat="1" ht="14.399999999999999" customHeight="1">
      <c r="A3348" s="10" t="s">
        <v>7996</v>
      </c>
      <c r="B3348" s="10" t="s">
        <v>7997</v>
      </c>
      <c r="C3348" s="13" t="n">
        <v>17079</v>
      </c>
      <c r="D3348" s="13" t="n">
        <v>27281</v>
      </c>
      <c r="E3348" s="6" t="n">
        <f>SUM(C3348,D3348)/2</f>
        <v>22180</v>
      </c>
      <c r="F3348" s="12" t="n">
        <v>8476</v>
      </c>
      <c r="G3348" s="12" t="n">
        <v>12056</v>
      </c>
      <c r="H3348" s="6" t="n">
        <f>SUM(F3348,G3348)/2</f>
        <v>10266</v>
      </c>
    </row>
    <row r="3349" s="18" customFormat="1" ht="14.399999999999999" customHeight="1">
      <c r="A3349" s="10" t="s">
        <v>1172</v>
      </c>
      <c r="B3349" s="10" t="s">
        <v>7998</v>
      </c>
      <c r="C3349" s="10" t="n">
        <v>784</v>
      </c>
      <c r="D3349" s="13" t="n">
        <v>1250</v>
      </c>
      <c r="E3349" s="6" t="n">
        <f>SUM(C3349,D3349)/2</f>
        <v>1017</v>
      </c>
      <c r="F3349" s="18" t="n">
        <v>4</v>
      </c>
      <c r="G3349" s="18" t="n">
        <v>5</v>
      </c>
      <c r="H3349" s="6" t="n">
        <f>SUM(F3349,G3349)/2</f>
        <v>4.5</v>
      </c>
    </row>
    <row r="3350" s="18" customFormat="1" ht="14.399999999999999" customHeight="1">
      <c r="A3350" s="10" t="s">
        <v>1647</v>
      </c>
      <c r="B3350" s="10" t="s">
        <v>7999</v>
      </c>
      <c r="C3350" s="10" t="n">
        <v>116</v>
      </c>
      <c r="D3350" s="10" t="n">
        <v>186</v>
      </c>
      <c r="E3350" s="6" t="n">
        <f>SUM(C3350,D3350)/2</f>
        <v>151</v>
      </c>
      <c r="F3350" s="18" t="n">
        <v>9</v>
      </c>
      <c r="G3350" s="18" t="n">
        <v>14</v>
      </c>
      <c r="H3350" s="6" t="n">
        <f>SUM(F3350,G3350)/2</f>
        <v>11.5</v>
      </c>
    </row>
    <row r="3351" s="18" customFormat="1" ht="14.399999999999999" customHeight="1">
      <c r="A3351" s="10" t="s">
        <v>8000</v>
      </c>
      <c r="B3351" s="10" t="s">
        <v>8001</v>
      </c>
      <c r="C3351" s="13" t="n">
        <v>65075</v>
      </c>
      <c r="D3351" s="13" t="n">
        <v>103951</v>
      </c>
      <c r="E3351" s="6" t="n">
        <f>SUM(C3351,D3351)/2</f>
        <v>84513</v>
      </c>
      <c r="F3351" s="12" t="n">
        <v>18490</v>
      </c>
      <c r="G3351" s="12" t="n">
        <v>26390</v>
      </c>
      <c r="H3351" s="6" t="n">
        <f>SUM(F3351,G3351)/2</f>
        <v>22440</v>
      </c>
    </row>
    <row r="3352" s="18" customFormat="1" ht="14.399999999999999" customHeight="1">
      <c r="A3352" s="10" t="s">
        <v>2781</v>
      </c>
      <c r="B3352" s="10" t="s">
        <v>8002</v>
      </c>
      <c r="C3352" s="10" t="n">
        <v>2</v>
      </c>
      <c r="D3352" s="10" t="n">
        <v>2</v>
      </c>
      <c r="E3352" s="6" t="n">
        <f>SUM(C3352,D3352)/2</f>
        <v>2</v>
      </c>
      <c r="F3352" s="18" t="n">
        <v>0</v>
      </c>
      <c r="G3352" s="18" t="n">
        <v>0</v>
      </c>
      <c r="H3352" s="6" t="n">
        <f>SUM(F3352,G3352)/2</f>
        <v>0</v>
      </c>
    </row>
    <row r="3353" s="18" customFormat="1" ht="14.399999999999999" customHeight="1">
      <c r="A3353" s="10" t="s">
        <v>8003</v>
      </c>
      <c r="B3353" s="10" t="s">
        <v>8004</v>
      </c>
      <c r="C3353" s="13" t="n">
        <v>80803</v>
      </c>
      <c r="D3353" s="13" t="n">
        <v>129075</v>
      </c>
      <c r="E3353" s="6" t="n">
        <f>SUM(C3353,D3353)/2</f>
        <v>104939</v>
      </c>
      <c r="F3353" s="12" t="n">
        <v>21293</v>
      </c>
      <c r="G3353" s="12" t="n">
        <v>32504</v>
      </c>
      <c r="H3353" s="6" t="n">
        <f>SUM(F3353,G3353)/2</f>
        <v>26898.5</v>
      </c>
    </row>
    <row r="3354" s="18" customFormat="1" ht="14.399999999999999" customHeight="1">
      <c r="A3354" s="10" t="s">
        <v>8005</v>
      </c>
      <c r="B3354" s="10" t="s">
        <v>8006</v>
      </c>
      <c r="C3354" s="13" t="n">
        <v>23924</v>
      </c>
      <c r="D3354" s="13" t="n">
        <v>38216</v>
      </c>
      <c r="E3354" s="6" t="n">
        <f>SUM(C3354,D3354)/2</f>
        <v>31070</v>
      </c>
      <c r="F3354" s="12" t="n">
        <v>6225</v>
      </c>
      <c r="G3354" s="12" t="n">
        <v>8382</v>
      </c>
      <c r="H3354" s="6" t="n">
        <f>SUM(F3354,G3354)/2</f>
        <v>7303.5</v>
      </c>
    </row>
    <row r="3355" s="18" customFormat="1" ht="14.399999999999999" customHeight="1">
      <c r="A3355" s="10" t="s">
        <v>2516</v>
      </c>
      <c r="B3355" s="10" t="s">
        <v>8007</v>
      </c>
      <c r="C3355" s="10" t="n">
        <v>2</v>
      </c>
      <c r="D3355" s="10" t="n">
        <v>2</v>
      </c>
      <c r="E3355" s="6" t="n">
        <f>SUM(C3355,D3355)/2</f>
        <v>2</v>
      </c>
      <c r="F3355" s="18" t="n">
        <v>2</v>
      </c>
      <c r="G3355" s="18" t="n">
        <v>3</v>
      </c>
      <c r="H3355" s="6" t="n">
        <f>SUM(F3355,G3355)/2</f>
        <v>2.5</v>
      </c>
    </row>
    <row r="3356" s="18" customFormat="1" ht="14.399999999999999" customHeight="1">
      <c r="A3356" s="10" t="s">
        <v>8008</v>
      </c>
      <c r="B3356" s="10" t="s">
        <v>8009</v>
      </c>
      <c r="C3356" s="10" t="n">
        <v>266</v>
      </c>
      <c r="D3356" s="10" t="n">
        <v>426</v>
      </c>
      <c r="E3356" s="6" t="n">
        <f>SUM(C3356,D3356)/2</f>
        <v>346</v>
      </c>
      <c r="F3356" s="18" t="n">
        <v>45</v>
      </c>
      <c r="G3356" s="18" t="n">
        <v>69</v>
      </c>
      <c r="H3356" s="6" t="n">
        <f>SUM(F3356,G3356)/2</f>
        <v>57</v>
      </c>
    </row>
    <row r="3357" s="18" customFormat="1" ht="14.399999999999999" customHeight="1">
      <c r="A3357" s="10" t="s">
        <v>8010</v>
      </c>
      <c r="B3357" s="10" t="s">
        <v>8011</v>
      </c>
      <c r="C3357" s="13" t="n">
        <v>2259</v>
      </c>
      <c r="D3357" s="13" t="n">
        <v>3607</v>
      </c>
      <c r="E3357" s="6" t="n">
        <f>SUM(C3357,D3357)/2</f>
        <v>2933</v>
      </c>
      <c r="F3357" s="12" t="n">
        <v>4246</v>
      </c>
      <c r="G3357" s="12" t="n">
        <v>6533</v>
      </c>
      <c r="H3357" s="6" t="n">
        <f>SUM(F3357,G3357)/2</f>
        <v>5389.5</v>
      </c>
    </row>
    <row r="3358" s="18" customFormat="1" ht="14.399999999999999" customHeight="1">
      <c r="A3358" s="10" t="s">
        <v>8012</v>
      </c>
      <c r="B3358" s="10" t="s">
        <v>8013</v>
      </c>
      <c r="C3358" s="13" t="n">
        <v>106290</v>
      </c>
      <c r="D3358" s="13" t="n">
        <v>169788</v>
      </c>
      <c r="E3358" s="6" t="n">
        <f>SUM(C3358,D3358)/2</f>
        <v>138039</v>
      </c>
      <c r="F3358" s="12" t="n">
        <v>2712</v>
      </c>
      <c r="G3358" s="12" t="n">
        <v>9907</v>
      </c>
      <c r="H3358" s="6" t="n">
        <f>SUM(F3358,G3358)/2</f>
        <v>6309.5</v>
      </c>
    </row>
    <row r="3359" s="18" customFormat="1" ht="14.399999999999999" customHeight="1">
      <c r="A3359" s="10" t="s">
        <v>3715</v>
      </c>
      <c r="B3359" s="10" t="s">
        <v>8014</v>
      </c>
      <c r="C3359" s="13" t="n">
        <v>44138</v>
      </c>
      <c r="D3359" s="13" t="n">
        <v>70508</v>
      </c>
      <c r="E3359" s="6" t="n">
        <f>SUM(C3359,D3359)/2</f>
        <v>57323</v>
      </c>
      <c r="F3359" s="12" t="n">
        <v>19611</v>
      </c>
      <c r="G3359" s="12" t="n">
        <v>23003</v>
      </c>
      <c r="H3359" s="6" t="n">
        <f>SUM(F3359,G3359)/2</f>
        <v>21307</v>
      </c>
    </row>
    <row r="3360" s="18" customFormat="1" ht="14.399999999999999" customHeight="1">
      <c r="A3360" s="10" t="s">
        <v>8015</v>
      </c>
      <c r="B3360" s="10" t="s">
        <v>8016</v>
      </c>
      <c r="C3360" s="13" t="n">
        <v>14834</v>
      </c>
      <c r="D3360" s="13" t="n">
        <v>23694</v>
      </c>
      <c r="E3360" s="6" t="n">
        <f>SUM(C3360,D3360)/2</f>
        <v>19264</v>
      </c>
      <c r="F3360" s="12" t="n">
        <v>8580</v>
      </c>
      <c r="G3360" s="12" t="n">
        <v>11147</v>
      </c>
      <c r="H3360" s="6" t="n">
        <f>SUM(F3360,G3360)/2</f>
        <v>9863.5</v>
      </c>
    </row>
    <row r="3361" s="18" customFormat="1" ht="14.399999999999999" customHeight="1">
      <c r="A3361" s="10" t="s">
        <v>8017</v>
      </c>
      <c r="B3361" s="10" t="s">
        <v>8018</v>
      </c>
      <c r="C3361" s="13" t="n">
        <v>47171</v>
      </c>
      <c r="D3361" s="13" t="n">
        <v>75355</v>
      </c>
      <c r="E3361" s="6" t="n">
        <f>SUM(C3361,D3361)/2</f>
        <v>61263</v>
      </c>
      <c r="F3361" s="12" t="n">
        <v>7765</v>
      </c>
      <c r="G3361" s="12" t="n">
        <v>8909</v>
      </c>
      <c r="H3361" s="6" t="n">
        <f>SUM(F3361,G3361)/2</f>
        <v>8337</v>
      </c>
    </row>
    <row r="3362" s="18" customFormat="1" ht="14.399999999999999" customHeight="1">
      <c r="A3362" s="10" t="s">
        <v>4211</v>
      </c>
      <c r="B3362" s="10" t="s">
        <v>8019</v>
      </c>
      <c r="C3362" s="13" t="n">
        <v>20052</v>
      </c>
      <c r="D3362" s="13" t="n">
        <v>32032</v>
      </c>
      <c r="E3362" s="6" t="n">
        <f>SUM(C3362,D3362)/2</f>
        <v>26042</v>
      </c>
      <c r="F3362" s="12" t="n">
        <v>12299</v>
      </c>
      <c r="G3362" s="12" t="n">
        <v>16726</v>
      </c>
      <c r="H3362" s="6" t="n">
        <f>SUM(F3362,G3362)/2</f>
        <v>14512.5</v>
      </c>
    </row>
    <row r="3363" s="18" customFormat="1" ht="14.399999999999999" customHeight="1">
      <c r="A3363" s="10" t="s">
        <v>8020</v>
      </c>
      <c r="B3363" s="10" t="s">
        <v>8021</v>
      </c>
      <c r="C3363" s="10" t="n">
        <v>1</v>
      </c>
      <c r="D3363" s="10" t="n">
        <v>1</v>
      </c>
      <c r="E3363" s="6" t="n">
        <f>SUM(C3363,D3363)/2</f>
        <v>1</v>
      </c>
      <c r="F3363" s="18" t="n">
        <v>12</v>
      </c>
      <c r="G3363" s="18" t="n">
        <v>19</v>
      </c>
      <c r="H3363" s="6" t="n">
        <f>SUM(F3363,G3363)/2</f>
        <v>15.5</v>
      </c>
    </row>
    <row r="3364" s="18" customFormat="1" ht="14.399999999999999" customHeight="1">
      <c r="A3364" s="10" t="s">
        <v>1184</v>
      </c>
      <c r="B3364" s="10" t="s">
        <v>8022</v>
      </c>
      <c r="C3364" s="10" t="n">
        <v>697</v>
      </c>
      <c r="D3364" s="13" t="n">
        <v>1111</v>
      </c>
      <c r="E3364" s="6" t="n">
        <f>SUM(C3364,D3364)/2</f>
        <v>904</v>
      </c>
      <c r="F3364" s="18" t="n">
        <v>12</v>
      </c>
      <c r="G3364" s="18" t="n">
        <v>19</v>
      </c>
      <c r="H3364" s="6" t="n">
        <f>SUM(F3364,G3364)/2</f>
        <v>15.5</v>
      </c>
    </row>
    <row r="3365" s="18" customFormat="1" ht="14.399999999999999" customHeight="1">
      <c r="A3365" s="10" t="s">
        <v>5205</v>
      </c>
      <c r="B3365" s="10" t="s">
        <v>8023</v>
      </c>
      <c r="C3365" s="13" t="n">
        <v>3013</v>
      </c>
      <c r="D3365" s="13" t="n">
        <v>4811</v>
      </c>
      <c r="E3365" s="6" t="n">
        <f>SUM(C3365,D3365)/2</f>
        <v>3912</v>
      </c>
      <c r="F3365" s="12" t="n">
        <v>3701</v>
      </c>
      <c r="G3365" s="12" t="n">
        <v>5502</v>
      </c>
      <c r="H3365" s="6" t="n">
        <f>SUM(F3365,G3365)/2</f>
        <v>4601.5</v>
      </c>
    </row>
    <row r="3366" s="18" customFormat="1" ht="14.399999999999999" customHeight="1">
      <c r="A3366" s="10" t="s">
        <v>8024</v>
      </c>
      <c r="B3366" s="10" t="s">
        <v>8025</v>
      </c>
      <c r="C3366" s="13" t="n">
        <v>7913</v>
      </c>
      <c r="D3366" s="13" t="n">
        <v>12641</v>
      </c>
      <c r="E3366" s="6" t="n">
        <f>SUM(C3366,D3366)/2</f>
        <v>10277</v>
      </c>
      <c r="F3366" s="12" t="n">
        <v>6646</v>
      </c>
      <c r="G3366" s="12" t="n">
        <v>8060</v>
      </c>
      <c r="H3366" s="6" t="n">
        <f>SUM(F3366,G3366)/2</f>
        <v>7353</v>
      </c>
    </row>
    <row r="3367" s="18" customFormat="1" ht="14.399999999999999" customHeight="1">
      <c r="A3367" s="10" t="s">
        <v>8026</v>
      </c>
      <c r="B3367" s="10" t="s">
        <v>8027</v>
      </c>
      <c r="C3367" s="13" t="n">
        <v>185149</v>
      </c>
      <c r="D3367" s="13" t="n">
        <v>295757</v>
      </c>
      <c r="E3367" s="6" t="n">
        <f>SUM(C3367,D3367)/2</f>
        <v>240453</v>
      </c>
      <c r="F3367" s="12" t="n">
        <v>6089</v>
      </c>
      <c r="G3367" s="12" t="n">
        <v>25826</v>
      </c>
      <c r="H3367" s="6" t="n">
        <f>SUM(F3367,G3367)/2</f>
        <v>15957.5</v>
      </c>
    </row>
    <row r="3368" s="18" customFormat="1" ht="14.399999999999999" customHeight="1">
      <c r="A3368" s="10" t="s">
        <v>8028</v>
      </c>
      <c r="B3368" s="10" t="s">
        <v>8029</v>
      </c>
      <c r="C3368" s="13" t="n">
        <v>11925</v>
      </c>
      <c r="D3368" s="13" t="n">
        <v>19047</v>
      </c>
      <c r="E3368" s="6" t="n">
        <f>SUM(C3368,D3368)/2</f>
        <v>15486</v>
      </c>
      <c r="F3368" s="12" t="n">
        <v>9241</v>
      </c>
      <c r="G3368" s="12" t="n">
        <v>14758</v>
      </c>
      <c r="H3368" s="6" t="n">
        <f>SUM(F3368,G3368)/2</f>
        <v>11999.5</v>
      </c>
    </row>
    <row r="3369" s="18" customFormat="1" ht="14.399999999999999" customHeight="1">
      <c r="A3369" s="10" t="s">
        <v>8030</v>
      </c>
      <c r="B3369" s="10" t="s">
        <v>8031</v>
      </c>
      <c r="C3369" s="13" t="n">
        <v>5717</v>
      </c>
      <c r="D3369" s="13" t="n">
        <v>9133</v>
      </c>
      <c r="E3369" s="6" t="n">
        <f>SUM(C3369,D3369)/2</f>
        <v>7425</v>
      </c>
      <c r="F3369" s="12" t="n">
        <v>4930</v>
      </c>
      <c r="G3369" s="12" t="n">
        <v>7348</v>
      </c>
      <c r="H3369" s="6" t="n">
        <f>SUM(F3369,G3369)/2</f>
        <v>6139</v>
      </c>
    </row>
    <row r="3370" s="18" customFormat="1" ht="14.399999999999999" customHeight="1">
      <c r="A3370" s="10" t="s">
        <v>8032</v>
      </c>
      <c r="B3370" s="10" t="s">
        <v>8033</v>
      </c>
      <c r="C3370" s="13" t="n">
        <v>27680</v>
      </c>
      <c r="D3370" s="13" t="n">
        <v>44216</v>
      </c>
      <c r="E3370" s="6" t="n">
        <f>SUM(C3370,D3370)/2</f>
        <v>35948</v>
      </c>
      <c r="F3370" s="12" t="n">
        <v>8712</v>
      </c>
      <c r="G3370" s="12" t="n">
        <v>10434</v>
      </c>
      <c r="H3370" s="6" t="n">
        <f>SUM(F3370,G3370)/2</f>
        <v>9573</v>
      </c>
    </row>
    <row r="3371" s="18" customFormat="1" ht="14.399999999999999" customHeight="1">
      <c r="A3371" s="10" t="s">
        <v>8034</v>
      </c>
      <c r="B3371" s="10" t="s">
        <v>8035</v>
      </c>
      <c r="C3371" s="13" t="n">
        <v>25510</v>
      </c>
      <c r="D3371" s="13" t="n">
        <v>40746</v>
      </c>
      <c r="E3371" s="6" t="n">
        <f>SUM(C3371,D3371)/2</f>
        <v>33128</v>
      </c>
      <c r="F3371" s="12" t="n">
        <v>14408</v>
      </c>
      <c r="G3371" s="12" t="n">
        <v>22613</v>
      </c>
      <c r="H3371" s="6" t="n">
        <f>SUM(F3371,G3371)/2</f>
        <v>18510.5</v>
      </c>
    </row>
    <row r="3372" s="18" customFormat="1" ht="14.399999999999999" customHeight="1">
      <c r="A3372" s="10" t="s">
        <v>8036</v>
      </c>
      <c r="B3372" s="10" t="s">
        <v>8037</v>
      </c>
      <c r="C3372" s="13" t="n">
        <v>66260</v>
      </c>
      <c r="D3372" s="13" t="n">
        <v>105844</v>
      </c>
      <c r="E3372" s="6" t="n">
        <f>SUM(C3372,D3372)/2</f>
        <v>86052</v>
      </c>
      <c r="F3372" s="12" t="n">
        <v>14060</v>
      </c>
      <c r="G3372" s="12" t="n">
        <v>22725</v>
      </c>
      <c r="H3372" s="6" t="n">
        <f>SUM(F3372,G3372)/2</f>
        <v>18392.5</v>
      </c>
    </row>
    <row r="3373" s="18" customFormat="1" ht="14.399999999999999" customHeight="1">
      <c r="A3373" s="10" t="s">
        <v>8038</v>
      </c>
      <c r="B3373" s="10" t="s">
        <v>8039</v>
      </c>
      <c r="C3373" s="13" t="n">
        <v>20266</v>
      </c>
      <c r="D3373" s="13" t="n">
        <v>32374</v>
      </c>
      <c r="E3373" s="6" t="n">
        <f>SUM(C3373,D3373)/2</f>
        <v>26320</v>
      </c>
      <c r="F3373" s="12" t="n">
        <v>2285</v>
      </c>
      <c r="G3373" s="12" t="n">
        <v>3940</v>
      </c>
      <c r="H3373" s="6" t="n">
        <f>SUM(F3373,G3373)/2</f>
        <v>3112.5</v>
      </c>
    </row>
    <row r="3374" s="18" customFormat="1" ht="14.399999999999999" customHeight="1">
      <c r="A3374" s="10" t="s">
        <v>2075</v>
      </c>
      <c r="B3374" s="10" t="s">
        <v>8040</v>
      </c>
      <c r="C3374" s="10" t="n">
        <v>12</v>
      </c>
      <c r="D3374" s="10" t="n">
        <v>18</v>
      </c>
      <c r="E3374" s="6" t="n">
        <f>SUM(C3374,D3374)/2</f>
        <v>15</v>
      </c>
      <c r="F3374" s="18" t="n">
        <v>5</v>
      </c>
      <c r="G3374" s="18" t="n">
        <v>9</v>
      </c>
      <c r="H3374" s="6" t="n">
        <f>SUM(F3374,G3374)/2</f>
        <v>7</v>
      </c>
    </row>
    <row r="3375" s="18" customFormat="1" ht="14.399999999999999" customHeight="1">
      <c r="A3375" s="10" t="s">
        <v>3015</v>
      </c>
      <c r="B3375" s="10" t="s">
        <v>8041</v>
      </c>
      <c r="C3375" s="10" t="n">
        <v>0</v>
      </c>
      <c r="D3375" s="10" t="n">
        <v>0</v>
      </c>
      <c r="E3375" s="6" t="n">
        <f>SUM(C3375,D3375)/2</f>
        <v>0</v>
      </c>
      <c r="F3375" s="18" t="n">
        <v>0</v>
      </c>
      <c r="G3375" s="18" t="n">
        <v>0</v>
      </c>
      <c r="H3375" s="6" t="n">
        <f>SUM(F3375,G3375)/2</f>
        <v>0</v>
      </c>
    </row>
    <row r="3376" s="18" customFormat="1" ht="14.399999999999999" customHeight="1">
      <c r="A3376" s="10" t="s">
        <v>8042</v>
      </c>
      <c r="B3376" s="10" t="s">
        <v>8043</v>
      </c>
      <c r="C3376" s="13" t="n">
        <v>16600</v>
      </c>
      <c r="D3376" s="13" t="n">
        <v>26518</v>
      </c>
      <c r="E3376" s="6" t="n">
        <f>SUM(C3376,D3376)/2</f>
        <v>21559</v>
      </c>
      <c r="F3376" s="12" t="n">
        <v>3415</v>
      </c>
      <c r="G3376" s="12" t="n">
        <v>5234</v>
      </c>
      <c r="H3376" s="6" t="n">
        <f>SUM(F3376,G3376)/2</f>
        <v>4324.5</v>
      </c>
    </row>
    <row r="3377" s="18" customFormat="1" ht="14.399999999999999" customHeight="1">
      <c r="A3377" s="10" t="s">
        <v>1543</v>
      </c>
      <c r="B3377" s="10" t="s">
        <v>8044</v>
      </c>
      <c r="C3377" s="10" t="n">
        <v>150</v>
      </c>
      <c r="D3377" s="10" t="n">
        <v>240</v>
      </c>
      <c r="E3377" s="6" t="n">
        <f>SUM(C3377,D3377)/2</f>
        <v>195</v>
      </c>
      <c r="F3377" s="18" t="n">
        <v>5</v>
      </c>
      <c r="G3377" s="18" t="n">
        <v>23</v>
      </c>
      <c r="H3377" s="6" t="n">
        <f>SUM(F3377,G3377)/2</f>
        <v>14</v>
      </c>
    </row>
    <row r="3378" s="18" customFormat="1" ht="14.399999999999999" customHeight="1">
      <c r="A3378" s="10" t="s">
        <v>1182</v>
      </c>
      <c r="B3378" s="10" t="s">
        <v>8045</v>
      </c>
      <c r="C3378" s="10" t="n">
        <v>409</v>
      </c>
      <c r="D3378" s="10" t="n">
        <v>655</v>
      </c>
      <c r="E3378" s="6" t="n">
        <f>SUM(C3378,D3378)/2</f>
        <v>532</v>
      </c>
      <c r="F3378" s="18" t="n">
        <v>85</v>
      </c>
      <c r="G3378" s="18" t="n">
        <v>105</v>
      </c>
      <c r="H3378" s="6" t="n">
        <f>SUM(F3378,G3378)/2</f>
        <v>95</v>
      </c>
    </row>
    <row r="3379" s="18" customFormat="1" ht="14.399999999999999" customHeight="1">
      <c r="A3379" s="10" t="s">
        <v>5460</v>
      </c>
      <c r="B3379" s="10" t="s">
        <v>8046</v>
      </c>
      <c r="C3379" s="13" t="n">
        <v>50087</v>
      </c>
      <c r="D3379" s="13" t="n">
        <v>80009</v>
      </c>
      <c r="E3379" s="6" t="n">
        <f>SUM(C3379,D3379)/2</f>
        <v>65048</v>
      </c>
      <c r="F3379" s="12" t="n">
        <v>67922</v>
      </c>
      <c r="G3379" s="12" t="n">
        <v>104145</v>
      </c>
      <c r="H3379" s="6" t="n">
        <f>SUM(F3379,G3379)/2</f>
        <v>86033.5</v>
      </c>
    </row>
    <row r="3380" s="18" customFormat="1" ht="14.399999999999999" customHeight="1">
      <c r="A3380" s="10" t="s">
        <v>4415</v>
      </c>
      <c r="B3380" s="10" t="s">
        <v>4416</v>
      </c>
      <c r="C3380" s="13" t="n">
        <v>32107</v>
      </c>
      <c r="D3380" s="13" t="n">
        <v>51285</v>
      </c>
      <c r="E3380" s="6" t="n">
        <f>SUM(C3380,D3380)/2</f>
        <v>41696</v>
      </c>
      <c r="F3380" s="12" t="n">
        <v>6220</v>
      </c>
      <c r="G3380" s="12" t="n">
        <v>9074</v>
      </c>
      <c r="H3380" s="6" t="n">
        <f>SUM(F3380,G3380)/2</f>
        <v>7647</v>
      </c>
    </row>
    <row r="3381" s="18" customFormat="1" ht="14.399999999999999" customHeight="1">
      <c r="A3381" s="10" t="s">
        <v>1266</v>
      </c>
      <c r="B3381" s="10" t="s">
        <v>1267</v>
      </c>
      <c r="C3381" s="13" t="n">
        <v>148562</v>
      </c>
      <c r="D3381" s="13" t="n">
        <v>237316</v>
      </c>
      <c r="E3381" s="6" t="n">
        <f>SUM(C3381,D3381)/2</f>
        <v>192939</v>
      </c>
      <c r="F3381" s="12" t="n">
        <v>35194</v>
      </c>
      <c r="G3381" s="12" t="n">
        <v>39747</v>
      </c>
      <c r="H3381" s="6" t="n">
        <f>SUM(F3381,G3381)/2</f>
        <v>37470.5</v>
      </c>
    </row>
    <row r="3382" s="18" customFormat="1" ht="14.399999999999999" customHeight="1">
      <c r="A3382" s="10" t="s">
        <v>3837</v>
      </c>
      <c r="B3382" s="10" t="s">
        <v>3838</v>
      </c>
      <c r="C3382" s="13" t="n">
        <v>76822</v>
      </c>
      <c r="D3382" s="13" t="n">
        <v>122716</v>
      </c>
      <c r="E3382" s="6" t="n">
        <f>SUM(C3382,D3382)/2</f>
        <v>99769</v>
      </c>
      <c r="F3382" s="12" t="n">
        <v>3133</v>
      </c>
      <c r="G3382" s="12" t="n">
        <v>12139</v>
      </c>
      <c r="H3382" s="6" t="n">
        <f>SUM(F3382,G3382)/2</f>
        <v>7636</v>
      </c>
    </row>
    <row r="3383" s="18" customFormat="1" ht="14.399999999999999" customHeight="1">
      <c r="A3383" s="10" t="s">
        <v>1451</v>
      </c>
      <c r="B3383" s="10" t="s">
        <v>1452</v>
      </c>
      <c r="C3383" s="10" t="n">
        <v>13</v>
      </c>
      <c r="D3383" s="10" t="n">
        <v>21</v>
      </c>
      <c r="E3383" s="6" t="n">
        <f>SUM(C3383,D3383)/2</f>
        <v>17</v>
      </c>
      <c r="F3383" s="18" t="n">
        <v>1</v>
      </c>
      <c r="G3383" s="18" t="n">
        <v>1</v>
      </c>
      <c r="H3383" s="6" t="n">
        <f>SUM(F3383,G3383)/2</f>
        <v>1</v>
      </c>
    </row>
    <row r="3384" s="18" customFormat="1" ht="14.399999999999999" customHeight="1">
      <c r="A3384" s="10" t="s">
        <v>3017</v>
      </c>
      <c r="B3384" s="10" t="s">
        <v>3018</v>
      </c>
      <c r="C3384" s="10" t="n">
        <v>0</v>
      </c>
      <c r="D3384" s="10" t="n">
        <v>0</v>
      </c>
      <c r="E3384" s="6" t="n">
        <f>SUM(C3384,D3384)/2</f>
        <v>0</v>
      </c>
      <c r="F3384" s="18" t="n">
        <v>0</v>
      </c>
      <c r="G3384" s="18" t="n">
        <v>0</v>
      </c>
      <c r="H3384" s="6" t="n">
        <f>SUM(F3384,G3384)/2</f>
        <v>0</v>
      </c>
    </row>
    <row r="3385" s="18" customFormat="1" ht="14.399999999999999" customHeight="1">
      <c r="A3385" s="10" t="s">
        <v>8047</v>
      </c>
      <c r="B3385" s="10" t="s">
        <v>8048</v>
      </c>
      <c r="C3385" s="10" t="n">
        <v>427</v>
      </c>
      <c r="D3385" s="10" t="n">
        <v>683</v>
      </c>
      <c r="E3385" s="6" t="n">
        <f>SUM(C3385,D3385)/2</f>
        <v>555</v>
      </c>
      <c r="F3385" s="18" t="n">
        <v>107</v>
      </c>
      <c r="G3385" s="18" t="n">
        <v>124</v>
      </c>
      <c r="H3385" s="6" t="n">
        <f>SUM(F3385,G3385)/2</f>
        <v>115.5</v>
      </c>
    </row>
    <row r="3386" s="18" customFormat="1" ht="14.399999999999999" customHeight="1">
      <c r="A3386" s="10" t="s">
        <v>8049</v>
      </c>
      <c r="B3386" s="10" t="s">
        <v>8050</v>
      </c>
      <c r="C3386" s="10" t="n">
        <v>0</v>
      </c>
      <c r="D3386" s="10" t="n">
        <v>0</v>
      </c>
      <c r="E3386" s="6" t="n">
        <f>SUM(C3386,D3386)/2</f>
        <v>0</v>
      </c>
      <c r="F3386" s="18" t="n">
        <v>9</v>
      </c>
      <c r="G3386" s="18" t="n">
        <v>12</v>
      </c>
      <c r="H3386" s="6" t="n">
        <f>SUM(F3386,G3386)/2</f>
        <v>10.5</v>
      </c>
    </row>
    <row r="3387" s="18" customFormat="1" ht="14.399999999999999" customHeight="1">
      <c r="A3387" s="10" t="s">
        <v>8051</v>
      </c>
      <c r="B3387" s="10" t="s">
        <v>8052</v>
      </c>
      <c r="C3387" s="10" t="n">
        <v>13</v>
      </c>
      <c r="D3387" s="10" t="n">
        <v>21</v>
      </c>
      <c r="E3387" s="6" t="n">
        <f>SUM(C3387,D3387)/2</f>
        <v>17</v>
      </c>
      <c r="F3387" s="18" t="n">
        <v>4</v>
      </c>
      <c r="G3387" s="18" t="n">
        <v>5</v>
      </c>
      <c r="H3387" s="6" t="n">
        <f>SUM(F3387,G3387)/2</f>
        <v>4.5</v>
      </c>
    </row>
    <row r="3388" s="18" customFormat="1" ht="14.399999999999999" customHeight="1">
      <c r="A3388" s="10" t="s">
        <v>3783</v>
      </c>
      <c r="B3388" s="10" t="s">
        <v>3784</v>
      </c>
      <c r="C3388" s="13" t="n">
        <v>16632</v>
      </c>
      <c r="D3388" s="13" t="n">
        <v>26566</v>
      </c>
      <c r="E3388" s="6" t="n">
        <f>SUM(C3388,D3388)/2</f>
        <v>21599</v>
      </c>
      <c r="F3388" s="12" t="n">
        <v>21719</v>
      </c>
      <c r="G3388" s="12" t="n">
        <v>30518</v>
      </c>
      <c r="H3388" s="6" t="n">
        <f>SUM(F3388,G3388)/2</f>
        <v>26118.5</v>
      </c>
    </row>
    <row r="3389" s="18" customFormat="1" ht="14.399999999999999" customHeight="1">
      <c r="A3389" s="10" t="s">
        <v>4959</v>
      </c>
      <c r="B3389" s="10" t="s">
        <v>4960</v>
      </c>
      <c r="C3389" s="13" t="n">
        <v>10290</v>
      </c>
      <c r="D3389" s="13" t="n">
        <v>16436</v>
      </c>
      <c r="E3389" s="6" t="n">
        <f>SUM(C3389,D3389)/2</f>
        <v>13363</v>
      </c>
      <c r="F3389" s="12" t="n">
        <v>6210</v>
      </c>
      <c r="G3389" s="12" t="n">
        <v>8296</v>
      </c>
      <c r="H3389" s="6" t="n">
        <f>SUM(F3389,G3389)/2</f>
        <v>7253</v>
      </c>
    </row>
    <row r="3390" s="18" customFormat="1" ht="14.399999999999999" customHeight="1">
      <c r="A3390" s="10" t="s">
        <v>2288</v>
      </c>
      <c r="B3390" s="10" t="s">
        <v>2289</v>
      </c>
      <c r="C3390" s="10" t="n">
        <v>0</v>
      </c>
      <c r="D3390" s="10" t="n">
        <v>0</v>
      </c>
      <c r="E3390" s="6" t="n">
        <f>SUM(C3390,D3390)/2</f>
        <v>0</v>
      </c>
      <c r="F3390" s="18" t="n">
        <v>5</v>
      </c>
      <c r="G3390" s="18" t="n">
        <v>7</v>
      </c>
      <c r="H3390" s="6" t="n">
        <f>SUM(F3390,G3390)/2</f>
        <v>6</v>
      </c>
    </row>
    <row r="3391" s="18" customFormat="1" ht="14.399999999999999" customHeight="1">
      <c r="A3391" s="10" t="s">
        <v>5492</v>
      </c>
      <c r="B3391" s="10" t="s">
        <v>5493</v>
      </c>
      <c r="C3391" s="10" t="n">
        <v>310</v>
      </c>
      <c r="D3391" s="10" t="n">
        <v>494</v>
      </c>
      <c r="E3391" s="6" t="n">
        <f>SUM(C3391,D3391)/2</f>
        <v>402</v>
      </c>
      <c r="F3391" s="18" t="n">
        <v>55</v>
      </c>
      <c r="G3391" s="18" t="n">
        <v>90</v>
      </c>
      <c r="H3391" s="6" t="n">
        <f>SUM(F3391,G3391)/2</f>
        <v>72.5</v>
      </c>
    </row>
    <row r="3392" s="18" customFormat="1" ht="14.399999999999999" customHeight="1">
      <c r="A3392" s="10" t="s">
        <v>3299</v>
      </c>
      <c r="B3392" s="10" t="s">
        <v>3300</v>
      </c>
      <c r="C3392" s="13" t="n">
        <v>136594</v>
      </c>
      <c r="D3392" s="13" t="n">
        <v>218194</v>
      </c>
      <c r="E3392" s="6" t="n">
        <f>SUM(C3392,D3392)/2</f>
        <v>177394</v>
      </c>
      <c r="F3392" s="12" t="n">
        <v>10498</v>
      </c>
      <c r="G3392" s="12" t="n">
        <v>20837</v>
      </c>
      <c r="H3392" s="6" t="n">
        <f>SUM(F3392,G3392)/2</f>
        <v>15667.5</v>
      </c>
    </row>
    <row r="3393" s="18" customFormat="1" ht="14.399999999999999" customHeight="1">
      <c r="A3393" s="10" t="s">
        <v>2144</v>
      </c>
      <c r="B3393" s="10" t="s">
        <v>2145</v>
      </c>
      <c r="C3393" s="10" t="n">
        <v>1</v>
      </c>
      <c r="D3393" s="10" t="n">
        <v>1</v>
      </c>
      <c r="E3393" s="6" t="n">
        <f>SUM(C3393,D3393)/2</f>
        <v>1</v>
      </c>
      <c r="F3393" s="18" t="n">
        <v>7</v>
      </c>
      <c r="G3393" s="18" t="n">
        <v>9</v>
      </c>
      <c r="H3393" s="6" t="n">
        <f>SUM(F3393,G3393)/2</f>
        <v>8</v>
      </c>
    </row>
    <row r="3394" s="18" customFormat="1" ht="14.399999999999999" customHeight="1">
      <c r="A3394" s="10" t="s">
        <v>8053</v>
      </c>
      <c r="B3394" s="10" t="s">
        <v>8054</v>
      </c>
      <c r="C3394" s="13" t="n">
        <v>217372</v>
      </c>
      <c r="D3394" s="13" t="n">
        <v>347230</v>
      </c>
      <c r="E3394" s="6" t="n">
        <f>SUM(C3394,D3394)/2</f>
        <v>282301</v>
      </c>
      <c r="F3394" s="12" t="n">
        <v>24434</v>
      </c>
      <c r="G3394" s="12" t="n">
        <v>38577</v>
      </c>
      <c r="H3394" s="6" t="n">
        <f>SUM(F3394,G3394)/2</f>
        <v>31505.5</v>
      </c>
    </row>
    <row r="3395" s="18" customFormat="1" ht="14.399999999999999" customHeight="1">
      <c r="A3395" s="10" t="s">
        <v>3111</v>
      </c>
      <c r="B3395" s="10" t="s">
        <v>3112</v>
      </c>
      <c r="C3395" s="13" t="n">
        <v>187750</v>
      </c>
      <c r="D3395" s="13" t="n">
        <v>299912</v>
      </c>
      <c r="E3395" s="6" t="n">
        <f>SUM(C3395,D3395)/2</f>
        <v>243831</v>
      </c>
      <c r="F3395" s="12" t="n">
        <v>39166</v>
      </c>
      <c r="G3395" s="12" t="n">
        <v>58092</v>
      </c>
      <c r="H3395" s="6" t="n">
        <f>SUM(F3395,G3395)/2</f>
        <v>48629</v>
      </c>
    </row>
    <row r="3396" s="18" customFormat="1" ht="14.399999999999999" customHeight="1">
      <c r="A3396" s="10" t="s">
        <v>1099</v>
      </c>
      <c r="B3396" s="10" t="s">
        <v>1100</v>
      </c>
      <c r="C3396" s="10" t="n">
        <v>251</v>
      </c>
      <c r="D3396" s="10" t="n">
        <v>401</v>
      </c>
      <c r="E3396" s="6" t="n">
        <f>SUM(C3396,D3396)/2</f>
        <v>326</v>
      </c>
      <c r="F3396" s="18" t="n">
        <v>445</v>
      </c>
      <c r="G3396" s="18" t="n">
        <v>582</v>
      </c>
      <c r="H3396" s="6" t="n">
        <f>SUM(F3396,G3396)/2</f>
        <v>513.5</v>
      </c>
    </row>
    <row r="3397" s="18" customFormat="1" ht="14.399999999999999" customHeight="1">
      <c r="A3397" s="10" t="s">
        <v>2043</v>
      </c>
      <c r="B3397" s="10" t="s">
        <v>2044</v>
      </c>
      <c r="C3397" s="13" t="n">
        <v>158670</v>
      </c>
      <c r="D3397" s="13" t="n">
        <v>253460</v>
      </c>
      <c r="E3397" s="6" t="n">
        <f>SUM(C3397,D3397)/2</f>
        <v>206065</v>
      </c>
      <c r="F3397" s="12" t="n">
        <v>57415</v>
      </c>
      <c r="G3397" s="12" t="n">
        <v>80975</v>
      </c>
      <c r="H3397" s="6" t="n">
        <f>SUM(F3397,G3397)/2</f>
        <v>69195</v>
      </c>
    </row>
    <row r="3398" s="18" customFormat="1" ht="14.399999999999999" customHeight="1">
      <c r="A3398" s="10" t="s">
        <v>4865</v>
      </c>
      <c r="B3398" s="10" t="s">
        <v>4866</v>
      </c>
      <c r="C3398" s="13" t="n">
        <v>8524</v>
      </c>
      <c r="D3398" s="13" t="n">
        <v>13618</v>
      </c>
      <c r="E3398" s="6" t="n">
        <f>SUM(C3398,D3398)/2</f>
        <v>11071</v>
      </c>
      <c r="F3398" s="12" t="n">
        <v>7918</v>
      </c>
      <c r="G3398" s="12" t="n">
        <v>9696</v>
      </c>
      <c r="H3398" s="6" t="n">
        <f>SUM(F3398,G3398)/2</f>
        <v>8807</v>
      </c>
    </row>
    <row r="3399" s="18" customFormat="1" ht="14.399999999999999" customHeight="1">
      <c r="A3399" s="10" t="s">
        <v>5522</v>
      </c>
      <c r="B3399" s="10" t="s">
        <v>5523</v>
      </c>
      <c r="C3399" s="10" t="n">
        <v>319</v>
      </c>
      <c r="D3399" s="10" t="n">
        <v>509</v>
      </c>
      <c r="E3399" s="6" t="n">
        <f>SUM(C3399,D3399)/2</f>
        <v>414</v>
      </c>
      <c r="F3399" s="18" t="n">
        <v>12</v>
      </c>
      <c r="G3399" s="18" t="n">
        <v>17</v>
      </c>
      <c r="H3399" s="6" t="n">
        <f>SUM(F3399,G3399)/2</f>
        <v>14.5</v>
      </c>
    </row>
    <row r="3400" s="18" customFormat="1" ht="14.399999999999999" customHeight="1">
      <c r="A3400" s="10" t="s">
        <v>3019</v>
      </c>
      <c r="B3400" s="10" t="s">
        <v>3020</v>
      </c>
      <c r="C3400" s="10" t="n">
        <v>0</v>
      </c>
      <c r="D3400" s="10" t="n">
        <v>0</v>
      </c>
      <c r="E3400" s="6" t="n">
        <f>SUM(C3400,D3400)/2</f>
        <v>0</v>
      </c>
      <c r="F3400" s="18" t="n">
        <v>0</v>
      </c>
      <c r="G3400" s="18" t="n">
        <v>0</v>
      </c>
      <c r="H3400" s="6" t="n">
        <f>SUM(F3400,G3400)/2</f>
        <v>0</v>
      </c>
    </row>
    <row r="3401" s="18" customFormat="1" ht="14.399999999999999" customHeight="1">
      <c r="A3401" s="10" t="s">
        <v>2478</v>
      </c>
      <c r="B3401" s="10" t="s">
        <v>2479</v>
      </c>
      <c r="C3401" s="10" t="n">
        <v>12</v>
      </c>
      <c r="D3401" s="10" t="n">
        <v>20</v>
      </c>
      <c r="E3401" s="6" t="n">
        <f>SUM(C3401,D3401)/2</f>
        <v>16</v>
      </c>
      <c r="F3401" s="18" t="n">
        <v>0</v>
      </c>
      <c r="G3401" s="18" t="n">
        <v>0</v>
      </c>
      <c r="H3401" s="6" t="n">
        <f>SUM(F3401,G3401)/2</f>
        <v>0</v>
      </c>
    </row>
    <row r="3402" s="18" customFormat="1" ht="14.399999999999999" customHeight="1">
      <c r="A3402" s="10" t="s">
        <v>8055</v>
      </c>
      <c r="B3402" s="10" t="s">
        <v>8056</v>
      </c>
      <c r="C3402" s="10" t="n">
        <v>80</v>
      </c>
      <c r="D3402" s="10" t="n">
        <v>126</v>
      </c>
      <c r="E3402" s="6" t="n">
        <f>SUM(C3402,D3402)/2</f>
        <v>103</v>
      </c>
      <c r="F3402" s="18" t="n">
        <v>17</v>
      </c>
      <c r="G3402" s="18" t="n">
        <v>30</v>
      </c>
      <c r="H3402" s="6" t="n">
        <f>SUM(F3402,G3402)/2</f>
        <v>23.5</v>
      </c>
    </row>
    <row r="3403" s="18" customFormat="1" ht="14.399999999999999" customHeight="1">
      <c r="A3403" s="10" t="s">
        <v>4145</v>
      </c>
      <c r="B3403" s="10" t="s">
        <v>4146</v>
      </c>
      <c r="C3403" s="13" t="n">
        <v>28721</v>
      </c>
      <c r="D3403" s="13" t="n">
        <v>45879</v>
      </c>
      <c r="E3403" s="6" t="n">
        <f>SUM(C3403,D3403)/2</f>
        <v>37300</v>
      </c>
      <c r="F3403" s="12" t="n">
        <v>10903</v>
      </c>
      <c r="G3403" s="12" t="n">
        <v>15663</v>
      </c>
      <c r="H3403" s="6" t="n">
        <f>SUM(F3403,G3403)/2</f>
        <v>13283</v>
      </c>
    </row>
    <row r="3404" s="18" customFormat="1" ht="14.399999999999999" customHeight="1">
      <c r="A3404" s="10" t="s">
        <v>3149</v>
      </c>
      <c r="B3404" s="10" t="s">
        <v>3150</v>
      </c>
      <c r="C3404" s="13" t="n">
        <v>174629</v>
      </c>
      <c r="D3404" s="13" t="n">
        <v>278953</v>
      </c>
      <c r="E3404" s="6" t="n">
        <f>SUM(C3404,D3404)/2</f>
        <v>226791</v>
      </c>
      <c r="F3404" s="12" t="n">
        <v>15214</v>
      </c>
      <c r="G3404" s="12" t="n">
        <v>22468</v>
      </c>
      <c r="H3404" s="6" t="n">
        <f>SUM(F3404,G3404)/2</f>
        <v>18841</v>
      </c>
    </row>
    <row r="3405" s="18" customFormat="1" ht="14.399999999999999" customHeight="1">
      <c r="A3405" s="10" t="s">
        <v>8057</v>
      </c>
      <c r="B3405" s="10" t="s">
        <v>8058</v>
      </c>
      <c r="C3405" s="13" t="n">
        <v>6011</v>
      </c>
      <c r="D3405" s="13" t="n">
        <v>9605</v>
      </c>
      <c r="E3405" s="6" t="n">
        <f>SUM(C3405,D3405)/2</f>
        <v>7808</v>
      </c>
      <c r="F3405" s="12" t="n">
        <v>9439</v>
      </c>
      <c r="G3405" s="12" t="n">
        <v>12496</v>
      </c>
      <c r="H3405" s="6" t="n">
        <f>SUM(F3405,G3405)/2</f>
        <v>10967.5</v>
      </c>
    </row>
    <row r="3406" s="18" customFormat="1" ht="14.399999999999999" customHeight="1">
      <c r="A3406" s="10" t="s">
        <v>5312</v>
      </c>
      <c r="B3406" s="10" t="s">
        <v>5313</v>
      </c>
      <c r="C3406" s="13" t="n">
        <v>510613</v>
      </c>
      <c r="D3406" s="13" t="n">
        <v>815655</v>
      </c>
      <c r="E3406" s="6" t="n">
        <f>SUM(C3406,D3406)/2</f>
        <v>663134</v>
      </c>
      <c r="F3406" s="12" t="n">
        <v>49182</v>
      </c>
      <c r="G3406" s="12" t="n">
        <v>75796</v>
      </c>
      <c r="H3406" s="6" t="n">
        <f>SUM(F3406,G3406)/2</f>
        <v>62489</v>
      </c>
    </row>
    <row r="3407" s="18" customFormat="1" ht="14.399999999999999" customHeight="1">
      <c r="A3407" s="10" t="s">
        <v>1107</v>
      </c>
      <c r="B3407" s="10" t="s">
        <v>1108</v>
      </c>
      <c r="C3407" s="13" t="n">
        <v>448008</v>
      </c>
      <c r="D3407" s="13" t="n">
        <v>715650</v>
      </c>
      <c r="E3407" s="6" t="n">
        <f>SUM(C3407,D3407)/2</f>
        <v>581829</v>
      </c>
      <c r="F3407" s="12" t="n">
        <v>49366</v>
      </c>
      <c r="G3407" s="12" t="n">
        <v>76197</v>
      </c>
      <c r="H3407" s="6" t="n">
        <f>SUM(F3407,G3407)/2</f>
        <v>62781.5</v>
      </c>
    </row>
    <row r="3408" s="18" customFormat="1" ht="14.399999999999999" customHeight="1">
      <c r="A3408" s="10" t="s">
        <v>3259</v>
      </c>
      <c r="B3408" s="10" t="s">
        <v>3260</v>
      </c>
      <c r="C3408" s="13" t="n">
        <v>34088</v>
      </c>
      <c r="D3408" s="13" t="n">
        <v>54452</v>
      </c>
      <c r="E3408" s="6" t="n">
        <f>SUM(C3408,D3408)/2</f>
        <v>44270</v>
      </c>
      <c r="F3408" s="12" t="n">
        <v>38710</v>
      </c>
      <c r="G3408" s="12" t="n">
        <v>55858</v>
      </c>
      <c r="H3408" s="6" t="n">
        <f>SUM(F3408,G3408)/2</f>
        <v>47284</v>
      </c>
    </row>
    <row r="3409" s="18" customFormat="1" ht="14.399999999999999" customHeight="1">
      <c r="A3409" s="10" t="s">
        <v>4721</v>
      </c>
      <c r="B3409" s="10" t="s">
        <v>4722</v>
      </c>
      <c r="C3409" s="13" t="n">
        <v>24314</v>
      </c>
      <c r="D3409" s="13" t="n">
        <v>38840</v>
      </c>
      <c r="E3409" s="6" t="n">
        <f>SUM(C3409,D3409)/2</f>
        <v>31577</v>
      </c>
      <c r="F3409" s="12" t="n">
        <v>5015</v>
      </c>
      <c r="G3409" s="12" t="n">
        <v>7016</v>
      </c>
      <c r="H3409" s="6" t="n">
        <f>SUM(F3409,G3409)/2</f>
        <v>6015.5</v>
      </c>
    </row>
    <row r="3410" s="18" customFormat="1" ht="14.399999999999999" customHeight="1">
      <c r="A3410" s="10" t="s">
        <v>1048</v>
      </c>
      <c r="B3410" s="10" t="s">
        <v>1049</v>
      </c>
      <c r="C3410" s="13" t="n">
        <v>181096</v>
      </c>
      <c r="D3410" s="13" t="n">
        <v>289286</v>
      </c>
      <c r="E3410" s="6" t="n">
        <f>SUM(C3410,D3410)/2</f>
        <v>235191</v>
      </c>
      <c r="F3410" s="12" t="n">
        <v>172533</v>
      </c>
      <c r="G3410" s="12" t="n">
        <v>204118</v>
      </c>
      <c r="H3410" s="6" t="n">
        <f>SUM(F3410,G3410)/2</f>
        <v>188325.5</v>
      </c>
    </row>
    <row r="3411" s="18" customFormat="1" ht="14.399999999999999" customHeight="1">
      <c r="A3411" s="10" t="s">
        <v>3887</v>
      </c>
      <c r="B3411" s="10" t="s">
        <v>3888</v>
      </c>
      <c r="C3411" s="13" t="n">
        <v>32106</v>
      </c>
      <c r="D3411" s="13" t="n">
        <v>51286</v>
      </c>
      <c r="E3411" s="6" t="n">
        <f>SUM(C3411,D3411)/2</f>
        <v>41696</v>
      </c>
      <c r="F3411" s="12" t="n">
        <v>15652</v>
      </c>
      <c r="G3411" s="12" t="n">
        <v>21365</v>
      </c>
      <c r="H3411" s="6" t="n">
        <f>SUM(F3411,G3411)/2</f>
        <v>18508.5</v>
      </c>
    </row>
    <row r="3412" s="18" customFormat="1" ht="14.399999999999999" customHeight="1">
      <c r="A3412" s="10" t="s">
        <v>3409</v>
      </c>
      <c r="B3412" s="10" t="s">
        <v>3410</v>
      </c>
      <c r="C3412" s="13" t="n">
        <v>40521</v>
      </c>
      <c r="D3412" s="13" t="n">
        <v>64729</v>
      </c>
      <c r="E3412" s="6" t="n">
        <f>SUM(C3412,D3412)/2</f>
        <v>52625</v>
      </c>
      <c r="F3412" s="12" t="n">
        <v>29399</v>
      </c>
      <c r="G3412" s="12" t="n">
        <v>41061</v>
      </c>
      <c r="H3412" s="6" t="n">
        <f>SUM(F3412,G3412)/2</f>
        <v>35230</v>
      </c>
    </row>
    <row r="3413" s="18" customFormat="1" ht="14.399999999999999" customHeight="1">
      <c r="A3413" s="10" t="s">
        <v>4305</v>
      </c>
      <c r="B3413" s="10" t="s">
        <v>4306</v>
      </c>
      <c r="C3413" s="13" t="n">
        <v>33424</v>
      </c>
      <c r="D3413" s="13" t="n">
        <v>53394</v>
      </c>
      <c r="E3413" s="6" t="n">
        <f>SUM(C3413,D3413)/2</f>
        <v>43409</v>
      </c>
      <c r="F3413" s="12" t="n">
        <v>6586</v>
      </c>
      <c r="G3413" s="12" t="n">
        <v>11758</v>
      </c>
      <c r="H3413" s="6" t="n">
        <f>SUM(F3413,G3413)/2</f>
        <v>9172</v>
      </c>
    </row>
    <row r="3414" s="18" customFormat="1" ht="14.399999999999999" customHeight="1">
      <c r="A3414" s="10" t="s">
        <v>3881</v>
      </c>
      <c r="B3414" s="10" t="s">
        <v>3882</v>
      </c>
      <c r="C3414" s="13" t="n">
        <v>97107</v>
      </c>
      <c r="D3414" s="13" t="n">
        <v>155121</v>
      </c>
      <c r="E3414" s="6" t="n">
        <f>SUM(C3414,D3414)/2</f>
        <v>126114</v>
      </c>
      <c r="F3414" s="18" t="n">
        <v>588</v>
      </c>
      <c r="G3414" s="18" t="n">
        <v>781</v>
      </c>
      <c r="H3414" s="6" t="n">
        <f>SUM(F3414,G3414)/2</f>
        <v>684.5</v>
      </c>
    </row>
    <row r="3415" s="18" customFormat="1" ht="14.399999999999999" customHeight="1">
      <c r="A3415" s="10" t="s">
        <v>995</v>
      </c>
      <c r="B3415" s="10" t="s">
        <v>996</v>
      </c>
      <c r="C3415" s="13" t="n">
        <v>370355</v>
      </c>
      <c r="D3415" s="13" t="n">
        <v>591611</v>
      </c>
      <c r="E3415" s="6" t="n">
        <f>SUM(C3415,D3415)/2</f>
        <v>480983</v>
      </c>
      <c r="F3415" s="12" t="n">
        <v>125864</v>
      </c>
      <c r="G3415" s="12" t="n">
        <v>183598</v>
      </c>
      <c r="H3415" s="6" t="n">
        <f>SUM(F3415,G3415)/2</f>
        <v>154731</v>
      </c>
    </row>
    <row r="3416" s="18" customFormat="1" ht="14.399999999999999" customHeight="1">
      <c r="A3416" s="10" t="s">
        <v>8059</v>
      </c>
      <c r="B3416" s="10" t="s">
        <v>8060</v>
      </c>
      <c r="C3416" s="10" t="n">
        <v>66</v>
      </c>
      <c r="D3416" s="10" t="n">
        <v>106</v>
      </c>
      <c r="E3416" s="6" t="n">
        <f>SUM(C3416,D3416)/2</f>
        <v>86</v>
      </c>
      <c r="F3416" s="18" t="n">
        <v>86</v>
      </c>
      <c r="G3416" s="18" t="n">
        <v>139</v>
      </c>
      <c r="H3416" s="6" t="n">
        <f>SUM(F3416,G3416)/2</f>
        <v>112.5</v>
      </c>
    </row>
    <row r="3417" s="18" customFormat="1" ht="14.399999999999999" customHeight="1">
      <c r="A3417" s="10" t="s">
        <v>1075</v>
      </c>
      <c r="B3417" s="10" t="s">
        <v>1076</v>
      </c>
      <c r="C3417" s="10"/>
      <c r="D3417" s="10"/>
      <c r="E3417" s="6" t="n">
        <f>SUM(C3417,D3417)/2</f>
        <v>0</v>
      </c>
      <c r="F3417" s="12" t="n">
        <v>84194</v>
      </c>
      <c r="G3417" s="12" t="n">
        <v>121411</v>
      </c>
      <c r="H3417" s="6" t="n">
        <f>SUM(F3417,G3417)/2</f>
        <v>102802.5</v>
      </c>
    </row>
    <row r="3418" s="18" customFormat="1" ht="14.399999999999999" customHeight="1">
      <c r="A3418" s="10" t="s">
        <v>3021</v>
      </c>
      <c r="B3418" s="10" t="s">
        <v>3022</v>
      </c>
      <c r="C3418" s="10" t="n">
        <v>0</v>
      </c>
      <c r="D3418" s="10" t="n">
        <v>0</v>
      </c>
      <c r="E3418" s="6" t="n">
        <f>SUM(C3418,D3418)/2</f>
        <v>0</v>
      </c>
      <c r="F3418" s="18" t="n">
        <v>0</v>
      </c>
      <c r="G3418" s="18" t="n">
        <v>0</v>
      </c>
      <c r="H3418" s="6" t="n">
        <f>SUM(F3418,G3418)/2</f>
        <v>0</v>
      </c>
    </row>
    <row r="3419" s="18" customFormat="1" ht="14.399999999999999" customHeight="1">
      <c r="A3419" s="10" t="s">
        <v>2444</v>
      </c>
      <c r="B3419" s="10" t="s">
        <v>2445</v>
      </c>
      <c r="C3419" s="10" t="n">
        <v>7</v>
      </c>
      <c r="D3419" s="10" t="n">
        <v>11</v>
      </c>
      <c r="E3419" s="6" t="n">
        <f>SUM(C3419,D3419)/2</f>
        <v>9</v>
      </c>
      <c r="F3419" s="18" t="n">
        <v>2</v>
      </c>
      <c r="G3419" s="18" t="n">
        <v>2</v>
      </c>
      <c r="H3419" s="6" t="n">
        <f>SUM(F3419,G3419)/2</f>
        <v>2</v>
      </c>
    </row>
    <row r="3420" s="18" customFormat="1" ht="14.399999999999999" customHeight="1">
      <c r="A3420" s="10" t="s">
        <v>4771</v>
      </c>
      <c r="B3420" s="10" t="s">
        <v>4772</v>
      </c>
      <c r="C3420" s="13" t="n">
        <v>14706</v>
      </c>
      <c r="D3420" s="13" t="n">
        <v>23494</v>
      </c>
      <c r="E3420" s="6" t="n">
        <f>SUM(C3420,D3420)/2</f>
        <v>19100</v>
      </c>
      <c r="F3420" s="12" t="n">
        <v>6627</v>
      </c>
      <c r="G3420" s="12" t="n">
        <v>9413</v>
      </c>
      <c r="H3420" s="6" t="n">
        <f>SUM(F3420,G3420)/2</f>
        <v>8020</v>
      </c>
    </row>
    <row r="3421" s="18" customFormat="1" ht="14.399999999999999" customHeight="1">
      <c r="A3421" s="10" t="s">
        <v>50</v>
      </c>
      <c r="B3421" s="10" t="s">
        <v>51</v>
      </c>
      <c r="C3421" s="13" t="n">
        <v>2683399</v>
      </c>
      <c r="D3421" s="13" t="n">
        <v>4286467</v>
      </c>
      <c r="E3421" s="6" t="n">
        <f>SUM(C3421,D3421)/2</f>
        <v>3484933</v>
      </c>
      <c r="F3421" s="12" t="n">
        <v>872626</v>
      </c>
      <c r="G3421" s="12" t="n">
        <v>1383013</v>
      </c>
      <c r="H3421" s="6" t="n">
        <f>SUM(F3421,G3421)/2</f>
        <v>1127819.5</v>
      </c>
    </row>
    <row r="3422" s="18" customFormat="1" ht="14.399999999999999" customHeight="1">
      <c r="A3422" s="10" t="s">
        <v>3463</v>
      </c>
      <c r="B3422" s="10" t="s">
        <v>3464</v>
      </c>
      <c r="C3422" s="13" t="n">
        <v>69491</v>
      </c>
      <c r="D3422" s="13" t="n">
        <v>111005</v>
      </c>
      <c r="E3422" s="6" t="n">
        <f>SUM(C3422,D3422)/2</f>
        <v>90248</v>
      </c>
      <c r="F3422" s="12" t="n">
        <v>20888</v>
      </c>
      <c r="G3422" s="12" t="n">
        <v>29057</v>
      </c>
      <c r="H3422" s="6" t="n">
        <f>SUM(F3422,G3422)/2</f>
        <v>24972.5</v>
      </c>
    </row>
    <row r="3423" s="18" customFormat="1" ht="14.399999999999999" customHeight="1">
      <c r="A3423" s="10" t="s">
        <v>847</v>
      </c>
      <c r="B3423" s="10" t="s">
        <v>848</v>
      </c>
      <c r="C3423" s="13" t="n">
        <v>762757</v>
      </c>
      <c r="D3423" s="13" t="n">
        <v>1218431</v>
      </c>
      <c r="E3423" s="6" t="n">
        <f>SUM(C3423,D3423)/2</f>
        <v>990594</v>
      </c>
      <c r="F3423" s="12" t="n">
        <v>225489</v>
      </c>
      <c r="G3423" s="12" t="n">
        <v>315614</v>
      </c>
      <c r="H3423" s="6" t="n">
        <f>SUM(F3423,G3423)/2</f>
        <v>270551.5</v>
      </c>
    </row>
    <row r="3424" s="18" customFormat="1" ht="14.399999999999999" customHeight="1">
      <c r="A3424" s="10" t="s">
        <v>8061</v>
      </c>
      <c r="B3424" s="10" t="s">
        <v>8062</v>
      </c>
      <c r="C3424" s="13" t="n">
        <v>74497</v>
      </c>
      <c r="D3424" s="13" t="n">
        <v>119003</v>
      </c>
      <c r="E3424" s="6" t="n">
        <f>SUM(C3424,D3424)/2</f>
        <v>96750</v>
      </c>
      <c r="F3424" s="12" t="n">
        <v>13108</v>
      </c>
      <c r="G3424" s="12" t="n">
        <v>24627</v>
      </c>
      <c r="H3424" s="6" t="n">
        <f>SUM(F3424,G3424)/2</f>
        <v>18867.5</v>
      </c>
    </row>
    <row r="3425" s="18" customFormat="1" ht="14.399999999999999" customHeight="1">
      <c r="A3425" s="10" t="s">
        <v>3441</v>
      </c>
      <c r="B3425" s="10" t="s">
        <v>3442</v>
      </c>
      <c r="C3425" s="13" t="n">
        <v>57598</v>
      </c>
      <c r="D3425" s="13" t="n">
        <v>92008</v>
      </c>
      <c r="E3425" s="6" t="n">
        <f>SUM(C3425,D3425)/2</f>
        <v>74803</v>
      </c>
      <c r="F3425" s="12" t="n">
        <v>23823</v>
      </c>
      <c r="G3425" s="12" t="n">
        <v>33988</v>
      </c>
      <c r="H3425" s="6" t="n">
        <f>SUM(F3425,G3425)/2</f>
        <v>28905.5</v>
      </c>
    </row>
    <row r="3426" s="18" customFormat="1" ht="14.399999999999999" customHeight="1">
      <c r="A3426" s="10" t="s">
        <v>5097</v>
      </c>
      <c r="B3426" s="10" t="s">
        <v>5098</v>
      </c>
      <c r="C3426" s="13" t="n">
        <v>14012</v>
      </c>
      <c r="D3426" s="13" t="n">
        <v>22380</v>
      </c>
      <c r="E3426" s="6" t="n">
        <f>SUM(C3426,D3426)/2</f>
        <v>18196</v>
      </c>
      <c r="F3426" s="12" t="n">
        <v>3594</v>
      </c>
      <c r="G3426" s="12" t="n">
        <v>5253</v>
      </c>
      <c r="H3426" s="6" t="n">
        <f>SUM(F3426,G3426)/2</f>
        <v>4423.5</v>
      </c>
    </row>
    <row r="3427" s="18" customFormat="1" ht="14.399999999999999" customHeight="1">
      <c r="A3427" s="10" t="s">
        <v>2392</v>
      </c>
      <c r="B3427" s="10" t="s">
        <v>2393</v>
      </c>
      <c r="C3427" s="13" t="n">
        <v>126015</v>
      </c>
      <c r="D3427" s="13" t="n">
        <v>201301</v>
      </c>
      <c r="E3427" s="6" t="n">
        <f>SUM(C3427,D3427)/2</f>
        <v>163658</v>
      </c>
      <c r="F3427" s="12" t="n">
        <v>34703</v>
      </c>
      <c r="G3427" s="12" t="n">
        <v>49456</v>
      </c>
      <c r="H3427" s="6" t="n">
        <f>SUM(F3427,G3427)/2</f>
        <v>42079.5</v>
      </c>
    </row>
    <row r="3428" s="18" customFormat="1" ht="14.399999999999999" customHeight="1">
      <c r="A3428" s="10" t="s">
        <v>3417</v>
      </c>
      <c r="B3428" s="10" t="s">
        <v>3418</v>
      </c>
      <c r="C3428" s="13" t="n">
        <v>53050</v>
      </c>
      <c r="D3428" s="13" t="n">
        <v>84744</v>
      </c>
      <c r="E3428" s="6" t="n">
        <f>SUM(C3428,D3428)/2</f>
        <v>68897</v>
      </c>
      <c r="F3428" s="12" t="n">
        <v>29441</v>
      </c>
      <c r="G3428" s="12" t="n">
        <v>33387</v>
      </c>
      <c r="H3428" s="6" t="n">
        <f>SUM(F3428,G3428)/2</f>
        <v>31414</v>
      </c>
    </row>
    <row r="3429" s="18" customFormat="1" ht="14.399999999999999" customHeight="1">
      <c r="A3429" s="10" t="s">
        <v>2574</v>
      </c>
      <c r="B3429" s="10" t="s">
        <v>2575</v>
      </c>
      <c r="C3429" s="10" t="n">
        <v>1</v>
      </c>
      <c r="D3429" s="10" t="n">
        <v>1</v>
      </c>
      <c r="E3429" s="6" t="n">
        <f>SUM(C3429,D3429)/2</f>
        <v>1</v>
      </c>
      <c r="F3429" s="18" t="n">
        <v>2</v>
      </c>
      <c r="G3429" s="18" t="n">
        <v>2</v>
      </c>
      <c r="H3429" s="6" t="n">
        <f>SUM(F3429,G3429)/2</f>
        <v>2</v>
      </c>
    </row>
    <row r="3430" s="18" customFormat="1" ht="14.399999999999999" customHeight="1">
      <c r="A3430" s="10" t="s">
        <v>8063</v>
      </c>
      <c r="B3430" s="10" t="s">
        <v>8064</v>
      </c>
      <c r="C3430" s="10" t="n">
        <v>0</v>
      </c>
      <c r="D3430" s="10" t="n">
        <v>0</v>
      </c>
      <c r="E3430" s="6" t="n">
        <f>SUM(C3430,D3430)/2</f>
        <v>0</v>
      </c>
      <c r="F3430" s="18" t="n">
        <v>2</v>
      </c>
      <c r="G3430" s="18" t="n">
        <v>3</v>
      </c>
      <c r="H3430" s="6" t="n">
        <f>SUM(F3430,G3430)/2</f>
        <v>2.5</v>
      </c>
    </row>
    <row r="3431" s="18" customFormat="1" ht="14.399999999999999" customHeight="1">
      <c r="A3431" s="10" t="s">
        <v>4687</v>
      </c>
      <c r="B3431" s="10" t="s">
        <v>4688</v>
      </c>
      <c r="C3431" s="13" t="n">
        <v>19796</v>
      </c>
      <c r="D3431" s="13" t="n">
        <v>31622</v>
      </c>
      <c r="E3431" s="6" t="n">
        <f>SUM(C3431,D3431)/2</f>
        <v>25709</v>
      </c>
      <c r="F3431" s="12" t="n">
        <v>6710</v>
      </c>
      <c r="G3431" s="12" t="n">
        <v>8374</v>
      </c>
      <c r="H3431" s="6" t="n">
        <f>SUM(F3431,G3431)/2</f>
        <v>7542</v>
      </c>
    </row>
    <row r="3432" s="18" customFormat="1" ht="14.399999999999999" customHeight="1">
      <c r="A3432" s="10" t="s">
        <v>8065</v>
      </c>
      <c r="B3432" s="10" t="s">
        <v>8066</v>
      </c>
      <c r="C3432" s="13" t="n">
        <v>53177</v>
      </c>
      <c r="D3432" s="13" t="n">
        <v>84945</v>
      </c>
      <c r="E3432" s="6" t="n">
        <f>SUM(C3432,D3432)/2</f>
        <v>69061</v>
      </c>
      <c r="F3432" s="12" t="n">
        <v>7127</v>
      </c>
      <c r="G3432" s="12" t="n">
        <v>10411</v>
      </c>
      <c r="H3432" s="6" t="n">
        <f>SUM(F3432,G3432)/2</f>
        <v>8769</v>
      </c>
    </row>
    <row r="3433" s="18" customFormat="1" ht="14.399999999999999" customHeight="1">
      <c r="A3433" s="10" t="s">
        <v>84</v>
      </c>
      <c r="B3433" s="10" t="s">
        <v>85</v>
      </c>
      <c r="C3433" s="13" t="n">
        <v>219396</v>
      </c>
      <c r="D3433" s="13" t="n">
        <v>350466</v>
      </c>
      <c r="E3433" s="6" t="n">
        <f>SUM(C3433,D3433)/2</f>
        <v>284931</v>
      </c>
      <c r="F3433" s="12" t="n">
        <v>8682</v>
      </c>
      <c r="G3433" s="12" t="n">
        <v>12550</v>
      </c>
      <c r="H3433" s="6" t="n">
        <f>SUM(F3433,G3433)/2</f>
        <v>10616</v>
      </c>
    </row>
    <row r="3434" s="18" customFormat="1" ht="14.399999999999999" customHeight="1">
      <c r="A3434" s="10" t="s">
        <v>2749</v>
      </c>
      <c r="B3434" s="10" t="s">
        <v>2750</v>
      </c>
      <c r="C3434" s="10" t="n">
        <v>2</v>
      </c>
      <c r="D3434" s="10" t="n">
        <v>4</v>
      </c>
      <c r="E3434" s="6" t="n">
        <f>SUM(C3434,D3434)/2</f>
        <v>3</v>
      </c>
      <c r="F3434" s="18" t="n">
        <v>0</v>
      </c>
      <c r="G3434" s="18" t="n">
        <v>0</v>
      </c>
      <c r="H3434" s="6" t="n">
        <f>SUM(F3434,G3434)/2</f>
        <v>0</v>
      </c>
    </row>
    <row r="3435" s="18" customFormat="1" ht="14.399999999999999" customHeight="1">
      <c r="A3435" s="10" t="s">
        <v>98</v>
      </c>
      <c r="B3435" s="10" t="s">
        <v>99</v>
      </c>
      <c r="C3435" s="13" t="n">
        <v>44424</v>
      </c>
      <c r="D3435" s="13" t="n">
        <v>70964</v>
      </c>
      <c r="E3435" s="6" t="n">
        <f>SUM(C3435,D3435)/2</f>
        <v>57694</v>
      </c>
      <c r="F3435" s="12" t="n">
        <v>12446</v>
      </c>
      <c r="G3435" s="12" t="n">
        <v>14325</v>
      </c>
      <c r="H3435" s="6" t="n">
        <f>SUM(F3435,G3435)/2</f>
        <v>13385.5</v>
      </c>
    </row>
    <row r="3436" s="18" customFormat="1" ht="14.399999999999999" customHeight="1">
      <c r="A3436" s="10" t="s">
        <v>3833</v>
      </c>
      <c r="B3436" s="10" t="s">
        <v>3834</v>
      </c>
      <c r="C3436" s="13" t="n">
        <v>25316</v>
      </c>
      <c r="D3436" s="13" t="n">
        <v>40442</v>
      </c>
      <c r="E3436" s="6" t="n">
        <f>SUM(C3436,D3436)/2</f>
        <v>32879</v>
      </c>
      <c r="F3436" s="12" t="n">
        <v>18285</v>
      </c>
      <c r="G3436" s="12" t="n">
        <v>25562</v>
      </c>
      <c r="H3436" s="6" t="n">
        <f>SUM(F3436,G3436)/2</f>
        <v>21923.5</v>
      </c>
    </row>
    <row r="3437" s="18" customFormat="1" ht="14.399999999999999" customHeight="1">
      <c r="A3437" s="10" t="s">
        <v>8067</v>
      </c>
      <c r="B3437" s="10" t="s">
        <v>8068</v>
      </c>
      <c r="C3437" s="13" t="n">
        <v>33080</v>
      </c>
      <c r="D3437" s="13" t="n">
        <v>52844</v>
      </c>
      <c r="E3437" s="6" t="n">
        <f>SUM(C3437,D3437)/2</f>
        <v>42962</v>
      </c>
      <c r="F3437" s="12" t="n">
        <v>5154</v>
      </c>
      <c r="G3437" s="12" t="n">
        <v>7341</v>
      </c>
      <c r="H3437" s="6" t="n">
        <f>SUM(F3437,G3437)/2</f>
        <v>6247.5</v>
      </c>
    </row>
    <row r="3438" s="18" customFormat="1" ht="14.399999999999999" customHeight="1">
      <c r="A3438" s="10" t="s">
        <v>3431</v>
      </c>
      <c r="B3438" s="10" t="s">
        <v>3432</v>
      </c>
      <c r="C3438" s="13" t="n">
        <v>48339</v>
      </c>
      <c r="D3438" s="13" t="n">
        <v>77217</v>
      </c>
      <c r="E3438" s="6" t="n">
        <f>SUM(C3438,D3438)/2</f>
        <v>62778</v>
      </c>
      <c r="F3438" s="12" t="n">
        <v>26460</v>
      </c>
      <c r="G3438" s="12" t="n">
        <v>37697</v>
      </c>
      <c r="H3438" s="6" t="n">
        <f>SUM(F3438,G3438)/2</f>
        <v>32078.5</v>
      </c>
    </row>
    <row r="3439" s="18" customFormat="1" ht="14.399999999999999" customHeight="1">
      <c r="A3439" s="10" t="s">
        <v>5041</v>
      </c>
      <c r="B3439" s="10" t="s">
        <v>5042</v>
      </c>
      <c r="C3439" s="13" t="n">
        <v>7931</v>
      </c>
      <c r="D3439" s="13" t="n">
        <v>12669</v>
      </c>
      <c r="E3439" s="6" t="n">
        <f>SUM(C3439,D3439)/2</f>
        <v>10300</v>
      </c>
      <c r="F3439" s="12" t="n">
        <v>6100</v>
      </c>
      <c r="G3439" s="12" t="n">
        <v>7986</v>
      </c>
      <c r="H3439" s="6" t="n">
        <f>SUM(F3439,G3439)/2</f>
        <v>7043</v>
      </c>
    </row>
    <row r="3440" s="18" customFormat="1" ht="14.399999999999999" customHeight="1">
      <c r="A3440" s="10" t="s">
        <v>4979</v>
      </c>
      <c r="B3440" s="10" t="s">
        <v>4980</v>
      </c>
      <c r="C3440" s="13" t="n">
        <v>27401</v>
      </c>
      <c r="D3440" s="13" t="n">
        <v>43773</v>
      </c>
      <c r="E3440" s="6" t="n">
        <f>SUM(C3440,D3440)/2</f>
        <v>35587</v>
      </c>
      <c r="F3440" s="12" t="n">
        <v>1838</v>
      </c>
      <c r="G3440" s="12" t="n">
        <v>2774</v>
      </c>
      <c r="H3440" s="6" t="n">
        <f>SUM(F3440,G3440)/2</f>
        <v>2306</v>
      </c>
    </row>
    <row r="3441" s="18" customFormat="1" ht="14.399999999999999" customHeight="1">
      <c r="A3441" s="10" t="s">
        <v>4671</v>
      </c>
      <c r="B3441" s="10" t="s">
        <v>4672</v>
      </c>
      <c r="C3441" s="13" t="n">
        <v>13056</v>
      </c>
      <c r="D3441" s="13" t="n">
        <v>20858</v>
      </c>
      <c r="E3441" s="6" t="n">
        <f>SUM(C3441,D3441)/2</f>
        <v>16957</v>
      </c>
      <c r="F3441" s="12" t="n">
        <v>8418</v>
      </c>
      <c r="G3441" s="12" t="n">
        <v>10716</v>
      </c>
      <c r="H3441" s="6" t="n">
        <f>SUM(F3441,G3441)/2</f>
        <v>9567</v>
      </c>
    </row>
    <row r="3442" s="18" customFormat="1" ht="14.399999999999999" customHeight="1">
      <c r="A3442" s="10" t="s">
        <v>2480</v>
      </c>
      <c r="B3442" s="10" t="s">
        <v>2481</v>
      </c>
      <c r="C3442" s="10" t="n">
        <v>13</v>
      </c>
      <c r="D3442" s="10" t="n">
        <v>19</v>
      </c>
      <c r="E3442" s="6" t="n">
        <f>SUM(C3442,D3442)/2</f>
        <v>16</v>
      </c>
      <c r="F3442" s="18" t="n">
        <v>0</v>
      </c>
      <c r="G3442" s="18" t="n">
        <v>0</v>
      </c>
      <c r="H3442" s="6" t="n">
        <f>SUM(F3442,G3442)/2</f>
        <v>0</v>
      </c>
    </row>
    <row r="3443" s="18" customFormat="1" ht="14.399999999999999" customHeight="1">
      <c r="A3443" s="10" t="s">
        <v>2292</v>
      </c>
      <c r="B3443" s="10" t="s">
        <v>2293</v>
      </c>
      <c r="C3443" s="10" t="n">
        <v>13</v>
      </c>
      <c r="D3443" s="10" t="n">
        <v>19</v>
      </c>
      <c r="E3443" s="6" t="n">
        <f>SUM(C3443,D3443)/2</f>
        <v>16</v>
      </c>
      <c r="F3443" s="18" t="n">
        <v>2</v>
      </c>
      <c r="G3443" s="18" t="n">
        <v>3</v>
      </c>
      <c r="H3443" s="6" t="n">
        <f>SUM(F3443,G3443)/2</f>
        <v>2.5</v>
      </c>
    </row>
    <row r="3444" s="18" customFormat="1" ht="14.399999999999999" customHeight="1">
      <c r="A3444" s="10" t="s">
        <v>2322</v>
      </c>
      <c r="B3444" s="10" t="s">
        <v>2323</v>
      </c>
      <c r="C3444" s="10" t="n">
        <v>13</v>
      </c>
      <c r="D3444" s="10" t="n">
        <v>19</v>
      </c>
      <c r="E3444" s="6" t="n">
        <f>SUM(C3444,D3444)/2</f>
        <v>16</v>
      </c>
      <c r="F3444" s="18" t="n">
        <v>2</v>
      </c>
      <c r="G3444" s="18" t="n">
        <v>2</v>
      </c>
      <c r="H3444" s="6" t="n">
        <f>SUM(F3444,G3444)/2</f>
        <v>2</v>
      </c>
    </row>
    <row r="3445" s="18" customFormat="1" ht="14.399999999999999" customHeight="1">
      <c r="A3445" s="10" t="s">
        <v>4525</v>
      </c>
      <c r="B3445" s="10" t="s">
        <v>4526</v>
      </c>
      <c r="C3445" s="13" t="n">
        <v>16190</v>
      </c>
      <c r="D3445" s="13" t="n">
        <v>25860</v>
      </c>
      <c r="E3445" s="6" t="n">
        <f>SUM(C3445,D3445)/2</f>
        <v>21025</v>
      </c>
      <c r="F3445" s="12" t="n">
        <v>8221</v>
      </c>
      <c r="G3445" s="12" t="n">
        <v>12952</v>
      </c>
      <c r="H3445" s="6" t="n">
        <f>SUM(F3445,G3445)/2</f>
        <v>10586.5</v>
      </c>
    </row>
    <row r="3446" s="18" customFormat="1" ht="14.399999999999999" customHeight="1">
      <c r="A3446" s="10" t="s">
        <v>3765</v>
      </c>
      <c r="B3446" s="10" t="s">
        <v>3766</v>
      </c>
      <c r="C3446" s="13" t="n">
        <v>76581</v>
      </c>
      <c r="D3446" s="13" t="n">
        <v>122329</v>
      </c>
      <c r="E3446" s="6" t="n">
        <f>SUM(C3446,D3446)/2</f>
        <v>99455</v>
      </c>
      <c r="F3446" s="12" t="n">
        <v>8380</v>
      </c>
      <c r="G3446" s="12" t="n">
        <v>11972</v>
      </c>
      <c r="H3446" s="6" t="n">
        <f>SUM(F3446,G3446)/2</f>
        <v>10176</v>
      </c>
    </row>
    <row r="3447" s="18" customFormat="1" ht="14.399999999999999" customHeight="1">
      <c r="A3447" s="10" t="s">
        <v>4037</v>
      </c>
      <c r="B3447" s="10" t="s">
        <v>4038</v>
      </c>
      <c r="C3447" s="13" t="n">
        <v>35515</v>
      </c>
      <c r="D3447" s="13" t="n">
        <v>56730</v>
      </c>
      <c r="E3447" s="6" t="n">
        <f>SUM(C3447,D3447)/2</f>
        <v>46122.5</v>
      </c>
      <c r="F3447" s="12" t="n">
        <v>11971</v>
      </c>
      <c r="G3447" s="12" t="n">
        <v>16787</v>
      </c>
      <c r="H3447" s="6" t="n">
        <f>SUM(F3447,G3447)/2</f>
        <v>14379</v>
      </c>
    </row>
    <row r="3448" s="18" customFormat="1" ht="14.399999999999999" customHeight="1">
      <c r="A3448" s="10" t="s">
        <v>8069</v>
      </c>
      <c r="B3448" s="10" t="s">
        <v>8070</v>
      </c>
      <c r="C3448" s="10" t="n">
        <v>85</v>
      </c>
      <c r="D3448" s="10" t="n">
        <v>135</v>
      </c>
      <c r="E3448" s="6" t="n">
        <f>SUM(C3448,D3448)/2</f>
        <v>110</v>
      </c>
      <c r="F3448" s="18" t="n">
        <v>18</v>
      </c>
      <c r="G3448" s="18" t="n">
        <v>25</v>
      </c>
      <c r="H3448" s="6" t="n">
        <f>SUM(F3448,G3448)/2</f>
        <v>21.5</v>
      </c>
    </row>
    <row r="3449" s="18" customFormat="1" ht="14.399999999999999" customHeight="1">
      <c r="A3449" s="10" t="s">
        <v>1994</v>
      </c>
      <c r="B3449" s="10" t="s">
        <v>1995</v>
      </c>
      <c r="C3449" s="10" t="n">
        <v>0</v>
      </c>
      <c r="D3449" s="10" t="n">
        <v>0</v>
      </c>
      <c r="E3449" s="6" t="n">
        <f>SUM(C3449,D3449)/2</f>
        <v>0</v>
      </c>
      <c r="F3449" s="18" t="n">
        <v>11</v>
      </c>
      <c r="G3449" s="18" t="n">
        <v>15</v>
      </c>
      <c r="H3449" s="6" t="n">
        <f>SUM(F3449,G3449)/2</f>
        <v>13</v>
      </c>
    </row>
    <row r="3450" s="18" customFormat="1" ht="14.399999999999999" customHeight="1">
      <c r="A3450" s="10" t="s">
        <v>3867</v>
      </c>
      <c r="B3450" s="10" t="s">
        <v>3868</v>
      </c>
      <c r="C3450" s="13" t="n">
        <v>61481</v>
      </c>
      <c r="D3450" s="13" t="n">
        <v>98211</v>
      </c>
      <c r="E3450" s="6" t="n">
        <f>SUM(C3450,D3450)/2</f>
        <v>79846</v>
      </c>
      <c r="F3450" s="12" t="n">
        <v>8936</v>
      </c>
      <c r="G3450" s="12" t="n">
        <v>12994</v>
      </c>
      <c r="H3450" s="6" t="n">
        <f>SUM(F3450,G3450)/2</f>
        <v>10965</v>
      </c>
    </row>
    <row r="3451" s="18" customFormat="1" ht="14.399999999999999" customHeight="1">
      <c r="A3451" s="10" t="s">
        <v>3129</v>
      </c>
      <c r="B3451" s="10" t="s">
        <v>3130</v>
      </c>
      <c r="C3451" s="13" t="n">
        <v>234962</v>
      </c>
      <c r="D3451" s="13" t="n">
        <v>375330</v>
      </c>
      <c r="E3451" s="6" t="n">
        <f>SUM(C3451,D3451)/2</f>
        <v>305146</v>
      </c>
      <c r="F3451" s="12" t="n">
        <v>25076</v>
      </c>
      <c r="G3451" s="12" t="n">
        <v>36247</v>
      </c>
      <c r="H3451" s="6" t="n">
        <f>SUM(F3451,G3451)/2</f>
        <v>30661.5</v>
      </c>
    </row>
    <row r="3452" s="18" customFormat="1" ht="14.399999999999999" customHeight="1">
      <c r="A3452" s="10" t="s">
        <v>388</v>
      </c>
      <c r="B3452" s="10" t="s">
        <v>2726</v>
      </c>
      <c r="C3452" s="10" t="n">
        <v>3</v>
      </c>
      <c r="D3452" s="10" t="n">
        <v>5</v>
      </c>
      <c r="E3452" s="6" t="n">
        <f>SUM(C3452,D3452)/2</f>
        <v>4</v>
      </c>
      <c r="F3452" s="18" t="n">
        <v>0</v>
      </c>
      <c r="G3452" s="18" t="n">
        <v>0</v>
      </c>
      <c r="H3452" s="6" t="n">
        <f>SUM(F3452,G3452)/2</f>
        <v>0</v>
      </c>
    </row>
    <row r="3453" s="18" customFormat="1" ht="14.399999999999999" customHeight="1">
      <c r="A3453" s="10" t="s">
        <v>2672</v>
      </c>
      <c r="B3453" s="10" t="s">
        <v>2673</v>
      </c>
      <c r="C3453" s="10" t="n">
        <v>4</v>
      </c>
      <c r="D3453" s="10" t="n">
        <v>6</v>
      </c>
      <c r="E3453" s="6" t="n">
        <f>SUM(C3453,D3453)/2</f>
        <v>5</v>
      </c>
      <c r="F3453" s="18" t="n">
        <v>0</v>
      </c>
      <c r="G3453" s="18" t="n">
        <v>0</v>
      </c>
      <c r="H3453" s="6" t="n">
        <f>SUM(F3453,G3453)/2</f>
        <v>0</v>
      </c>
    </row>
    <row r="3454" s="18" customFormat="1" ht="14.399999999999999" customHeight="1">
      <c r="A3454" s="10" t="s">
        <v>8071</v>
      </c>
      <c r="B3454" s="10" t="s">
        <v>8072</v>
      </c>
      <c r="C3454" s="13" t="n">
        <v>17408</v>
      </c>
      <c r="D3454" s="13" t="n">
        <v>27808</v>
      </c>
      <c r="E3454" s="6" t="n">
        <f>SUM(C3454,D3454)/2</f>
        <v>22608</v>
      </c>
      <c r="F3454" s="12" t="n">
        <v>5060</v>
      </c>
      <c r="G3454" s="12" t="n">
        <v>7001</v>
      </c>
      <c r="H3454" s="6" t="n">
        <f>SUM(F3454,G3454)/2</f>
        <v>6030.5</v>
      </c>
    </row>
    <row r="3455" s="18" customFormat="1" ht="14.399999999999999" customHeight="1">
      <c r="A3455" s="10" t="s">
        <v>5239</v>
      </c>
      <c r="B3455" s="10" t="s">
        <v>5240</v>
      </c>
      <c r="C3455" s="13" t="n">
        <v>2498</v>
      </c>
      <c r="D3455" s="13" t="n">
        <v>3990</v>
      </c>
      <c r="E3455" s="6" t="n">
        <f>SUM(C3455,D3455)/2</f>
        <v>3244</v>
      </c>
      <c r="F3455" s="12" t="n">
        <v>1611</v>
      </c>
      <c r="G3455" s="12" t="n">
        <v>2236</v>
      </c>
      <c r="H3455" s="6" t="n">
        <f>SUM(F3455,G3455)/2</f>
        <v>1923.5</v>
      </c>
    </row>
    <row r="3456" s="18" customFormat="1" ht="14.399999999999999" customHeight="1">
      <c r="A3456" s="10" t="s">
        <v>3777</v>
      </c>
      <c r="B3456" s="10" t="s">
        <v>3778</v>
      </c>
      <c r="C3456" s="13" t="n">
        <v>22965</v>
      </c>
      <c r="D3456" s="13" t="n">
        <v>36689</v>
      </c>
      <c r="E3456" s="6" t="n">
        <f>SUM(C3456,D3456)/2</f>
        <v>29827</v>
      </c>
      <c r="F3456" s="12" t="n">
        <v>20475</v>
      </c>
      <c r="G3456" s="12" t="n">
        <v>28994</v>
      </c>
      <c r="H3456" s="6" t="n">
        <f>SUM(F3456,G3456)/2</f>
        <v>24734.5</v>
      </c>
    </row>
    <row r="3457" s="18" customFormat="1" ht="14.399999999999999" customHeight="1">
      <c r="A3457" s="10" t="s">
        <v>3023</v>
      </c>
      <c r="B3457" s="10" t="s">
        <v>3024</v>
      </c>
      <c r="C3457" s="10" t="n">
        <v>0</v>
      </c>
      <c r="D3457" s="10" t="n">
        <v>0</v>
      </c>
      <c r="E3457" s="6" t="n">
        <f>SUM(C3457,D3457)/2</f>
        <v>0</v>
      </c>
      <c r="F3457" s="18" t="n">
        <v>0</v>
      </c>
      <c r="G3457" s="18" t="n">
        <v>0</v>
      </c>
      <c r="H3457" s="6" t="n">
        <f>SUM(F3457,G3457)/2</f>
        <v>0</v>
      </c>
    </row>
    <row r="3458" s="18" customFormat="1" ht="14.399999999999999" customHeight="1">
      <c r="A3458" s="10" t="s">
        <v>3691</v>
      </c>
      <c r="B3458" s="10" t="s">
        <v>3692</v>
      </c>
      <c r="C3458" s="13" t="n">
        <v>56639</v>
      </c>
      <c r="D3458" s="13" t="n">
        <v>90475</v>
      </c>
      <c r="E3458" s="6" t="n">
        <f>SUM(C3458,D3458)/2</f>
        <v>73557</v>
      </c>
      <c r="F3458" s="12" t="n">
        <v>15130</v>
      </c>
      <c r="G3458" s="12" t="n">
        <v>23005</v>
      </c>
      <c r="H3458" s="6" t="n">
        <f>SUM(F3458,G3458)/2</f>
        <v>19067.5</v>
      </c>
    </row>
    <row r="3459" s="18" customFormat="1" ht="14.399999999999999" customHeight="1">
      <c r="A3459" s="10" t="s">
        <v>4977</v>
      </c>
      <c r="B3459" s="10" t="s">
        <v>4978</v>
      </c>
      <c r="C3459" s="13" t="n">
        <v>8339</v>
      </c>
      <c r="D3459" s="13" t="n">
        <v>13323</v>
      </c>
      <c r="E3459" s="6" t="n">
        <f>SUM(C3459,D3459)/2</f>
        <v>10831</v>
      </c>
      <c r="F3459" s="12" t="n">
        <v>7059</v>
      </c>
      <c r="G3459" s="12" t="n">
        <v>8098</v>
      </c>
      <c r="H3459" s="6" t="n">
        <f>SUM(F3459,G3459)/2</f>
        <v>7578.5</v>
      </c>
    </row>
    <row r="3460" s="18" customFormat="1" ht="14.399999999999999" customHeight="1">
      <c r="A3460" s="10" t="s">
        <v>4391</v>
      </c>
      <c r="B3460" s="10" t="s">
        <v>4392</v>
      </c>
      <c r="C3460" s="13" t="n">
        <v>15730</v>
      </c>
      <c r="D3460" s="13" t="n">
        <v>25128</v>
      </c>
      <c r="E3460" s="6" t="n">
        <f>SUM(C3460,D3460)/2</f>
        <v>20429</v>
      </c>
      <c r="F3460" s="12" t="n">
        <v>10583</v>
      </c>
      <c r="G3460" s="12" t="n">
        <v>14490</v>
      </c>
      <c r="H3460" s="6" t="n">
        <f>SUM(F3460,G3460)/2</f>
        <v>12536.5</v>
      </c>
    </row>
    <row r="3461" s="18" customFormat="1" ht="14.399999999999999" customHeight="1">
      <c r="A3461" s="10" t="s">
        <v>827</v>
      </c>
      <c r="B3461" s="10" t="s">
        <v>828</v>
      </c>
      <c r="C3461" s="13" t="n">
        <v>1183357</v>
      </c>
      <c r="D3461" s="13" t="n">
        <v>1890299</v>
      </c>
      <c r="E3461" s="6" t="n">
        <f>SUM(C3461,D3461)/2</f>
        <v>1536828</v>
      </c>
      <c r="F3461" s="12" t="n">
        <v>157035</v>
      </c>
      <c r="G3461" s="12" t="n">
        <v>252951</v>
      </c>
      <c r="H3461" s="6" t="n">
        <f>SUM(F3461,G3461)/2</f>
        <v>204993</v>
      </c>
    </row>
    <row r="3462" s="18" customFormat="1" ht="14.399999999999999" customHeight="1">
      <c r="A3462" s="10" t="s">
        <v>8073</v>
      </c>
      <c r="B3462" s="10" t="s">
        <v>8074</v>
      </c>
      <c r="C3462" s="10"/>
      <c r="D3462" s="10"/>
      <c r="E3462" s="6" t="n">
        <f>SUM(C3462,D3462)/2</f>
        <v>0</v>
      </c>
      <c r="F3462" s="12" t="n">
        <v>43756</v>
      </c>
      <c r="G3462" s="12" t="n">
        <v>59109</v>
      </c>
      <c r="H3462" s="6" t="n">
        <f>SUM(F3462,G3462)/2</f>
        <v>51432.5</v>
      </c>
    </row>
    <row r="3463" s="18" customFormat="1" ht="14.399999999999999" customHeight="1">
      <c r="A3463" s="10" t="s">
        <v>4049</v>
      </c>
      <c r="B3463" s="10" t="s">
        <v>4050</v>
      </c>
      <c r="C3463" s="13" t="n">
        <v>17625</v>
      </c>
      <c r="D3463" s="13" t="n">
        <v>28153</v>
      </c>
      <c r="E3463" s="6" t="n">
        <f>SUM(C3463,D3463)/2</f>
        <v>22889</v>
      </c>
      <c r="F3463" s="12" t="n">
        <v>15126</v>
      </c>
      <c r="G3463" s="12" t="n">
        <v>22331</v>
      </c>
      <c r="H3463" s="6" t="n">
        <f>SUM(F3463,G3463)/2</f>
        <v>18728.5</v>
      </c>
    </row>
    <row r="3464" s="18" customFormat="1" ht="14.399999999999999" customHeight="1">
      <c r="A3464" s="10" t="s">
        <v>4293</v>
      </c>
      <c r="B3464" s="10" t="s">
        <v>4294</v>
      </c>
      <c r="C3464" s="13" t="n">
        <v>20571</v>
      </c>
      <c r="D3464" s="13" t="n">
        <v>32860</v>
      </c>
      <c r="E3464" s="6" t="n">
        <f>SUM(C3464,D3464)/2</f>
        <v>26715.5</v>
      </c>
      <c r="F3464" s="12" t="n">
        <v>11349</v>
      </c>
      <c r="G3464" s="12" t="n">
        <v>14449</v>
      </c>
      <c r="H3464" s="6" t="n">
        <f>SUM(F3464,G3464)/2</f>
        <v>12899</v>
      </c>
    </row>
    <row r="3465" s="18" customFormat="1" ht="14.399999999999999" customHeight="1">
      <c r="A3465" s="10" t="s">
        <v>885</v>
      </c>
      <c r="B3465" s="10" t="s">
        <v>886</v>
      </c>
      <c r="C3465" s="13" t="n">
        <v>981812</v>
      </c>
      <c r="D3465" s="13" t="n">
        <v>1568348</v>
      </c>
      <c r="E3465" s="6" t="n">
        <f>SUM(C3465,D3465)/2</f>
        <v>1275080</v>
      </c>
      <c r="F3465" s="12" t="n">
        <v>101779</v>
      </c>
      <c r="G3465" s="12" t="n">
        <v>161213</v>
      </c>
      <c r="H3465" s="6" t="n">
        <f>SUM(F3465,G3465)/2</f>
        <v>131496</v>
      </c>
    </row>
    <row r="3466" s="18" customFormat="1" ht="14.399999999999999" customHeight="1">
      <c r="A3466" s="10" t="s">
        <v>1304</v>
      </c>
      <c r="B3466" s="10" t="s">
        <v>1305</v>
      </c>
      <c r="C3466" s="13" t="n">
        <v>110001</v>
      </c>
      <c r="D3466" s="13" t="n">
        <v>175714</v>
      </c>
      <c r="E3466" s="6" t="n">
        <f>SUM(C3466,D3466)/2</f>
        <v>142857.5</v>
      </c>
      <c r="F3466" s="12" t="n">
        <v>36761</v>
      </c>
      <c r="G3466" s="12" t="n">
        <v>48820</v>
      </c>
      <c r="H3466" s="6" t="n">
        <f>SUM(F3466,G3466)/2</f>
        <v>42790.5</v>
      </c>
    </row>
    <row r="3467" s="18" customFormat="1" ht="14.399999999999999" customHeight="1">
      <c r="A3467" s="10" t="s">
        <v>4625</v>
      </c>
      <c r="B3467" s="10" t="s">
        <v>4626</v>
      </c>
      <c r="C3467" s="13" t="n">
        <v>26228</v>
      </c>
      <c r="D3467" s="13" t="n">
        <v>41896</v>
      </c>
      <c r="E3467" s="6" t="n">
        <f>SUM(C3467,D3467)/2</f>
        <v>34062</v>
      </c>
      <c r="F3467" s="12" t="n">
        <v>5645</v>
      </c>
      <c r="G3467" s="12" t="n">
        <v>7554</v>
      </c>
      <c r="H3467" s="6" t="n">
        <f>SUM(F3467,G3467)/2</f>
        <v>6599.5</v>
      </c>
    </row>
    <row r="3468" s="18" customFormat="1" ht="14.399999999999999" customHeight="1">
      <c r="A3468" s="10" t="s">
        <v>8075</v>
      </c>
      <c r="B3468" s="10" t="s">
        <v>8076</v>
      </c>
      <c r="C3468" s="10" t="n">
        <v>294</v>
      </c>
      <c r="D3468" s="10" t="n">
        <v>472</v>
      </c>
      <c r="E3468" s="6" t="n">
        <f>SUM(C3468,D3468)/2</f>
        <v>383</v>
      </c>
      <c r="F3468" s="18" t="n">
        <v>34</v>
      </c>
      <c r="G3468" s="18" t="n">
        <v>43</v>
      </c>
      <c r="H3468" s="6" t="n">
        <f>SUM(F3468,G3468)/2</f>
        <v>38.5</v>
      </c>
    </row>
    <row r="3469" s="18" customFormat="1" ht="14.399999999999999" customHeight="1">
      <c r="A3469" s="10" t="s">
        <v>959</v>
      </c>
      <c r="B3469" s="10" t="s">
        <v>960</v>
      </c>
      <c r="C3469" s="13" t="n">
        <v>498082</v>
      </c>
      <c r="D3469" s="13" t="n">
        <v>795638</v>
      </c>
      <c r="E3469" s="6" t="n">
        <f>SUM(C3469,D3469)/2</f>
        <v>646860</v>
      </c>
      <c r="F3469" s="12" t="n">
        <v>125703</v>
      </c>
      <c r="G3469" s="12" t="n">
        <v>183862</v>
      </c>
      <c r="H3469" s="6" t="n">
        <f>SUM(F3469,G3469)/2</f>
        <v>154782.5</v>
      </c>
    </row>
    <row r="3470" s="18" customFormat="1" ht="14.399999999999999" customHeight="1">
      <c r="A3470" s="10" t="s">
        <v>3751</v>
      </c>
      <c r="B3470" s="10" t="s">
        <v>3752</v>
      </c>
      <c r="C3470" s="13" t="n">
        <v>46064</v>
      </c>
      <c r="D3470" s="13" t="n">
        <v>73584</v>
      </c>
      <c r="E3470" s="6" t="n">
        <f>SUM(C3470,D3470)/2</f>
        <v>59824</v>
      </c>
      <c r="F3470" s="12" t="n">
        <v>17532</v>
      </c>
      <c r="G3470" s="12" t="n">
        <v>21341</v>
      </c>
      <c r="H3470" s="6" t="n">
        <f>SUM(F3470,G3470)/2</f>
        <v>19436.5</v>
      </c>
    </row>
    <row r="3471" s="18" customFormat="1" ht="14.399999999999999" customHeight="1">
      <c r="A3471" s="10" t="s">
        <v>8077</v>
      </c>
      <c r="B3471" s="10" t="s">
        <v>8078</v>
      </c>
      <c r="C3471" s="10" t="n">
        <v>0</v>
      </c>
      <c r="D3471" s="10" t="n">
        <v>0</v>
      </c>
      <c r="E3471" s="6" t="n">
        <f>SUM(C3471,D3471)/2</f>
        <v>0</v>
      </c>
      <c r="F3471" s="18" t="n">
        <v>0</v>
      </c>
      <c r="G3471" s="18" t="n">
        <v>0</v>
      </c>
      <c r="H3471" s="6" t="n">
        <f>SUM(F3471,G3471)/2</f>
        <v>0</v>
      </c>
    </row>
    <row r="3472" s="18" customFormat="1" ht="14.399999999999999" customHeight="1">
      <c r="A3472" s="10" t="s">
        <v>3791</v>
      </c>
      <c r="B3472" s="10" t="s">
        <v>3792</v>
      </c>
      <c r="C3472" s="13" t="n">
        <v>32540</v>
      </c>
      <c r="D3472" s="13" t="n">
        <v>51980</v>
      </c>
      <c r="E3472" s="6" t="n">
        <f>SUM(C3472,D3472)/2</f>
        <v>42260</v>
      </c>
      <c r="F3472" s="12" t="n">
        <v>16595</v>
      </c>
      <c r="G3472" s="12" t="n">
        <v>25893</v>
      </c>
      <c r="H3472" s="6" t="n">
        <f>SUM(F3472,G3472)/2</f>
        <v>21244</v>
      </c>
    </row>
    <row r="3473" s="18" customFormat="1" ht="14.399999999999999" customHeight="1">
      <c r="A3473" s="10" t="s">
        <v>979</v>
      </c>
      <c r="B3473" s="10" t="s">
        <v>980</v>
      </c>
      <c r="C3473" s="13" t="n">
        <v>357014</v>
      </c>
      <c r="D3473" s="13" t="n">
        <v>570296</v>
      </c>
      <c r="E3473" s="6" t="n">
        <f>SUM(C3473,D3473)/2</f>
        <v>463655</v>
      </c>
      <c r="F3473" s="12" t="n">
        <v>147598</v>
      </c>
      <c r="G3473" s="12" t="n">
        <v>204556</v>
      </c>
      <c r="H3473" s="6" t="n">
        <f>SUM(F3473,G3473)/2</f>
        <v>176077</v>
      </c>
    </row>
    <row r="3474" s="18" customFormat="1" ht="14.399999999999999" customHeight="1">
      <c r="A3474" s="10" t="s">
        <v>8079</v>
      </c>
      <c r="B3474" s="10" t="s">
        <v>8080</v>
      </c>
      <c r="C3474" s="10" t="n">
        <v>0</v>
      </c>
      <c r="D3474" s="10" t="n">
        <v>0</v>
      </c>
      <c r="E3474" s="6" t="n">
        <f>SUM(C3474,D3474)/2</f>
        <v>0</v>
      </c>
      <c r="F3474" s="18" t="n">
        <v>3</v>
      </c>
      <c r="G3474" s="18" t="n">
        <v>4</v>
      </c>
      <c r="H3474" s="6" t="n">
        <f>SUM(F3474,G3474)/2</f>
        <v>3.5</v>
      </c>
    </row>
    <row r="3475" s="18" customFormat="1" ht="14.399999999999999" customHeight="1">
      <c r="A3475" s="10" t="s">
        <v>4245</v>
      </c>
      <c r="B3475" s="10" t="s">
        <v>4246</v>
      </c>
      <c r="C3475" s="13" t="n">
        <v>25586</v>
      </c>
      <c r="D3475" s="13" t="n">
        <v>40872</v>
      </c>
      <c r="E3475" s="6" t="n">
        <f>SUM(C3475,D3475)/2</f>
        <v>33229</v>
      </c>
      <c r="F3475" s="12" t="n">
        <v>9771</v>
      </c>
      <c r="G3475" s="12" t="n">
        <v>14838</v>
      </c>
      <c r="H3475" s="6" t="n">
        <f>SUM(F3475,G3475)/2</f>
        <v>12304.5</v>
      </c>
    </row>
    <row r="3476" s="18" customFormat="1" ht="14.399999999999999" customHeight="1">
      <c r="A3476" s="10" t="s">
        <v>3083</v>
      </c>
      <c r="B3476" s="10" t="s">
        <v>3084</v>
      </c>
      <c r="C3476" s="10"/>
      <c r="D3476" s="10"/>
      <c r="E3476" s="6" t="n">
        <f>SUM(C3476,D3476)/2</f>
        <v>0</v>
      </c>
      <c r="F3476" s="12" t="n">
        <v>25985</v>
      </c>
      <c r="G3476" s="12" t="n">
        <v>42100</v>
      </c>
      <c r="H3476" s="6" t="n">
        <f>SUM(F3476,G3476)/2</f>
        <v>34042.5</v>
      </c>
    </row>
    <row r="3477" s="18" customFormat="1" ht="14.399999999999999" customHeight="1">
      <c r="A3477" s="10" t="s">
        <v>2823</v>
      </c>
      <c r="B3477" s="10" t="s">
        <v>2824</v>
      </c>
      <c r="C3477" s="10" t="n">
        <v>1</v>
      </c>
      <c r="D3477" s="10" t="n">
        <v>1</v>
      </c>
      <c r="E3477" s="6" t="n">
        <f>SUM(C3477,D3477)/2</f>
        <v>1</v>
      </c>
      <c r="F3477" s="18" t="n">
        <v>0</v>
      </c>
      <c r="G3477" s="18" t="n">
        <v>0</v>
      </c>
      <c r="H3477" s="6" t="n">
        <f>SUM(F3477,G3477)/2</f>
        <v>0</v>
      </c>
    </row>
    <row r="3478" s="18" customFormat="1" ht="14.399999999999999" customHeight="1">
      <c r="A3478" s="10" t="s">
        <v>2727</v>
      </c>
      <c r="B3478" s="10" t="s">
        <v>2728</v>
      </c>
      <c r="C3478" s="10" t="n">
        <v>3</v>
      </c>
      <c r="D3478" s="10" t="n">
        <v>5</v>
      </c>
      <c r="E3478" s="6" t="n">
        <f>SUM(C3478,D3478)/2</f>
        <v>4</v>
      </c>
      <c r="F3478" s="18" t="n">
        <v>0</v>
      </c>
      <c r="G3478" s="18" t="n">
        <v>0</v>
      </c>
      <c r="H3478" s="6" t="n">
        <f>SUM(F3478,G3478)/2</f>
        <v>0</v>
      </c>
    </row>
    <row r="3479" s="18" customFormat="1" ht="14.399999999999999" customHeight="1">
      <c r="A3479" s="10" t="s">
        <v>829</v>
      </c>
      <c r="B3479" s="10" t="s">
        <v>830</v>
      </c>
      <c r="C3479" s="13" t="n">
        <v>993450</v>
      </c>
      <c r="D3479" s="13" t="n">
        <v>1586938</v>
      </c>
      <c r="E3479" s="6" t="n">
        <f>SUM(C3479,D3479)/2</f>
        <v>1290194</v>
      </c>
      <c r="F3479" s="12" t="n">
        <v>223833</v>
      </c>
      <c r="G3479" s="12" t="n">
        <v>289453</v>
      </c>
      <c r="H3479" s="6" t="n">
        <f>SUM(F3479,G3479)/2</f>
        <v>256643</v>
      </c>
    </row>
    <row r="3480" s="18" customFormat="1" ht="14.399999999999999" customHeight="1">
      <c r="A3480" s="10" t="s">
        <v>909</v>
      </c>
      <c r="B3480" s="10" t="s">
        <v>910</v>
      </c>
      <c r="C3480" s="13" t="n">
        <v>662674</v>
      </c>
      <c r="D3480" s="13" t="n">
        <v>1058556</v>
      </c>
      <c r="E3480" s="6" t="n">
        <f>SUM(C3480,D3480)/2</f>
        <v>860615</v>
      </c>
      <c r="F3480" s="12" t="n">
        <v>140717</v>
      </c>
      <c r="G3480" s="12" t="n">
        <v>205518</v>
      </c>
      <c r="H3480" s="6" t="n">
        <f>SUM(F3480,G3480)/2</f>
        <v>173117.5</v>
      </c>
    </row>
    <row r="3481" s="18" customFormat="1" ht="14.399999999999999" customHeight="1">
      <c r="A3481" s="10" t="s">
        <v>4919</v>
      </c>
      <c r="B3481" s="10" t="s">
        <v>4920</v>
      </c>
      <c r="C3481" s="13" t="n">
        <v>22025</v>
      </c>
      <c r="D3481" s="13" t="n">
        <v>35183</v>
      </c>
      <c r="E3481" s="6" t="n">
        <f>SUM(C3481,D3481)/2</f>
        <v>28604</v>
      </c>
      <c r="F3481" s="12" t="n">
        <v>3931</v>
      </c>
      <c r="G3481" s="12" t="n">
        <v>5186</v>
      </c>
      <c r="H3481" s="6" t="n">
        <f>SUM(F3481,G3481)/2</f>
        <v>4558.5</v>
      </c>
    </row>
    <row r="3482" s="18" customFormat="1" ht="14.399999999999999" customHeight="1">
      <c r="A3482" s="10" t="s">
        <v>4779</v>
      </c>
      <c r="B3482" s="10" t="s">
        <v>4780</v>
      </c>
      <c r="C3482" s="13" t="n">
        <v>12891</v>
      </c>
      <c r="D3482" s="13" t="n">
        <v>20591</v>
      </c>
      <c r="E3482" s="6" t="n">
        <f>SUM(C3482,D3482)/2</f>
        <v>16741</v>
      </c>
      <c r="F3482" s="12" t="n">
        <v>6903</v>
      </c>
      <c r="G3482" s="12" t="n">
        <v>9906</v>
      </c>
      <c r="H3482" s="6" t="n">
        <f>SUM(F3482,G3482)/2</f>
        <v>8404.5</v>
      </c>
    </row>
    <row r="3483" s="18" customFormat="1" ht="14.399999999999999" customHeight="1">
      <c r="A3483" s="10" t="s">
        <v>4889</v>
      </c>
      <c r="B3483" s="10" t="s">
        <v>4890</v>
      </c>
      <c r="C3483" s="13" t="n">
        <v>21836</v>
      </c>
      <c r="D3483" s="13" t="n">
        <v>34882</v>
      </c>
      <c r="E3483" s="6" t="n">
        <f>SUM(C3483,D3483)/2</f>
        <v>28359</v>
      </c>
      <c r="F3483" s="12" t="n">
        <v>4174</v>
      </c>
      <c r="G3483" s="12" t="n">
        <v>5663</v>
      </c>
      <c r="H3483" s="6" t="n">
        <f>SUM(F3483,G3483)/2</f>
        <v>4918.5</v>
      </c>
    </row>
    <row r="3484" s="18" customFormat="1" ht="14.399999999999999" customHeight="1">
      <c r="A3484" s="10" t="s">
        <v>4107</v>
      </c>
      <c r="B3484" s="10" t="s">
        <v>4108</v>
      </c>
      <c r="C3484" s="13" t="n">
        <v>43772</v>
      </c>
      <c r="D3484" s="13" t="n">
        <v>69920</v>
      </c>
      <c r="E3484" s="6" t="n">
        <f>SUM(C3484,D3484)/2</f>
        <v>56846</v>
      </c>
      <c r="F3484" s="12" t="n">
        <v>8134</v>
      </c>
      <c r="G3484" s="12" t="n">
        <v>11617</v>
      </c>
      <c r="H3484" s="6" t="n">
        <f>SUM(F3484,G3484)/2</f>
        <v>9875.5</v>
      </c>
    </row>
    <row r="3485" s="18" customFormat="1" ht="14.399999999999999" customHeight="1">
      <c r="A3485" s="10" t="s">
        <v>1270</v>
      </c>
      <c r="B3485" s="10" t="s">
        <v>1271</v>
      </c>
      <c r="C3485" s="13" t="n">
        <v>237992</v>
      </c>
      <c r="D3485" s="13" t="n">
        <v>380164</v>
      </c>
      <c r="E3485" s="6" t="n">
        <f>SUM(C3485,D3485)/2</f>
        <v>309078</v>
      </c>
      <c r="F3485" s="12" t="n">
        <v>4611</v>
      </c>
      <c r="G3485" s="12" t="n">
        <v>17921</v>
      </c>
      <c r="H3485" s="6" t="n">
        <f>SUM(F3485,G3485)/2</f>
        <v>11266</v>
      </c>
    </row>
    <row r="3486" s="18" customFormat="1" ht="14.399999999999999" customHeight="1">
      <c r="A3486" s="10" t="s">
        <v>3025</v>
      </c>
      <c r="B3486" s="10" t="s">
        <v>3026</v>
      </c>
      <c r="C3486" s="10" t="n">
        <v>0</v>
      </c>
      <c r="D3486" s="10" t="n">
        <v>0</v>
      </c>
      <c r="E3486" s="6" t="n">
        <f>SUM(C3486,D3486)/2</f>
        <v>0</v>
      </c>
      <c r="F3486" s="18" t="n">
        <v>0</v>
      </c>
      <c r="G3486" s="18" t="n">
        <v>0</v>
      </c>
      <c r="H3486" s="6" t="n">
        <f>SUM(F3486,G3486)/2</f>
        <v>0</v>
      </c>
    </row>
    <row r="3487" s="18" customFormat="1" ht="14.399999999999999" customHeight="1">
      <c r="A3487" s="10" t="s">
        <v>4413</v>
      </c>
      <c r="B3487" s="10" t="s">
        <v>4414</v>
      </c>
      <c r="C3487" s="13" t="n">
        <v>3015</v>
      </c>
      <c r="D3487" s="13" t="n">
        <v>4819</v>
      </c>
      <c r="E3487" s="6" t="n">
        <f>SUM(C3487,D3487)/2</f>
        <v>3917</v>
      </c>
      <c r="F3487" s="12" t="n">
        <v>12680</v>
      </c>
      <c r="G3487" s="12" t="n">
        <v>18786</v>
      </c>
      <c r="H3487" s="6" t="n">
        <f>SUM(F3487,G3487)/2</f>
        <v>15733</v>
      </c>
    </row>
    <row r="3488" s="18" customFormat="1" ht="14.399999999999999" customHeight="1">
      <c r="A3488" s="10" t="s">
        <v>2041</v>
      </c>
      <c r="B3488" s="10" t="s">
        <v>2042</v>
      </c>
      <c r="C3488" s="13" t="n">
        <v>311298</v>
      </c>
      <c r="D3488" s="13" t="n">
        <v>497268</v>
      </c>
      <c r="E3488" s="6" t="n">
        <f>SUM(C3488,D3488)/2</f>
        <v>404283</v>
      </c>
      <c r="F3488" s="12" t="n">
        <v>15491</v>
      </c>
      <c r="G3488" s="12" t="n">
        <v>39963</v>
      </c>
      <c r="H3488" s="6" t="n">
        <f>SUM(F3488,G3488)/2</f>
        <v>27727</v>
      </c>
    </row>
    <row r="3489" s="18" customFormat="1" ht="14.399999999999999" customHeight="1">
      <c r="A3489" s="10" t="s">
        <v>8081</v>
      </c>
      <c r="B3489" s="10" t="s">
        <v>8082</v>
      </c>
      <c r="C3489" s="13" t="n">
        <v>81143</v>
      </c>
      <c r="D3489" s="13" t="n">
        <v>129621</v>
      </c>
      <c r="E3489" s="6" t="n">
        <f>SUM(C3489,D3489)/2</f>
        <v>105382</v>
      </c>
      <c r="F3489" s="12" t="n">
        <v>10640</v>
      </c>
      <c r="G3489" s="12" t="n">
        <v>13464</v>
      </c>
      <c r="H3489" s="6" t="n">
        <f>SUM(F3489,G3489)/2</f>
        <v>12052</v>
      </c>
    </row>
    <row r="3490" s="18" customFormat="1" ht="14.399999999999999" customHeight="1">
      <c r="A3490" s="10" t="s">
        <v>3895</v>
      </c>
      <c r="B3490" s="10" t="s">
        <v>3896</v>
      </c>
      <c r="C3490" s="13" t="n">
        <v>45808</v>
      </c>
      <c r="D3490" s="13" t="n">
        <v>73172</v>
      </c>
      <c r="E3490" s="6" t="n">
        <f>SUM(C3490,D3490)/2</f>
        <v>59490</v>
      </c>
      <c r="F3490" s="12" t="n">
        <v>11768</v>
      </c>
      <c r="G3490" s="12" t="n">
        <v>17139</v>
      </c>
      <c r="H3490" s="6" t="n">
        <f>SUM(F3490,G3490)/2</f>
        <v>14453.5</v>
      </c>
    </row>
    <row r="3491" s="18" customFormat="1" ht="14.399999999999999" customHeight="1">
      <c r="A3491" s="10" t="s">
        <v>4007</v>
      </c>
      <c r="B3491" s="10" t="s">
        <v>4008</v>
      </c>
      <c r="C3491" s="13" t="n">
        <v>25343</v>
      </c>
      <c r="D3491" s="13" t="n">
        <v>40485</v>
      </c>
      <c r="E3491" s="6" t="n">
        <f>SUM(C3491,D3491)/2</f>
        <v>32914</v>
      </c>
      <c r="F3491" s="12" t="n">
        <v>14935</v>
      </c>
      <c r="G3491" s="12" t="n">
        <v>20373</v>
      </c>
      <c r="H3491" s="6" t="n">
        <f>SUM(F3491,G3491)/2</f>
        <v>17654</v>
      </c>
    </row>
    <row r="3492" s="18" customFormat="1" ht="14.399999999999999" customHeight="1">
      <c r="A3492" s="10" t="s">
        <v>4705</v>
      </c>
      <c r="B3492" s="10" t="s">
        <v>4706</v>
      </c>
      <c r="C3492" s="13" t="n">
        <v>26969</v>
      </c>
      <c r="D3492" s="13" t="n">
        <v>43079</v>
      </c>
      <c r="E3492" s="6" t="n">
        <f>SUM(C3492,D3492)/2</f>
        <v>35024</v>
      </c>
      <c r="F3492" s="12" t="n">
        <v>4593</v>
      </c>
      <c r="G3492" s="12" t="n">
        <v>6126</v>
      </c>
      <c r="H3492" s="6" t="n">
        <f>SUM(F3492,G3492)/2</f>
        <v>5359.5</v>
      </c>
    </row>
    <row r="3493" s="18" customFormat="1" ht="14.399999999999999" customHeight="1">
      <c r="A3493" s="10" t="s">
        <v>8083</v>
      </c>
      <c r="B3493" s="10" t="s">
        <v>8084</v>
      </c>
      <c r="C3493" s="13" t="n">
        <v>10136</v>
      </c>
      <c r="D3493" s="13" t="n">
        <v>16190</v>
      </c>
      <c r="E3493" s="6" t="n">
        <f>SUM(C3493,D3493)/2</f>
        <v>13163</v>
      </c>
      <c r="F3493" s="12" t="n">
        <v>17700</v>
      </c>
      <c r="G3493" s="12" t="n">
        <v>24049</v>
      </c>
      <c r="H3493" s="6" t="n">
        <f>SUM(F3493,G3493)/2</f>
        <v>20874.5</v>
      </c>
    </row>
    <row r="3494" s="18" customFormat="1" ht="14.399999999999999" customHeight="1">
      <c r="A3494" s="10" t="s">
        <v>4219</v>
      </c>
      <c r="B3494" s="10" t="s">
        <v>4220</v>
      </c>
      <c r="C3494" s="13" t="n">
        <v>22918</v>
      </c>
      <c r="D3494" s="13" t="n">
        <v>36606</v>
      </c>
      <c r="E3494" s="6" t="n">
        <f>SUM(C3494,D3494)/2</f>
        <v>29762</v>
      </c>
      <c r="F3494" s="12" t="n">
        <v>10531</v>
      </c>
      <c r="G3494" s="12" t="n">
        <v>16278</v>
      </c>
      <c r="H3494" s="6" t="n">
        <f>SUM(F3494,G3494)/2</f>
        <v>13404.5</v>
      </c>
    </row>
    <row r="3495" s="18" customFormat="1" ht="14.399999999999999" customHeight="1">
      <c r="A3495" s="10" t="s">
        <v>3359</v>
      </c>
      <c r="B3495" s="10" t="s">
        <v>3360</v>
      </c>
      <c r="C3495" s="13" t="n">
        <v>41485</v>
      </c>
      <c r="D3495" s="13" t="n">
        <v>66265</v>
      </c>
      <c r="E3495" s="6" t="n">
        <f>SUM(C3495,D3495)/2</f>
        <v>53875</v>
      </c>
      <c r="F3495" s="12" t="n">
        <v>30066</v>
      </c>
      <c r="G3495" s="12" t="n">
        <v>44294</v>
      </c>
      <c r="H3495" s="6" t="n">
        <f>SUM(F3495,G3495)/2</f>
        <v>37180</v>
      </c>
    </row>
    <row r="3496" s="18" customFormat="1" ht="14.399999999999999" customHeight="1">
      <c r="A3496" s="10" t="s">
        <v>967</v>
      </c>
      <c r="B3496" s="10" t="s">
        <v>968</v>
      </c>
      <c r="C3496" s="13" t="n">
        <v>415205</v>
      </c>
      <c r="D3496" s="13" t="n">
        <v>663251</v>
      </c>
      <c r="E3496" s="6" t="n">
        <f>SUM(C3496,D3496)/2</f>
        <v>539228</v>
      </c>
      <c r="F3496" s="12" t="n">
        <v>139294</v>
      </c>
      <c r="G3496" s="12" t="n">
        <v>201917</v>
      </c>
      <c r="H3496" s="6" t="n">
        <f>SUM(F3496,G3496)/2</f>
        <v>170605.5</v>
      </c>
    </row>
    <row r="3497" s="18" customFormat="1" ht="14.399999999999999" customHeight="1">
      <c r="A3497" s="10" t="s">
        <v>5093</v>
      </c>
      <c r="B3497" s="10" t="s">
        <v>5094</v>
      </c>
      <c r="C3497" s="13" t="n">
        <v>7904</v>
      </c>
      <c r="D3497" s="13" t="n">
        <v>12626</v>
      </c>
      <c r="E3497" s="6" t="n">
        <f>SUM(C3497,D3497)/2</f>
        <v>10265</v>
      </c>
      <c r="F3497" s="12" t="n">
        <v>5029</v>
      </c>
      <c r="G3497" s="12" t="n">
        <v>7539</v>
      </c>
      <c r="H3497" s="6" t="n">
        <f>SUM(F3497,G3497)/2</f>
        <v>6284</v>
      </c>
    </row>
    <row r="3498" s="18" customFormat="1" ht="14.399999999999999" customHeight="1">
      <c r="A3498" s="10" t="s">
        <v>3197</v>
      </c>
      <c r="B3498" s="10" t="s">
        <v>3198</v>
      </c>
      <c r="C3498" s="13" t="n">
        <v>71108</v>
      </c>
      <c r="D3498" s="13" t="n">
        <v>113586</v>
      </c>
      <c r="E3498" s="6" t="n">
        <f>SUM(C3498,D3498)/2</f>
        <v>92347</v>
      </c>
      <c r="F3498" s="12" t="n">
        <v>34278</v>
      </c>
      <c r="G3498" s="12" t="n">
        <v>46572</v>
      </c>
      <c r="H3498" s="6" t="n">
        <f>SUM(F3498,G3498)/2</f>
        <v>40425</v>
      </c>
    </row>
    <row r="3499" s="18" customFormat="1" ht="14.399999999999999" customHeight="1">
      <c r="A3499" s="10" t="s">
        <v>881</v>
      </c>
      <c r="B3499" s="10" t="s">
        <v>882</v>
      </c>
      <c r="C3499" s="13" t="n">
        <v>765643</v>
      </c>
      <c r="D3499" s="13" t="n">
        <v>1223041</v>
      </c>
      <c r="E3499" s="6" t="n">
        <f>SUM(C3499,D3499)/2</f>
        <v>994342</v>
      </c>
      <c r="F3499" s="12" t="n">
        <v>166608</v>
      </c>
      <c r="G3499" s="12" t="n">
        <v>236697</v>
      </c>
      <c r="H3499" s="6" t="n">
        <f>SUM(F3499,G3499)/2</f>
        <v>201652.5</v>
      </c>
    </row>
    <row r="3500" s="18" customFormat="1" ht="14.399999999999999" customHeight="1">
      <c r="A3500" s="10" t="s">
        <v>8085</v>
      </c>
      <c r="B3500" s="10" t="s">
        <v>8086</v>
      </c>
      <c r="C3500" s="10" t="n">
        <v>22</v>
      </c>
      <c r="D3500" s="10" t="n">
        <v>36</v>
      </c>
      <c r="E3500" s="6" t="n">
        <f>SUM(C3500,D3500)/2</f>
        <v>29</v>
      </c>
      <c r="F3500" s="18" t="n">
        <v>1</v>
      </c>
      <c r="G3500" s="18" t="n">
        <v>1</v>
      </c>
      <c r="H3500" s="6" t="n">
        <f>SUM(F3500,G3500)/2</f>
        <v>1</v>
      </c>
    </row>
    <row r="3501" s="18" customFormat="1" ht="14.399999999999999" customHeight="1">
      <c r="A3501" s="10" t="s">
        <v>624</v>
      </c>
      <c r="B3501" s="10" t="s">
        <v>625</v>
      </c>
      <c r="C3501" s="10" t="n">
        <v>482</v>
      </c>
      <c r="D3501" s="10" t="n">
        <v>770</v>
      </c>
      <c r="E3501" s="6" t="n">
        <f>SUM(C3501,D3501)/2</f>
        <v>626</v>
      </c>
      <c r="F3501" s="18" t="n">
        <v>62</v>
      </c>
      <c r="G3501" s="18" t="n">
        <v>69</v>
      </c>
      <c r="H3501" s="6" t="n">
        <f>SUM(F3501,G3501)/2</f>
        <v>65.5</v>
      </c>
    </row>
    <row r="3502" s="18" customFormat="1" ht="14.399999999999999" customHeight="1">
      <c r="A3502" s="10" t="s">
        <v>3471</v>
      </c>
      <c r="B3502" s="10" t="s">
        <v>3472</v>
      </c>
      <c r="C3502" s="13" t="n">
        <v>76000</v>
      </c>
      <c r="D3502" s="13" t="n">
        <v>121406</v>
      </c>
      <c r="E3502" s="6" t="n">
        <f>SUM(C3502,D3502)/2</f>
        <v>98703</v>
      </c>
      <c r="F3502" s="12" t="n">
        <v>17948</v>
      </c>
      <c r="G3502" s="12" t="n">
        <v>27522</v>
      </c>
      <c r="H3502" s="6" t="n">
        <f>SUM(F3502,G3502)/2</f>
        <v>22735</v>
      </c>
    </row>
    <row r="3503" s="18" customFormat="1" ht="14.399999999999999" customHeight="1">
      <c r="A3503" s="10" t="s">
        <v>2729</v>
      </c>
      <c r="B3503" s="10" t="s">
        <v>2730</v>
      </c>
      <c r="C3503" s="10" t="n">
        <v>4</v>
      </c>
      <c r="D3503" s="10" t="n">
        <v>4</v>
      </c>
      <c r="E3503" s="6" t="n">
        <f>SUM(C3503,D3503)/2</f>
        <v>4</v>
      </c>
      <c r="F3503" s="18" t="n">
        <v>0</v>
      </c>
      <c r="G3503" s="18" t="n">
        <v>0</v>
      </c>
      <c r="H3503" s="6" t="n">
        <f>SUM(F3503,G3503)/2</f>
        <v>0</v>
      </c>
    </row>
    <row r="3504" s="18" customFormat="1" ht="14.399999999999999" customHeight="1">
      <c r="A3504" s="10" t="s">
        <v>3089</v>
      </c>
      <c r="B3504" s="10" t="s">
        <v>3090</v>
      </c>
      <c r="C3504" s="13" t="n">
        <v>296225</v>
      </c>
      <c r="D3504" s="13" t="n">
        <v>473193</v>
      </c>
      <c r="E3504" s="6" t="n">
        <f>SUM(C3504,D3504)/2</f>
        <v>384709</v>
      </c>
      <c r="F3504" s="12" t="n">
        <v>16258</v>
      </c>
      <c r="G3504" s="12" t="n">
        <v>70634</v>
      </c>
      <c r="H3504" s="6" t="n">
        <f>SUM(F3504,G3504)/2</f>
        <v>43446</v>
      </c>
    </row>
    <row r="3505" s="18" customFormat="1" ht="14.399999999999999" customHeight="1">
      <c r="A3505" s="10" t="s">
        <v>8087</v>
      </c>
      <c r="B3505" s="10" t="s">
        <v>8088</v>
      </c>
      <c r="C3505" s="10" t="n">
        <v>0</v>
      </c>
      <c r="D3505" s="10" t="n">
        <v>0</v>
      </c>
      <c r="E3505" s="6" t="n">
        <f>SUM(C3505,D3505)/2</f>
        <v>0</v>
      </c>
      <c r="F3505" s="18" t="n">
        <v>3</v>
      </c>
      <c r="G3505" s="18" t="n">
        <v>5</v>
      </c>
      <c r="H3505" s="6" t="n">
        <f>SUM(F3505,G3505)/2</f>
        <v>4</v>
      </c>
    </row>
    <row r="3506" s="18" customFormat="1" ht="14.399999999999999" customHeight="1">
      <c r="A3506" s="10" t="s">
        <v>8089</v>
      </c>
      <c r="B3506" s="10" t="s">
        <v>8090</v>
      </c>
      <c r="C3506" s="13" t="n">
        <v>24270</v>
      </c>
      <c r="D3506" s="13" t="n">
        <v>38768</v>
      </c>
      <c r="E3506" s="6" t="n">
        <f>SUM(C3506,D3506)/2</f>
        <v>31519</v>
      </c>
      <c r="F3506" s="12" t="n">
        <v>5610</v>
      </c>
      <c r="G3506" s="12" t="n">
        <v>8894</v>
      </c>
      <c r="H3506" s="6" t="n">
        <f>SUM(F3506,G3506)/2</f>
        <v>7252</v>
      </c>
    </row>
    <row r="3507" s="18" customFormat="1" ht="14.399999999999999" customHeight="1">
      <c r="A3507" s="10" t="s">
        <v>4963</v>
      </c>
      <c r="B3507" s="10" t="s">
        <v>4964</v>
      </c>
      <c r="C3507" s="13" t="n">
        <v>9360</v>
      </c>
      <c r="D3507" s="13" t="n">
        <v>14954</v>
      </c>
      <c r="E3507" s="6" t="n">
        <f>SUM(C3507,D3507)/2</f>
        <v>12157</v>
      </c>
      <c r="F3507" s="12" t="n">
        <v>5755</v>
      </c>
      <c r="G3507" s="12" t="n">
        <v>9173</v>
      </c>
      <c r="H3507" s="6" t="n">
        <f>SUM(F3507,G3507)/2</f>
        <v>7464</v>
      </c>
    </row>
    <row r="3508" s="18" customFormat="1" ht="14.399999999999999" customHeight="1">
      <c r="A3508" s="10" t="s">
        <v>2152</v>
      </c>
      <c r="B3508" s="10" t="s">
        <v>2153</v>
      </c>
      <c r="C3508" s="10" t="n">
        <v>4</v>
      </c>
      <c r="D3508" s="10" t="n">
        <v>6</v>
      </c>
      <c r="E3508" s="6" t="n">
        <f>SUM(C3508,D3508)/2</f>
        <v>5</v>
      </c>
      <c r="F3508" s="18" t="n">
        <v>6</v>
      </c>
      <c r="G3508" s="18" t="n">
        <v>8</v>
      </c>
      <c r="H3508" s="6" t="n">
        <f>SUM(F3508,G3508)/2</f>
        <v>7</v>
      </c>
    </row>
    <row r="3509" s="18" customFormat="1" ht="14.399999999999999" customHeight="1">
      <c r="A3509" s="10" t="s">
        <v>869</v>
      </c>
      <c r="B3509" s="10" t="s">
        <v>870</v>
      </c>
      <c r="C3509" s="13" t="n">
        <v>405406</v>
      </c>
      <c r="D3509" s="13" t="n">
        <v>647596</v>
      </c>
      <c r="E3509" s="6" t="n">
        <f>SUM(C3509,D3509)/2</f>
        <v>526501</v>
      </c>
      <c r="F3509" s="12" t="n">
        <v>265132</v>
      </c>
      <c r="G3509" s="12" t="n">
        <v>366749</v>
      </c>
      <c r="H3509" s="6" t="n">
        <f>SUM(F3509,G3509)/2</f>
        <v>315940.5</v>
      </c>
    </row>
    <row r="3510" s="18" customFormat="1" ht="14.399999999999999" customHeight="1">
      <c r="A3510" s="10" t="s">
        <v>4999</v>
      </c>
      <c r="B3510" s="10" t="s">
        <v>5000</v>
      </c>
      <c r="C3510" s="13" t="n">
        <v>9587</v>
      </c>
      <c r="D3510" s="13" t="n">
        <v>15315</v>
      </c>
      <c r="E3510" s="6" t="n">
        <f>SUM(C3510,D3510)/2</f>
        <v>12451</v>
      </c>
      <c r="F3510" s="12" t="n">
        <v>6186</v>
      </c>
      <c r="G3510" s="12" t="n">
        <v>7918</v>
      </c>
      <c r="H3510" s="6" t="n">
        <f>SUM(F3510,G3510)/2</f>
        <v>7052</v>
      </c>
    </row>
    <row r="3511" s="18" customFormat="1" ht="14.399999999999999" customHeight="1">
      <c r="A3511" s="10" t="s">
        <v>8091</v>
      </c>
      <c r="B3511" s="10" t="s">
        <v>8092</v>
      </c>
      <c r="C3511" s="10" t="n">
        <v>0</v>
      </c>
      <c r="D3511" s="10" t="n">
        <v>0</v>
      </c>
      <c r="E3511" s="6" t="n">
        <f>SUM(C3511,D3511)/2</f>
        <v>0</v>
      </c>
      <c r="F3511" s="18" t="n">
        <v>2</v>
      </c>
      <c r="G3511" s="18" t="n">
        <v>3</v>
      </c>
      <c r="H3511" s="6" t="n">
        <f>SUM(F3511,G3511)/2</f>
        <v>2.5</v>
      </c>
    </row>
    <row r="3512" s="18" customFormat="1" ht="14.399999999999999" customHeight="1">
      <c r="A3512" s="10" t="s">
        <v>2206</v>
      </c>
      <c r="B3512" s="10" t="s">
        <v>2207</v>
      </c>
      <c r="C3512" s="10" t="n">
        <v>3</v>
      </c>
      <c r="D3512" s="10" t="n">
        <v>5</v>
      </c>
      <c r="E3512" s="6" t="n">
        <f>SUM(C3512,D3512)/2</f>
        <v>4</v>
      </c>
      <c r="F3512" s="18" t="n">
        <v>5</v>
      </c>
      <c r="G3512" s="18" t="n">
        <v>8</v>
      </c>
      <c r="H3512" s="6" t="n">
        <f>SUM(F3512,G3512)/2</f>
        <v>6.5</v>
      </c>
    </row>
    <row r="3513" s="18" customFormat="1" ht="14.399999999999999" customHeight="1">
      <c r="A3513" s="10" t="s">
        <v>432</v>
      </c>
      <c r="B3513" s="10" t="s">
        <v>433</v>
      </c>
      <c r="C3513" s="10" t="n">
        <v>944</v>
      </c>
      <c r="D3513" s="13" t="n">
        <v>1510</v>
      </c>
      <c r="E3513" s="6" t="n">
        <f>SUM(C3513,D3513)/2</f>
        <v>1227</v>
      </c>
      <c r="F3513" s="18" t="n">
        <v>627</v>
      </c>
      <c r="G3513" s="18" t="n">
        <v>880</v>
      </c>
      <c r="H3513" s="6" t="n">
        <f>SUM(F3513,G3513)/2</f>
        <v>753.5</v>
      </c>
    </row>
    <row r="3514" s="18" customFormat="1" ht="14.399999999999999" customHeight="1">
      <c r="A3514" s="10" t="s">
        <v>1507</v>
      </c>
      <c r="B3514" s="10" t="s">
        <v>1508</v>
      </c>
      <c r="C3514" s="10" t="n">
        <v>10</v>
      </c>
      <c r="D3514" s="10" t="n">
        <v>16</v>
      </c>
      <c r="E3514" s="6" t="n">
        <f>SUM(C3514,D3514)/2</f>
        <v>13</v>
      </c>
      <c r="F3514" s="18" t="n">
        <v>18</v>
      </c>
      <c r="G3514" s="18" t="n">
        <v>28</v>
      </c>
      <c r="H3514" s="6" t="n">
        <f>SUM(F3514,G3514)/2</f>
        <v>23</v>
      </c>
    </row>
    <row r="3515" s="18" customFormat="1" ht="14.399999999999999" customHeight="1">
      <c r="A3515" s="10" t="s">
        <v>3955</v>
      </c>
      <c r="B3515" s="10" t="s">
        <v>3956</v>
      </c>
      <c r="C3515" s="13" t="n">
        <v>48876</v>
      </c>
      <c r="D3515" s="13" t="n">
        <v>78072</v>
      </c>
      <c r="E3515" s="6" t="n">
        <f>SUM(C3515,D3515)/2</f>
        <v>63474</v>
      </c>
      <c r="F3515" s="12" t="n">
        <v>9590</v>
      </c>
      <c r="G3515" s="12" t="n">
        <v>14800</v>
      </c>
      <c r="H3515" s="6" t="n">
        <f>SUM(F3515,G3515)/2</f>
        <v>12195</v>
      </c>
    </row>
    <row r="3516" s="18" customFormat="1" ht="14.399999999999999" customHeight="1">
      <c r="A3516" s="10" t="s">
        <v>3413</v>
      </c>
      <c r="B3516" s="10" t="s">
        <v>3414</v>
      </c>
      <c r="C3516" s="13" t="n">
        <v>89885</v>
      </c>
      <c r="D3516" s="13" t="n">
        <v>143583</v>
      </c>
      <c r="E3516" s="6" t="n">
        <f>SUM(C3516,D3516)/2</f>
        <v>116734</v>
      </c>
      <c r="F3516" s="12" t="n">
        <v>18274</v>
      </c>
      <c r="G3516" s="12" t="n">
        <v>24665</v>
      </c>
      <c r="H3516" s="6" t="n">
        <f>SUM(F3516,G3516)/2</f>
        <v>21469.5</v>
      </c>
    </row>
    <row r="3517" s="18" customFormat="1" ht="14.399999999999999" customHeight="1">
      <c r="A3517" s="10" t="s">
        <v>8093</v>
      </c>
      <c r="B3517" s="10" t="s">
        <v>8094</v>
      </c>
      <c r="C3517" s="13" t="n">
        <v>13680</v>
      </c>
      <c r="D3517" s="13" t="n">
        <v>21856</v>
      </c>
      <c r="E3517" s="6" t="n">
        <f>SUM(C3517,D3517)/2</f>
        <v>17768</v>
      </c>
      <c r="F3517" s="12" t="n">
        <v>5335</v>
      </c>
      <c r="G3517" s="12" t="n">
        <v>7570</v>
      </c>
      <c r="H3517" s="6" t="n">
        <f>SUM(F3517,G3517)/2</f>
        <v>6452.5</v>
      </c>
    </row>
    <row r="3518" s="18" customFormat="1" ht="14.399999999999999" customHeight="1">
      <c r="A3518" s="10" t="s">
        <v>8095</v>
      </c>
      <c r="B3518" s="10" t="s">
        <v>8096</v>
      </c>
      <c r="C3518" s="13" t="n">
        <v>45246</v>
      </c>
      <c r="D3518" s="13" t="n">
        <v>72276</v>
      </c>
      <c r="E3518" s="6" t="n">
        <f>SUM(C3518,D3518)/2</f>
        <v>58761</v>
      </c>
      <c r="F3518" s="12" t="n">
        <v>6606</v>
      </c>
      <c r="G3518" s="12" t="n">
        <v>10139</v>
      </c>
      <c r="H3518" s="6" t="n">
        <f>SUM(F3518,G3518)/2</f>
        <v>8372.5</v>
      </c>
    </row>
    <row r="3519" s="18" customFormat="1" ht="14.399999999999999" customHeight="1">
      <c r="A3519" s="10" t="s">
        <v>5019</v>
      </c>
      <c r="B3519" s="10" t="s">
        <v>5020</v>
      </c>
      <c r="C3519" s="13" t="n">
        <v>5076</v>
      </c>
      <c r="D3519" s="13" t="n">
        <v>8110</v>
      </c>
      <c r="E3519" s="6" t="n">
        <f>SUM(C3519,D3519)/2</f>
        <v>6593</v>
      </c>
      <c r="F3519" s="12" t="n">
        <v>6818</v>
      </c>
      <c r="G3519" s="12" t="n">
        <v>9358</v>
      </c>
      <c r="H3519" s="6" t="n">
        <f>SUM(F3519,G3519)/2</f>
        <v>8088</v>
      </c>
    </row>
    <row r="3520" s="18" customFormat="1" ht="14.399999999999999" customHeight="1">
      <c r="A3520" s="10" t="s">
        <v>3027</v>
      </c>
      <c r="B3520" s="10" t="s">
        <v>3028</v>
      </c>
      <c r="C3520" s="10" t="n">
        <v>0</v>
      </c>
      <c r="D3520" s="10" t="n">
        <v>0</v>
      </c>
      <c r="E3520" s="6" t="n">
        <f>SUM(C3520,D3520)/2</f>
        <v>0</v>
      </c>
      <c r="F3520" s="18" t="n">
        <v>0</v>
      </c>
      <c r="G3520" s="18" t="n">
        <v>0</v>
      </c>
      <c r="H3520" s="6" t="n">
        <f>SUM(F3520,G3520)/2</f>
        <v>0</v>
      </c>
    </row>
    <row r="3521" s="18" customFormat="1" ht="14.399999999999999" customHeight="1">
      <c r="A3521" s="10" t="s">
        <v>8097</v>
      </c>
      <c r="B3521" s="10" t="s">
        <v>8098</v>
      </c>
      <c r="C3521" s="10" t="n">
        <v>203</v>
      </c>
      <c r="D3521" s="10" t="n">
        <v>323</v>
      </c>
      <c r="E3521" s="6" t="n">
        <f>SUM(C3521,D3521)/2</f>
        <v>263</v>
      </c>
      <c r="F3521" s="18" t="n">
        <v>9</v>
      </c>
      <c r="G3521" s="18" t="n">
        <v>17</v>
      </c>
      <c r="H3521" s="6" t="n">
        <f>SUM(F3521,G3521)/2</f>
        <v>13</v>
      </c>
    </row>
    <row r="3522" s="18" customFormat="1" ht="14.399999999999999" customHeight="1">
      <c r="A3522" s="10" t="s">
        <v>1144</v>
      </c>
      <c r="B3522" s="10" t="s">
        <v>1145</v>
      </c>
      <c r="C3522" s="13" t="n">
        <v>418307</v>
      </c>
      <c r="D3522" s="13" t="n">
        <v>668205</v>
      </c>
      <c r="E3522" s="6" t="n">
        <f>SUM(C3522,D3522)/2</f>
        <v>543256</v>
      </c>
      <c r="F3522" s="12" t="n">
        <v>29082</v>
      </c>
      <c r="G3522" s="12" t="n">
        <v>58032</v>
      </c>
      <c r="H3522" s="6" t="n">
        <f>SUM(F3522,G3522)/2</f>
        <v>43557</v>
      </c>
    </row>
    <row r="3523" s="18" customFormat="1" ht="14.399999999999999" customHeight="1">
      <c r="A3523" s="10" t="s">
        <v>915</v>
      </c>
      <c r="B3523" s="10" t="s">
        <v>916</v>
      </c>
      <c r="C3523" s="13" t="n">
        <v>870890</v>
      </c>
      <c r="D3523" s="13" t="n">
        <v>1391160</v>
      </c>
      <c r="E3523" s="6" t="n">
        <f>SUM(C3523,D3523)/2</f>
        <v>1131025</v>
      </c>
      <c r="F3523" s="12" t="n">
        <v>74925</v>
      </c>
      <c r="G3523" s="12" t="n">
        <v>126835</v>
      </c>
      <c r="H3523" s="6" t="n">
        <f>SUM(F3523,G3523)/2</f>
        <v>100880</v>
      </c>
    </row>
    <row r="3524" s="18" customFormat="1" ht="14.399999999999999" customHeight="1">
      <c r="A3524" s="10" t="s">
        <v>36</v>
      </c>
      <c r="B3524" s="10" t="s">
        <v>37</v>
      </c>
      <c r="C3524" s="13" t="n">
        <v>3712087</v>
      </c>
      <c r="D3524" s="13" t="n">
        <v>5929697</v>
      </c>
      <c r="E3524" s="6" t="n">
        <f>SUM(C3524,D3524)/2</f>
        <v>4820892</v>
      </c>
      <c r="F3524" s="12" t="n">
        <v>1106643</v>
      </c>
      <c r="G3524" s="12" t="n">
        <v>1605421</v>
      </c>
      <c r="H3524" s="6" t="n">
        <f>SUM(F3524,G3524)/2</f>
        <v>1356032</v>
      </c>
    </row>
    <row r="3525" s="18" customFormat="1" ht="14.399999999999999" customHeight="1">
      <c r="A3525" s="10" t="s">
        <v>8099</v>
      </c>
      <c r="B3525" s="10" t="s">
        <v>8100</v>
      </c>
      <c r="C3525" s="10" t="n">
        <v>0</v>
      </c>
      <c r="D3525" s="10" t="n">
        <v>0</v>
      </c>
      <c r="E3525" s="6" t="n">
        <f>SUM(C3525,D3525)/2</f>
        <v>0</v>
      </c>
      <c r="F3525" s="18" t="n">
        <v>2</v>
      </c>
      <c r="G3525" s="18" t="n">
        <v>3</v>
      </c>
      <c r="H3525" s="6" t="n">
        <f>SUM(F3525,G3525)/2</f>
        <v>2.5</v>
      </c>
    </row>
    <row r="3526" s="18" customFormat="1" ht="14.399999999999999" customHeight="1">
      <c r="A3526" s="10" t="s">
        <v>1126</v>
      </c>
      <c r="B3526" s="10" t="s">
        <v>1127</v>
      </c>
      <c r="C3526" s="13" t="n">
        <v>262239</v>
      </c>
      <c r="D3526" s="13" t="n">
        <v>418903</v>
      </c>
      <c r="E3526" s="6" t="n">
        <f>SUM(C3526,D3526)/2</f>
        <v>340571</v>
      </c>
      <c r="F3526" s="12" t="n">
        <v>87181</v>
      </c>
      <c r="G3526" s="12" t="n">
        <v>133588</v>
      </c>
      <c r="H3526" s="6" t="n">
        <f>SUM(F3526,G3526)/2</f>
        <v>110384.5</v>
      </c>
    </row>
    <row r="3527" s="18" customFormat="1" ht="14.399999999999999" customHeight="1">
      <c r="A3527" s="10" t="s">
        <v>4949</v>
      </c>
      <c r="B3527" s="10" t="s">
        <v>4950</v>
      </c>
      <c r="C3527" s="13" t="n">
        <v>13142</v>
      </c>
      <c r="D3527" s="13" t="n">
        <v>20990</v>
      </c>
      <c r="E3527" s="6" t="n">
        <f>SUM(C3527,D3527)/2</f>
        <v>17066</v>
      </c>
      <c r="F3527" s="12" t="n">
        <v>5150</v>
      </c>
      <c r="G3527" s="12" t="n">
        <v>8073</v>
      </c>
      <c r="H3527" s="6" t="n">
        <f>SUM(F3527,G3527)/2</f>
        <v>6611.5</v>
      </c>
    </row>
    <row r="3528" s="18" customFormat="1" ht="14.399999999999999" customHeight="1">
      <c r="A3528" s="10" t="s">
        <v>3191</v>
      </c>
      <c r="B3528" s="10" t="s">
        <v>3192</v>
      </c>
      <c r="C3528" s="13" t="n">
        <v>67783</v>
      </c>
      <c r="D3528" s="13" t="n">
        <v>108277</v>
      </c>
      <c r="E3528" s="6" t="n">
        <f>SUM(C3528,D3528)/2</f>
        <v>88030</v>
      </c>
      <c r="F3528" s="12" t="n">
        <v>37219</v>
      </c>
      <c r="G3528" s="12" t="n">
        <v>47646</v>
      </c>
      <c r="H3528" s="6" t="n">
        <f>SUM(F3528,G3528)/2</f>
        <v>42432.5</v>
      </c>
    </row>
    <row r="3529" s="18" customFormat="1" ht="14.399999999999999" customHeight="1">
      <c r="A3529" s="10" t="s">
        <v>2825</v>
      </c>
      <c r="B3529" s="10" t="s">
        <v>2826</v>
      </c>
      <c r="C3529" s="10" t="n">
        <v>1</v>
      </c>
      <c r="D3529" s="10" t="n">
        <v>1</v>
      </c>
      <c r="E3529" s="6" t="n">
        <f>SUM(C3529,D3529)/2</f>
        <v>1</v>
      </c>
      <c r="F3529" s="18" t="n">
        <v>0</v>
      </c>
      <c r="G3529" s="18" t="n">
        <v>0</v>
      </c>
      <c r="H3529" s="6" t="n">
        <f>SUM(F3529,G3529)/2</f>
        <v>0</v>
      </c>
    </row>
    <row r="3530" s="18" customFormat="1" ht="14.399999999999999" customHeight="1">
      <c r="A3530" s="10" t="s">
        <v>3831</v>
      </c>
      <c r="B3530" s="10" t="s">
        <v>3832</v>
      </c>
      <c r="C3530" s="13" t="n">
        <v>19995</v>
      </c>
      <c r="D3530" s="13" t="n">
        <v>31939</v>
      </c>
      <c r="E3530" s="6" t="n">
        <f>SUM(C3530,D3530)/2</f>
        <v>25967</v>
      </c>
      <c r="F3530" s="12" t="n">
        <v>17976</v>
      </c>
      <c r="G3530" s="12" t="n">
        <v>29073</v>
      </c>
      <c r="H3530" s="6" t="n">
        <f>SUM(F3530,G3530)/2</f>
        <v>23524.5</v>
      </c>
    </row>
    <row r="3531" s="18" customFormat="1" ht="14.399999999999999" customHeight="1">
      <c r="A3531" s="10" t="s">
        <v>3563</v>
      </c>
      <c r="B3531" s="10" t="s">
        <v>3564</v>
      </c>
      <c r="C3531" s="13" t="n">
        <v>105779</v>
      </c>
      <c r="D3531" s="13" t="n">
        <v>168971</v>
      </c>
      <c r="E3531" s="6" t="n">
        <f>SUM(C3531,D3531)/2</f>
        <v>137375</v>
      </c>
      <c r="F3531" s="12" t="n">
        <v>9739</v>
      </c>
      <c r="G3531" s="12" t="n">
        <v>11961</v>
      </c>
      <c r="H3531" s="6" t="n">
        <f>SUM(F3531,G3531)/2</f>
        <v>10850</v>
      </c>
    </row>
    <row r="3532" s="18" customFormat="1" ht="14.399999999999999" customHeight="1">
      <c r="A3532" s="10" t="s">
        <v>1306</v>
      </c>
      <c r="B3532" s="10" t="s">
        <v>1307</v>
      </c>
      <c r="C3532" s="13" t="n">
        <v>111002</v>
      </c>
      <c r="D3532" s="13" t="n">
        <v>177318</v>
      </c>
      <c r="E3532" s="6" t="n">
        <f>SUM(C3532,D3532)/2</f>
        <v>144160</v>
      </c>
      <c r="F3532" s="12" t="n">
        <v>32928</v>
      </c>
      <c r="G3532" s="12" t="n">
        <v>50436</v>
      </c>
      <c r="H3532" s="6" t="n">
        <f>SUM(F3532,G3532)/2</f>
        <v>41682</v>
      </c>
    </row>
    <row r="3533" s="18" customFormat="1" ht="14.399999999999999" customHeight="1">
      <c r="A3533" s="10" t="s">
        <v>8101</v>
      </c>
      <c r="B3533" s="10" t="s">
        <v>8102</v>
      </c>
      <c r="C3533" s="13" t="n">
        <v>1954</v>
      </c>
      <c r="D3533" s="13" t="n">
        <v>3120</v>
      </c>
      <c r="E3533" s="6" t="n">
        <f>SUM(C3533,D3533)/2</f>
        <v>2537</v>
      </c>
      <c r="F3533" s="18" t="n">
        <v>648</v>
      </c>
      <c r="G3533" s="18" t="n">
        <v>771</v>
      </c>
      <c r="H3533" s="6" t="n">
        <f>SUM(F3533,G3533)/2</f>
        <v>709.5</v>
      </c>
    </row>
    <row r="3534" s="18" customFormat="1" ht="14.399999999999999" customHeight="1">
      <c r="A3534" s="10" t="s">
        <v>8103</v>
      </c>
      <c r="B3534" s="10" t="s">
        <v>8104</v>
      </c>
      <c r="C3534" s="10" t="n">
        <v>132</v>
      </c>
      <c r="D3534" s="10" t="n">
        <v>212</v>
      </c>
      <c r="E3534" s="6" t="n">
        <f>SUM(C3534,D3534)/2</f>
        <v>172</v>
      </c>
      <c r="F3534" s="18" t="n">
        <v>4</v>
      </c>
      <c r="G3534" s="18" t="n">
        <v>5</v>
      </c>
      <c r="H3534" s="6" t="n">
        <f>SUM(F3534,G3534)/2</f>
        <v>4.5</v>
      </c>
    </row>
    <row r="3535" s="18" customFormat="1" ht="14.399999999999999" customHeight="1">
      <c r="A3535" s="10" t="s">
        <v>8105</v>
      </c>
      <c r="B3535" s="10" t="s">
        <v>8106</v>
      </c>
      <c r="C3535" s="10" t="n">
        <v>9</v>
      </c>
      <c r="D3535" s="10" t="n">
        <v>15</v>
      </c>
      <c r="E3535" s="6" t="n">
        <f>SUM(C3535,D3535)/2</f>
        <v>12</v>
      </c>
      <c r="F3535" s="18" t="n">
        <v>1</v>
      </c>
      <c r="G3535" s="18" t="n">
        <v>1</v>
      </c>
      <c r="H3535" s="6" t="n">
        <f>SUM(F3535,G3535)/2</f>
        <v>1</v>
      </c>
    </row>
    <row r="3536" s="18" customFormat="1" ht="14.399999999999999" customHeight="1">
      <c r="A3536" s="10" t="s">
        <v>8107</v>
      </c>
      <c r="B3536" s="10" t="s">
        <v>8108</v>
      </c>
      <c r="C3536" s="10" t="n">
        <v>0</v>
      </c>
      <c r="D3536" s="10" t="n">
        <v>0</v>
      </c>
      <c r="E3536" s="6" t="n">
        <f>SUM(C3536,D3536)/2</f>
        <v>0</v>
      </c>
      <c r="F3536" s="18" t="n">
        <v>0</v>
      </c>
      <c r="G3536" s="18" t="n">
        <v>0</v>
      </c>
      <c r="H3536" s="6" t="n">
        <f>SUM(F3536,G3536)/2</f>
        <v>0</v>
      </c>
    </row>
    <row r="3537" s="18" customFormat="1" ht="14.399999999999999" customHeight="1">
      <c r="A3537" s="10" t="s">
        <v>3029</v>
      </c>
      <c r="B3537" s="10" t="s">
        <v>3030</v>
      </c>
      <c r="C3537" s="10" t="n">
        <v>0</v>
      </c>
      <c r="D3537" s="10" t="n">
        <v>0</v>
      </c>
      <c r="E3537" s="6" t="n">
        <f>SUM(C3537,D3537)/2</f>
        <v>0</v>
      </c>
      <c r="F3537" s="18" t="n">
        <v>0</v>
      </c>
      <c r="G3537" s="18" t="n">
        <v>0</v>
      </c>
      <c r="H3537" s="6" t="n">
        <f>SUM(F3537,G3537)/2</f>
        <v>0</v>
      </c>
    </row>
    <row r="3538" s="18" customFormat="1" ht="14.399999999999999" customHeight="1">
      <c r="A3538" s="10" t="s">
        <v>8109</v>
      </c>
      <c r="B3538" s="10" t="s">
        <v>8110</v>
      </c>
      <c r="C3538" s="13" t="n">
        <v>195803</v>
      </c>
      <c r="D3538" s="13" t="n">
        <v>312775</v>
      </c>
      <c r="E3538" s="6" t="n">
        <f>SUM(C3538,D3538)/2</f>
        <v>254289</v>
      </c>
      <c r="F3538" s="12" t="n">
        <v>29693</v>
      </c>
      <c r="G3538" s="12" t="n">
        <v>55079</v>
      </c>
      <c r="H3538" s="6" t="n">
        <f>SUM(F3538,G3538)/2</f>
        <v>42386</v>
      </c>
    </row>
    <row r="3539" s="18" customFormat="1" ht="14.399999999999999" customHeight="1">
      <c r="A3539" s="10" t="s">
        <v>8111</v>
      </c>
      <c r="B3539" s="10" t="s">
        <v>8112</v>
      </c>
      <c r="C3539" s="13" t="n">
        <v>81661</v>
      </c>
      <c r="D3539" s="13" t="n">
        <v>130445</v>
      </c>
      <c r="E3539" s="6" t="n">
        <f>SUM(C3539,D3539)/2</f>
        <v>106053</v>
      </c>
      <c r="F3539" s="12" t="n">
        <v>24750</v>
      </c>
      <c r="G3539" s="12" t="n">
        <v>40442</v>
      </c>
      <c r="H3539" s="6" t="n">
        <f>SUM(F3539,G3539)/2</f>
        <v>32596</v>
      </c>
    </row>
    <row r="3540" s="18" customFormat="1" ht="14.399999999999999" customHeight="1">
      <c r="A3540" s="10" t="s">
        <v>8113</v>
      </c>
      <c r="B3540" s="10" t="s">
        <v>8114</v>
      </c>
      <c r="C3540" s="10"/>
      <c r="D3540" s="10"/>
      <c r="E3540" s="6" t="n">
        <f>SUM(C3540,D3540)/2</f>
        <v>0</v>
      </c>
      <c r="F3540" s="12" t="n">
        <v>10720</v>
      </c>
      <c r="G3540" s="12" t="n">
        <v>17362</v>
      </c>
      <c r="H3540" s="6" t="n">
        <f>SUM(F3540,G3540)/2</f>
        <v>14041</v>
      </c>
    </row>
    <row r="3541" s="18" customFormat="1" ht="14.399999999999999" customHeight="1">
      <c r="A3541" s="10" t="s">
        <v>4227</v>
      </c>
      <c r="B3541" s="10" t="s">
        <v>4228</v>
      </c>
      <c r="C3541" s="13" t="n">
        <v>34157</v>
      </c>
      <c r="D3541" s="13" t="n">
        <v>54563</v>
      </c>
      <c r="E3541" s="6" t="n">
        <f>SUM(C3541,D3541)/2</f>
        <v>44360</v>
      </c>
      <c r="F3541" s="12" t="n">
        <v>8002</v>
      </c>
      <c r="G3541" s="12" t="n">
        <v>12362</v>
      </c>
      <c r="H3541" s="6" t="n">
        <f>SUM(F3541,G3541)/2</f>
        <v>10182</v>
      </c>
    </row>
    <row r="3542" s="18" customFormat="1" ht="14.399999999999999" customHeight="1">
      <c r="A3542" s="10" t="s">
        <v>4205</v>
      </c>
      <c r="B3542" s="10" t="s">
        <v>4206</v>
      </c>
      <c r="C3542" s="13" t="n">
        <v>21198</v>
      </c>
      <c r="D3542" s="13" t="n">
        <v>33864</v>
      </c>
      <c r="E3542" s="6" t="n">
        <f>SUM(C3542,D3542)/2</f>
        <v>27531</v>
      </c>
      <c r="F3542" s="12" t="n">
        <v>11207</v>
      </c>
      <c r="G3542" s="12" t="n">
        <v>17434</v>
      </c>
      <c r="H3542" s="6" t="n">
        <f>SUM(F3542,G3542)/2</f>
        <v>14320.5</v>
      </c>
    </row>
    <row r="3543" s="18" customFormat="1" ht="14.399999999999999" customHeight="1">
      <c r="A3543" s="10" t="s">
        <v>3357</v>
      </c>
      <c r="B3543" s="10" t="s">
        <v>3358</v>
      </c>
      <c r="C3543" s="13" t="n">
        <v>35617</v>
      </c>
      <c r="D3543" s="13" t="n">
        <v>56893</v>
      </c>
      <c r="E3543" s="6" t="n">
        <f>SUM(C3543,D3543)/2</f>
        <v>46255</v>
      </c>
      <c r="F3543" s="12" t="n">
        <v>31551</v>
      </c>
      <c r="G3543" s="12" t="n">
        <v>46492</v>
      </c>
      <c r="H3543" s="6" t="n">
        <f>SUM(F3543,G3543)/2</f>
        <v>39021.5</v>
      </c>
    </row>
    <row r="3544" s="18" customFormat="1" ht="14.399999999999999" customHeight="1">
      <c r="A3544" s="10" t="s">
        <v>3329</v>
      </c>
      <c r="B3544" s="10" t="s">
        <v>3330</v>
      </c>
      <c r="C3544" s="13" t="n">
        <v>84108</v>
      </c>
      <c r="D3544" s="13" t="n">
        <v>134356</v>
      </c>
      <c r="E3544" s="6" t="n">
        <f>SUM(C3544,D3544)/2</f>
        <v>109232</v>
      </c>
      <c r="F3544" s="12" t="n">
        <v>22901</v>
      </c>
      <c r="G3544" s="12" t="n">
        <v>31881</v>
      </c>
      <c r="H3544" s="6" t="n">
        <f>SUM(F3544,G3544)/2</f>
        <v>27391</v>
      </c>
    </row>
    <row r="3545" s="18" customFormat="1" ht="14.399999999999999" customHeight="1">
      <c r="A3545" s="10" t="s">
        <v>5520</v>
      </c>
      <c r="B3545" s="10" t="s">
        <v>5521</v>
      </c>
      <c r="C3545" s="10" t="n">
        <v>228</v>
      </c>
      <c r="D3545" s="10" t="n">
        <v>364</v>
      </c>
      <c r="E3545" s="6" t="n">
        <f>SUM(C3545,D3545)/2</f>
        <v>296</v>
      </c>
      <c r="F3545" s="18" t="n">
        <v>35</v>
      </c>
      <c r="G3545" s="18" t="n">
        <v>52</v>
      </c>
      <c r="H3545" s="6" t="n">
        <f>SUM(F3545,G3545)/2</f>
        <v>43.5</v>
      </c>
    </row>
    <row r="3546" s="18" customFormat="1" ht="14.399999999999999" customHeight="1">
      <c r="A3546" s="10" t="s">
        <v>8115</v>
      </c>
      <c r="B3546" s="10" t="s">
        <v>8116</v>
      </c>
      <c r="C3546" s="13" t="n">
        <v>10914</v>
      </c>
      <c r="D3546" s="13" t="n">
        <v>17432</v>
      </c>
      <c r="E3546" s="6" t="n">
        <f>SUM(C3546,D3546)/2</f>
        <v>14173</v>
      </c>
      <c r="F3546" s="12" t="n">
        <v>15150</v>
      </c>
      <c r="G3546" s="12" t="n">
        <v>21305</v>
      </c>
      <c r="H3546" s="6" t="n">
        <f>SUM(F3546,G3546)/2</f>
        <v>18227.5</v>
      </c>
    </row>
    <row r="3547" s="18" customFormat="1" ht="14.399999999999999" customHeight="1">
      <c r="A3547" s="10" t="s">
        <v>3371</v>
      </c>
      <c r="B3547" s="10" t="s">
        <v>3372</v>
      </c>
      <c r="C3547" s="13" t="n">
        <v>90331</v>
      </c>
      <c r="D3547" s="13" t="n">
        <v>144295</v>
      </c>
      <c r="E3547" s="6" t="n">
        <f>SUM(C3547,D3547)/2</f>
        <v>117313</v>
      </c>
      <c r="F3547" s="12" t="n">
        <v>18495</v>
      </c>
      <c r="G3547" s="12" t="n">
        <v>27601</v>
      </c>
      <c r="H3547" s="6" t="n">
        <f>SUM(F3547,G3547)/2</f>
        <v>23048</v>
      </c>
    </row>
    <row r="3548" s="18" customFormat="1" ht="14.399999999999999" customHeight="1">
      <c r="A3548" s="10" t="s">
        <v>530</v>
      </c>
      <c r="B3548" s="10" t="s">
        <v>531</v>
      </c>
      <c r="C3548" s="10" t="n">
        <v>649</v>
      </c>
      <c r="D3548" s="13" t="n">
        <v>1035</v>
      </c>
      <c r="E3548" s="6" t="n">
        <f>SUM(C3548,D3548)/2</f>
        <v>842</v>
      </c>
      <c r="F3548" s="18" t="n">
        <v>5</v>
      </c>
      <c r="G3548" s="18" t="n">
        <v>7</v>
      </c>
      <c r="H3548" s="6" t="n">
        <f>SUM(F3548,G3548)/2</f>
        <v>6</v>
      </c>
    </row>
    <row r="3549" s="18" customFormat="1" ht="14.399999999999999" customHeight="1">
      <c r="A3549" s="10" t="s">
        <v>8117</v>
      </c>
      <c r="B3549" s="10" t="s">
        <v>8118</v>
      </c>
      <c r="C3549" s="13" t="n">
        <v>54428</v>
      </c>
      <c r="D3549" s="13" t="n">
        <v>86942</v>
      </c>
      <c r="E3549" s="6" t="n">
        <f>SUM(C3549,D3549)/2</f>
        <v>70685</v>
      </c>
      <c r="F3549" s="12" t="n">
        <v>22190</v>
      </c>
      <c r="G3549" s="12" t="n">
        <v>36785</v>
      </c>
      <c r="H3549" s="6" t="n">
        <f>SUM(F3549,G3549)/2</f>
        <v>29487.5</v>
      </c>
    </row>
    <row r="3550" s="18" customFormat="1" ht="14.399999999999999" customHeight="1">
      <c r="A3550" s="10" t="s">
        <v>5251</v>
      </c>
      <c r="B3550" s="10" t="s">
        <v>5252</v>
      </c>
      <c r="C3550" s="13" t="n">
        <v>3518</v>
      </c>
      <c r="D3550" s="13" t="n">
        <v>5618</v>
      </c>
      <c r="E3550" s="6" t="n">
        <f>SUM(C3550,D3550)/2</f>
        <v>4568</v>
      </c>
      <c r="F3550" s="18" t="n">
        <v>430</v>
      </c>
      <c r="G3550" s="18" t="n">
        <v>562</v>
      </c>
      <c r="H3550" s="6" t="n">
        <f>SUM(F3550,G3550)/2</f>
        <v>496</v>
      </c>
    </row>
    <row r="3551" s="18" customFormat="1" ht="14.399999999999999" customHeight="1">
      <c r="A3551" s="10" t="s">
        <v>3031</v>
      </c>
      <c r="B3551" s="10" t="s">
        <v>3032</v>
      </c>
      <c r="C3551" s="10" t="n">
        <v>0</v>
      </c>
      <c r="D3551" s="10" t="n">
        <v>0</v>
      </c>
      <c r="E3551" s="6" t="n">
        <f>SUM(C3551,D3551)/2</f>
        <v>0</v>
      </c>
      <c r="F3551" s="18" t="n">
        <v>0</v>
      </c>
      <c r="G3551" s="18" t="n">
        <v>0</v>
      </c>
      <c r="H3551" s="6" t="n">
        <f>SUM(F3551,G3551)/2</f>
        <v>0</v>
      </c>
    </row>
    <row r="3552" s="18" customFormat="1" ht="14.399999999999999" customHeight="1">
      <c r="A3552" s="10" t="s">
        <v>550</v>
      </c>
      <c r="B3552" s="10" t="s">
        <v>551</v>
      </c>
      <c r="C3552" s="10" t="n">
        <v>891</v>
      </c>
      <c r="D3552" s="13" t="n">
        <v>1427</v>
      </c>
      <c r="E3552" s="6" t="n">
        <f>SUM(C3552,D3552)/2</f>
        <v>1159</v>
      </c>
      <c r="F3552" s="18" t="n">
        <v>152</v>
      </c>
      <c r="G3552" s="18" t="n">
        <v>201</v>
      </c>
      <c r="H3552" s="6" t="n">
        <f>SUM(F3552,G3552)/2</f>
        <v>176.5</v>
      </c>
    </row>
    <row r="3553" s="18" customFormat="1" ht="14.399999999999999" customHeight="1">
      <c r="A3553" s="10" t="s">
        <v>1771</v>
      </c>
      <c r="B3553" s="10" t="s">
        <v>1772</v>
      </c>
      <c r="C3553" s="10" t="n">
        <v>33</v>
      </c>
      <c r="D3553" s="10" t="n">
        <v>51</v>
      </c>
      <c r="E3553" s="6" t="n">
        <f>SUM(C3553,D3553)/2</f>
        <v>42</v>
      </c>
      <c r="F3553" s="18" t="n">
        <v>14</v>
      </c>
      <c r="G3553" s="18" t="n">
        <v>17</v>
      </c>
      <c r="H3553" s="6" t="n">
        <f>SUM(F3553,G3553)/2</f>
        <v>15.5</v>
      </c>
    </row>
    <row r="3554" s="18" customFormat="1" ht="14.399999999999999" customHeight="1">
      <c r="A3554" s="10" t="s">
        <v>3049</v>
      </c>
      <c r="B3554" s="10" t="s">
        <v>3050</v>
      </c>
      <c r="C3554" s="13" t="n">
        <v>178604</v>
      </c>
      <c r="D3554" s="13" t="n">
        <v>285304</v>
      </c>
      <c r="E3554" s="6" t="n">
        <f>SUM(C3554,D3554)/2</f>
        <v>231954</v>
      </c>
      <c r="F3554" s="12" t="n">
        <v>17329</v>
      </c>
      <c r="G3554" s="12" t="n">
        <v>26514</v>
      </c>
      <c r="H3554" s="6" t="n">
        <f>SUM(F3554,G3554)/2</f>
        <v>21921.5</v>
      </c>
    </row>
    <row r="3555" s="18" customFormat="1" ht="14.399999999999999" customHeight="1">
      <c r="A3555" s="10" t="s">
        <v>3033</v>
      </c>
      <c r="B3555" s="10" t="s">
        <v>3034</v>
      </c>
      <c r="C3555" s="10" t="n">
        <v>0</v>
      </c>
      <c r="D3555" s="10" t="n">
        <v>0</v>
      </c>
      <c r="E3555" s="6" t="n">
        <f>SUM(C3555,D3555)/2</f>
        <v>0</v>
      </c>
      <c r="F3555" s="18" t="n">
        <v>0</v>
      </c>
      <c r="G3555" s="18" t="n">
        <v>0</v>
      </c>
      <c r="H3555" s="6" t="n">
        <f>SUM(F3555,G3555)/2</f>
        <v>0</v>
      </c>
    </row>
    <row r="3556" s="18" customFormat="1" ht="14.399999999999999" customHeight="1">
      <c r="A3556" s="10" t="s">
        <v>1118</v>
      </c>
      <c r="B3556" s="10" t="s">
        <v>1119</v>
      </c>
      <c r="C3556" s="10" t="n">
        <v>298</v>
      </c>
      <c r="D3556" s="10" t="n">
        <v>477</v>
      </c>
      <c r="E3556" s="6" t="n">
        <f>SUM(C3556,D3556)/2</f>
        <v>387.5</v>
      </c>
      <c r="F3556" s="18" t="n">
        <v>360</v>
      </c>
      <c r="G3556" s="18" t="n">
        <v>511</v>
      </c>
      <c r="H3556" s="6" t="n">
        <f>SUM(F3556,G3556)/2</f>
        <v>435.5</v>
      </c>
    </row>
    <row r="3557" s="18" customFormat="1" ht="14.399999999999999" customHeight="1">
      <c r="A3557" s="10" t="s">
        <v>4343</v>
      </c>
      <c r="B3557" s="10" t="s">
        <v>4344</v>
      </c>
      <c r="C3557" s="13" t="n">
        <v>35634</v>
      </c>
      <c r="D3557" s="13" t="n">
        <v>56920</v>
      </c>
      <c r="E3557" s="6" t="n">
        <f>SUM(C3557,D3557)/2</f>
        <v>46277</v>
      </c>
      <c r="F3557" s="12" t="n">
        <v>6370</v>
      </c>
      <c r="G3557" s="12" t="n">
        <v>9345</v>
      </c>
      <c r="H3557" s="6" t="n">
        <f>SUM(F3557,G3557)/2</f>
        <v>7857.5</v>
      </c>
    </row>
    <row r="3558" s="18" customFormat="1" ht="14.399999999999999" customHeight="1">
      <c r="A3558" s="10" t="s">
        <v>1059</v>
      </c>
      <c r="B3558" s="10" t="s">
        <v>1060</v>
      </c>
      <c r="C3558" s="13" t="n">
        <v>311920</v>
      </c>
      <c r="D3558" s="13" t="n">
        <v>498260</v>
      </c>
      <c r="E3558" s="6" t="n">
        <f>SUM(C3558,D3558)/2</f>
        <v>405090</v>
      </c>
      <c r="F3558" s="12" t="n">
        <v>112613</v>
      </c>
      <c r="G3558" s="12" t="n">
        <v>175345</v>
      </c>
      <c r="H3558" s="6" t="n">
        <f>SUM(F3558,G3558)/2</f>
        <v>143979</v>
      </c>
    </row>
    <row r="3559" s="18" customFormat="1" ht="14.399999999999999" customHeight="1">
      <c r="A3559" s="10" t="s">
        <v>1925</v>
      </c>
      <c r="B3559" s="10" t="s">
        <v>1926</v>
      </c>
      <c r="C3559" s="10" t="n">
        <v>10</v>
      </c>
      <c r="D3559" s="10" t="n">
        <v>14</v>
      </c>
      <c r="E3559" s="6" t="n">
        <f>SUM(C3559,D3559)/2</f>
        <v>12</v>
      </c>
      <c r="F3559" s="18" t="n">
        <v>10</v>
      </c>
      <c r="G3559" s="18" t="n">
        <v>15</v>
      </c>
      <c r="H3559" s="6" t="n">
        <f>SUM(F3559,G3559)/2</f>
        <v>12.5</v>
      </c>
    </row>
    <row r="3560" s="18" customFormat="1" ht="14.399999999999999" customHeight="1">
      <c r="A3560" s="10" t="s">
        <v>820</v>
      </c>
      <c r="B3560" s="10" t="s">
        <v>821</v>
      </c>
      <c r="C3560" s="13" t="n">
        <v>1439172</v>
      </c>
      <c r="D3560" s="13" t="n">
        <v>2298938</v>
      </c>
      <c r="E3560" s="6" t="n">
        <f>SUM(C3560,D3560)/2</f>
        <v>1869055</v>
      </c>
      <c r="F3560" s="12" t="n">
        <v>68386</v>
      </c>
      <c r="G3560" s="12" t="n">
        <v>247171</v>
      </c>
      <c r="H3560" s="6" t="n">
        <f>SUM(F3560,G3560)/2</f>
        <v>157778.5</v>
      </c>
    </row>
    <row r="3561" s="18" customFormat="1" ht="14.399999999999999" customHeight="1">
      <c r="A3561" s="10" t="s">
        <v>3241</v>
      </c>
      <c r="B3561" s="10" t="s">
        <v>3242</v>
      </c>
      <c r="C3561" s="13" t="n">
        <v>94986</v>
      </c>
      <c r="D3561" s="13" t="n">
        <v>151730</v>
      </c>
      <c r="E3561" s="6" t="n">
        <f>SUM(C3561,D3561)/2</f>
        <v>123358</v>
      </c>
      <c r="F3561" s="12" t="n">
        <v>24346</v>
      </c>
      <c r="G3561" s="12" t="n">
        <v>38636</v>
      </c>
      <c r="H3561" s="6" t="n">
        <f>SUM(F3561,G3561)/2</f>
        <v>31491</v>
      </c>
    </row>
    <row r="3562" s="18" customFormat="1" ht="14.399999999999999" customHeight="1">
      <c r="A3562" s="10" t="s">
        <v>5462</v>
      </c>
      <c r="B3562" s="10" t="s">
        <v>5463</v>
      </c>
      <c r="C3562" s="13" t="n">
        <v>330401</v>
      </c>
      <c r="D3562" s="13" t="n">
        <v>527781</v>
      </c>
      <c r="E3562" s="6" t="n">
        <f>SUM(C3562,D3562)/2</f>
        <v>429091</v>
      </c>
      <c r="F3562" s="12" t="n">
        <v>6615</v>
      </c>
      <c r="G3562" s="12" t="n">
        <v>10018</v>
      </c>
      <c r="H3562" s="6" t="n">
        <f>SUM(F3562,G3562)/2</f>
        <v>8316.5</v>
      </c>
    </row>
    <row r="3563" s="18" customFormat="1" ht="14.399999999999999" customHeight="1">
      <c r="A3563" s="10" t="s">
        <v>8119</v>
      </c>
      <c r="B3563" s="10" t="s">
        <v>8120</v>
      </c>
      <c r="C3563" s="10" t="n">
        <v>2</v>
      </c>
      <c r="D3563" s="10" t="n">
        <v>2</v>
      </c>
      <c r="E3563" s="6" t="n">
        <f>SUM(C3563,D3563)/2</f>
        <v>2</v>
      </c>
      <c r="F3563" s="18" t="n">
        <v>1</v>
      </c>
      <c r="G3563" s="18" t="n">
        <v>1</v>
      </c>
      <c r="H3563" s="6" t="n">
        <f>SUM(F3563,G3563)/2</f>
        <v>1</v>
      </c>
    </row>
    <row r="3564" s="18" customFormat="1" ht="14.399999999999999" customHeight="1">
      <c r="A3564" s="10" t="s">
        <v>2030</v>
      </c>
      <c r="B3564" s="10" t="s">
        <v>2031</v>
      </c>
      <c r="C3564" s="10" t="n">
        <v>35</v>
      </c>
      <c r="D3564" s="10" t="n">
        <v>55</v>
      </c>
      <c r="E3564" s="6" t="n">
        <f>SUM(C3564,D3564)/2</f>
        <v>45</v>
      </c>
      <c r="F3564" s="18" t="n">
        <v>2</v>
      </c>
      <c r="G3564" s="18" t="n">
        <v>2</v>
      </c>
      <c r="H3564" s="6" t="n">
        <f>SUM(F3564,G3564)/2</f>
        <v>2</v>
      </c>
    </row>
    <row r="3565" s="18" customFormat="1" ht="14.399999999999999" customHeight="1">
      <c r="A3565" s="10" t="s">
        <v>3139</v>
      </c>
      <c r="B3565" s="10" t="s">
        <v>3140</v>
      </c>
      <c r="C3565" s="13" t="n">
        <v>202761</v>
      </c>
      <c r="D3565" s="13" t="n">
        <v>323891</v>
      </c>
      <c r="E3565" s="6" t="n">
        <f>SUM(C3565,D3565)/2</f>
        <v>263326</v>
      </c>
      <c r="F3565" s="12" t="n">
        <v>43666</v>
      </c>
      <c r="G3565" s="12" t="n">
        <v>67269</v>
      </c>
      <c r="H3565" s="6" t="n">
        <f>SUM(F3565,G3565)/2</f>
        <v>55467.5</v>
      </c>
    </row>
    <row r="3566" s="18" customFormat="1" ht="14.399999999999999" customHeight="1">
      <c r="A3566" s="10" t="s">
        <v>3647</v>
      </c>
      <c r="B3566" s="10" t="s">
        <v>3648</v>
      </c>
      <c r="C3566" s="13" t="n">
        <v>87237</v>
      </c>
      <c r="D3566" s="13" t="n">
        <v>139353</v>
      </c>
      <c r="E3566" s="6" t="n">
        <f>SUM(C3566,D3566)/2</f>
        <v>113295</v>
      </c>
      <c r="F3566" s="12" t="n">
        <v>9388</v>
      </c>
      <c r="G3566" s="12" t="n">
        <v>14517</v>
      </c>
      <c r="H3566" s="6" t="n">
        <f>SUM(F3566,G3566)/2</f>
        <v>11952.5</v>
      </c>
    </row>
    <row r="3567" s="18" customFormat="1" ht="14.399999999999999" customHeight="1">
      <c r="A3567" s="10" t="s">
        <v>4477</v>
      </c>
      <c r="B3567" s="10" t="s">
        <v>4478</v>
      </c>
      <c r="C3567" s="13" t="n">
        <v>27363</v>
      </c>
      <c r="D3567" s="13" t="n">
        <v>43709</v>
      </c>
      <c r="E3567" s="6" t="n">
        <f>SUM(C3567,D3567)/2</f>
        <v>35536</v>
      </c>
      <c r="F3567" s="12" t="n">
        <v>7393</v>
      </c>
      <c r="G3567" s="12" t="n">
        <v>8940</v>
      </c>
      <c r="H3567" s="6" t="n">
        <f>SUM(F3567,G3567)/2</f>
        <v>8166.5</v>
      </c>
    </row>
    <row r="3568" s="18" customFormat="1" ht="14.399999999999999" customHeight="1">
      <c r="A3568" s="10" t="s">
        <v>3117</v>
      </c>
      <c r="B3568" s="10" t="s">
        <v>3118</v>
      </c>
      <c r="C3568" s="13" t="n">
        <v>202147</v>
      </c>
      <c r="D3568" s="13" t="n">
        <v>322910</v>
      </c>
      <c r="E3568" s="6" t="n">
        <f>SUM(C3568,D3568)/2</f>
        <v>262528.5</v>
      </c>
      <c r="F3568" s="12" t="n">
        <v>29312</v>
      </c>
      <c r="G3568" s="12" t="n">
        <v>40226</v>
      </c>
      <c r="H3568" s="6" t="n">
        <f>SUM(F3568,G3568)/2</f>
        <v>34769</v>
      </c>
    </row>
    <row r="3569" s="18" customFormat="1" ht="14.399999999999999" customHeight="1">
      <c r="A3569" s="10" t="s">
        <v>8121</v>
      </c>
      <c r="B3569" s="10" t="s">
        <v>8122</v>
      </c>
      <c r="C3569" s="13" t="n">
        <v>5141</v>
      </c>
      <c r="D3569" s="13" t="n">
        <v>8213</v>
      </c>
      <c r="E3569" s="6" t="n">
        <f>SUM(C3569,D3569)/2</f>
        <v>6677</v>
      </c>
      <c r="F3569" s="12" t="n">
        <v>3609</v>
      </c>
      <c r="G3569" s="12" t="n">
        <v>4874</v>
      </c>
      <c r="H3569" s="6" t="n">
        <f>SUM(F3569,G3569)/2</f>
        <v>4241.5</v>
      </c>
    </row>
    <row r="3570" s="18" customFormat="1" ht="14.399999999999999" customHeight="1">
      <c r="A3570" s="10" t="s">
        <v>4915</v>
      </c>
      <c r="B3570" s="10" t="s">
        <v>4916</v>
      </c>
      <c r="C3570" s="13" t="n">
        <v>16848</v>
      </c>
      <c r="D3570" s="13" t="n">
        <v>26910</v>
      </c>
      <c r="E3570" s="6" t="n">
        <f>SUM(C3570,D3570)/2</f>
        <v>21879</v>
      </c>
      <c r="F3570" s="12" t="n">
        <v>4883</v>
      </c>
      <c r="G3570" s="12" t="n">
        <v>7169</v>
      </c>
      <c r="H3570" s="6" t="n">
        <f>SUM(F3570,G3570)/2</f>
        <v>6026</v>
      </c>
    </row>
    <row r="3571" s="18" customFormat="1" ht="14.399999999999999" customHeight="1">
      <c r="A3571" s="10" t="s">
        <v>1982</v>
      </c>
      <c r="B3571" s="10" t="s">
        <v>1983</v>
      </c>
      <c r="C3571" s="13" t="n">
        <v>66974</v>
      </c>
      <c r="D3571" s="13" t="n">
        <v>106984</v>
      </c>
      <c r="E3571" s="6" t="n">
        <f>SUM(C3571,D3571)/2</f>
        <v>86979</v>
      </c>
      <c r="F3571" s="12" t="n">
        <v>84677</v>
      </c>
      <c r="G3571" s="12" t="n">
        <v>120441</v>
      </c>
      <c r="H3571" s="6" t="n">
        <f>SUM(F3571,G3571)/2</f>
        <v>102559</v>
      </c>
    </row>
    <row r="3572" s="18" customFormat="1" ht="14.399999999999999" customHeight="1">
      <c r="A3572" s="10" t="s">
        <v>2472</v>
      </c>
      <c r="B3572" s="10" t="s">
        <v>2473</v>
      </c>
      <c r="C3572" s="10" t="n">
        <v>6</v>
      </c>
      <c r="D3572" s="10" t="n">
        <v>8</v>
      </c>
      <c r="E3572" s="6" t="n">
        <f>SUM(C3572,D3572)/2</f>
        <v>7</v>
      </c>
      <c r="F3572" s="18" t="n">
        <v>2</v>
      </c>
      <c r="G3572" s="18" t="n">
        <v>2</v>
      </c>
      <c r="H3572" s="6" t="n">
        <f>SUM(F3572,G3572)/2</f>
        <v>2</v>
      </c>
    </row>
    <row r="3573" s="18" customFormat="1" ht="14.399999999999999" customHeight="1">
      <c r="A3573" s="10" t="s">
        <v>4575</v>
      </c>
      <c r="B3573" s="10" t="s">
        <v>4576</v>
      </c>
      <c r="C3573" s="13" t="n">
        <v>15262</v>
      </c>
      <c r="D3573" s="13" t="n">
        <v>24380</v>
      </c>
      <c r="E3573" s="6" t="n">
        <f>SUM(C3573,D3573)/2</f>
        <v>19821</v>
      </c>
      <c r="F3573" s="12" t="n">
        <v>8325</v>
      </c>
      <c r="G3573" s="12" t="n">
        <v>12199</v>
      </c>
      <c r="H3573" s="6" t="n">
        <f>SUM(F3573,G3573)/2</f>
        <v>10262</v>
      </c>
    </row>
    <row r="3574" s="18" customFormat="1" ht="14.399999999999999" customHeight="1">
      <c r="A3574" s="10" t="s">
        <v>4317</v>
      </c>
      <c r="B3574" s="10" t="s">
        <v>4318</v>
      </c>
      <c r="C3574" s="13" t="n">
        <v>33202</v>
      </c>
      <c r="D3574" s="13" t="n">
        <v>53034</v>
      </c>
      <c r="E3574" s="6" t="n">
        <f>SUM(C3574,D3574)/2</f>
        <v>43118</v>
      </c>
      <c r="F3574" s="12" t="n">
        <v>7259</v>
      </c>
      <c r="G3574" s="12" t="n">
        <v>10629</v>
      </c>
      <c r="H3574" s="6" t="n">
        <f>SUM(F3574,G3574)/2</f>
        <v>8944</v>
      </c>
    </row>
    <row r="3575" s="18" customFormat="1" ht="14.399999999999999" customHeight="1">
      <c r="A3575" s="10" t="s">
        <v>3885</v>
      </c>
      <c r="B3575" s="10" t="s">
        <v>3886</v>
      </c>
      <c r="C3575" s="13" t="n">
        <v>43969</v>
      </c>
      <c r="D3575" s="13" t="n">
        <v>70233</v>
      </c>
      <c r="E3575" s="6" t="n">
        <f>SUM(C3575,D3575)/2</f>
        <v>57101</v>
      </c>
      <c r="F3575" s="12" t="n">
        <v>12802</v>
      </c>
      <c r="G3575" s="12" t="n">
        <v>17844</v>
      </c>
      <c r="H3575" s="6" t="n">
        <f>SUM(F3575,G3575)/2</f>
        <v>15323</v>
      </c>
    </row>
    <row r="3576" s="18" customFormat="1" ht="14.399999999999999" customHeight="1">
      <c r="A3576" s="10" t="s">
        <v>4589</v>
      </c>
      <c r="B3576" s="10" t="s">
        <v>4590</v>
      </c>
      <c r="C3576" s="10" t="n">
        <v>0</v>
      </c>
      <c r="D3576" s="10" t="n">
        <v>0</v>
      </c>
      <c r="E3576" s="6" t="n">
        <f>SUM(C3576,D3576)/2</f>
        <v>0</v>
      </c>
      <c r="F3576" s="12" t="n">
        <v>5756</v>
      </c>
      <c r="G3576" s="12" t="n">
        <v>8615</v>
      </c>
      <c r="H3576" s="6" t="n">
        <f>SUM(F3576,G3576)/2</f>
        <v>7185.5</v>
      </c>
    </row>
    <row r="3577" s="18" customFormat="1" ht="14.399999999999999" customHeight="1">
      <c r="A3577" s="10" t="s">
        <v>2604</v>
      </c>
      <c r="B3577" s="10" t="s">
        <v>2605</v>
      </c>
      <c r="C3577" s="10" t="n">
        <v>7</v>
      </c>
      <c r="D3577" s="10" t="n">
        <v>11</v>
      </c>
      <c r="E3577" s="6" t="n">
        <f>SUM(C3577,D3577)/2</f>
        <v>9</v>
      </c>
      <c r="F3577" s="18" t="n">
        <v>0</v>
      </c>
      <c r="G3577" s="18" t="n">
        <v>0</v>
      </c>
      <c r="H3577" s="6" t="n">
        <f>SUM(F3577,G3577)/2</f>
        <v>0</v>
      </c>
    </row>
    <row r="3578" s="18" customFormat="1" ht="14.399999999999999" customHeight="1">
      <c r="A3578" s="10" t="s">
        <v>3793</v>
      </c>
      <c r="B3578" s="10" t="s">
        <v>3794</v>
      </c>
      <c r="C3578" s="13" t="n">
        <v>67183</v>
      </c>
      <c r="D3578" s="13" t="n">
        <v>107319</v>
      </c>
      <c r="E3578" s="6" t="n">
        <f>SUM(C3578,D3578)/2</f>
        <v>87251</v>
      </c>
      <c r="F3578" s="12" t="n">
        <v>9167</v>
      </c>
      <c r="G3578" s="12" t="n">
        <v>14162</v>
      </c>
      <c r="H3578" s="6" t="n">
        <f>SUM(F3578,G3578)/2</f>
        <v>11664.5</v>
      </c>
    </row>
    <row r="3579" s="18" customFormat="1" ht="14.399999999999999" customHeight="1">
      <c r="A3579" s="10" t="s">
        <v>4649</v>
      </c>
      <c r="B3579" s="10" t="s">
        <v>4650</v>
      </c>
      <c r="C3579" s="13" t="n">
        <v>13641</v>
      </c>
      <c r="D3579" s="13" t="n">
        <v>21793</v>
      </c>
      <c r="E3579" s="6" t="n">
        <f>SUM(C3579,D3579)/2</f>
        <v>17717</v>
      </c>
      <c r="F3579" s="12" t="n">
        <v>7727</v>
      </c>
      <c r="G3579" s="12" t="n">
        <v>11798</v>
      </c>
      <c r="H3579" s="6" t="n">
        <f>SUM(F3579,G3579)/2</f>
        <v>9762.5</v>
      </c>
    </row>
    <row r="3580" s="18" customFormat="1" ht="14.399999999999999" customHeight="1">
      <c r="A3580" s="10" t="s">
        <v>3243</v>
      </c>
      <c r="B3580" s="10" t="s">
        <v>3244</v>
      </c>
      <c r="C3580" s="13" t="n">
        <v>39918</v>
      </c>
      <c r="D3580" s="13" t="n">
        <v>63766</v>
      </c>
      <c r="E3580" s="6" t="n">
        <f>SUM(C3580,D3580)/2</f>
        <v>51842</v>
      </c>
      <c r="F3580" s="12" t="n">
        <v>36574</v>
      </c>
      <c r="G3580" s="12" t="n">
        <v>56794</v>
      </c>
      <c r="H3580" s="6" t="n">
        <f>SUM(F3580,G3580)/2</f>
        <v>46684</v>
      </c>
    </row>
    <row r="3581" s="18" customFormat="1" ht="14.399999999999999" customHeight="1">
      <c r="A3581" s="10" t="s">
        <v>746</v>
      </c>
      <c r="B3581" s="10" t="s">
        <v>747</v>
      </c>
      <c r="C3581" s="13" t="n">
        <v>2610557</v>
      </c>
      <c r="D3581" s="13" t="n">
        <v>4170111</v>
      </c>
      <c r="E3581" s="6" t="n">
        <f>SUM(C3581,D3581)/2</f>
        <v>3390334</v>
      </c>
      <c r="F3581" s="12" t="n">
        <v>87983</v>
      </c>
      <c r="G3581" s="12" t="n">
        <v>297143</v>
      </c>
      <c r="H3581" s="6" t="n">
        <f>SUM(F3581,G3581)/2</f>
        <v>192563</v>
      </c>
    </row>
    <row r="3582" s="18" customFormat="1" ht="14.399999999999999" customHeight="1">
      <c r="A3582" s="10" t="s">
        <v>1370</v>
      </c>
      <c r="B3582" s="10" t="s">
        <v>1371</v>
      </c>
      <c r="C3582" s="13" t="n">
        <v>3523</v>
      </c>
      <c r="D3582" s="13" t="n">
        <v>5627</v>
      </c>
      <c r="E3582" s="6" t="n">
        <f>SUM(C3582,D3582)/2</f>
        <v>4575</v>
      </c>
      <c r="F3582" s="18" t="n">
        <v>107</v>
      </c>
      <c r="G3582" s="18" t="n">
        <v>136</v>
      </c>
      <c r="H3582" s="6" t="n">
        <f>SUM(F3582,G3582)/2</f>
        <v>121.5</v>
      </c>
    </row>
    <row r="3583" s="18" customFormat="1" ht="14.399999999999999" customHeight="1">
      <c r="A3583" s="10" t="s">
        <v>3035</v>
      </c>
      <c r="B3583" s="10" t="s">
        <v>3036</v>
      </c>
      <c r="C3583" s="10" t="n">
        <v>0</v>
      </c>
      <c r="D3583" s="10" t="n">
        <v>0</v>
      </c>
      <c r="E3583" s="6" t="n">
        <f>SUM(C3583,D3583)/2</f>
        <v>0</v>
      </c>
      <c r="F3583" s="18" t="n">
        <v>0</v>
      </c>
      <c r="G3583" s="18" t="n">
        <v>0</v>
      </c>
      <c r="H3583" s="6" t="n">
        <f>SUM(F3583,G3583)/2</f>
        <v>0</v>
      </c>
    </row>
    <row r="3584" s="18" customFormat="1" ht="14.399999999999999" customHeight="1">
      <c r="A3584" s="10" t="s">
        <v>8123</v>
      </c>
      <c r="B3584" s="10" t="s">
        <v>8124</v>
      </c>
      <c r="C3584" s="13" t="n">
        <v>175028</v>
      </c>
      <c r="D3584" s="13" t="n">
        <v>279592</v>
      </c>
      <c r="E3584" s="6" t="n">
        <f>SUM(C3584,D3584)/2</f>
        <v>227310</v>
      </c>
      <c r="F3584" s="12" t="n">
        <v>16860</v>
      </c>
      <c r="G3584" s="12" t="n">
        <v>25253</v>
      </c>
      <c r="H3584" s="6" t="n">
        <f>SUM(F3584,G3584)/2</f>
        <v>21056.5</v>
      </c>
    </row>
    <row r="3585" s="18" customFormat="1" ht="14.399999999999999" customHeight="1">
      <c r="A3585" s="10" t="s">
        <v>4023</v>
      </c>
      <c r="B3585" s="10" t="s">
        <v>4024</v>
      </c>
      <c r="C3585" s="13" t="n">
        <v>30355</v>
      </c>
      <c r="D3585" s="13" t="n">
        <v>48491</v>
      </c>
      <c r="E3585" s="6" t="n">
        <f>SUM(C3585,D3585)/2</f>
        <v>39423</v>
      </c>
      <c r="F3585" s="12" t="n">
        <v>12506</v>
      </c>
      <c r="G3585" s="12" t="n">
        <v>19692</v>
      </c>
      <c r="H3585" s="6" t="n">
        <f>SUM(F3585,G3585)/2</f>
        <v>16099</v>
      </c>
    </row>
    <row r="3586" s="18" customFormat="1" ht="14.399999999999999" customHeight="1">
      <c r="A3586" s="10" t="s">
        <v>8125</v>
      </c>
      <c r="B3586" s="10" t="s">
        <v>8126</v>
      </c>
      <c r="C3586" s="10" t="n">
        <v>1</v>
      </c>
      <c r="D3586" s="10" t="n">
        <v>1</v>
      </c>
      <c r="E3586" s="6" t="n">
        <f>SUM(C3586,D3586)/2</f>
        <v>1</v>
      </c>
      <c r="F3586" s="18" t="n">
        <v>0</v>
      </c>
      <c r="G3586" s="18" t="n">
        <v>0</v>
      </c>
      <c r="H3586" s="6" t="n">
        <f>SUM(F3586,G3586)/2</f>
        <v>0</v>
      </c>
    </row>
    <row r="3587" s="18" customFormat="1" ht="14.399999999999999" customHeight="1">
      <c r="A3587" s="10" t="s">
        <v>4987</v>
      </c>
      <c r="B3587" s="10" t="s">
        <v>4988</v>
      </c>
      <c r="C3587" s="13" t="n">
        <v>5724</v>
      </c>
      <c r="D3587" s="13" t="n">
        <v>9142</v>
      </c>
      <c r="E3587" s="6" t="n">
        <f>SUM(C3587,D3587)/2</f>
        <v>7433</v>
      </c>
      <c r="F3587" s="12" t="n">
        <v>7019</v>
      </c>
      <c r="G3587" s="12" t="n">
        <v>9438</v>
      </c>
      <c r="H3587" s="6" t="n">
        <f>SUM(F3587,G3587)/2</f>
        <v>8228.5</v>
      </c>
    </row>
    <row r="3588" s="18" customFormat="1" ht="14.399999999999999" customHeight="1">
      <c r="A3588" s="10" t="s">
        <v>1208</v>
      </c>
      <c r="B3588" s="10" t="s">
        <v>1209</v>
      </c>
      <c r="C3588" s="13" t="n">
        <v>204326</v>
      </c>
      <c r="D3588" s="13" t="n">
        <v>326392</v>
      </c>
      <c r="E3588" s="6" t="n">
        <f>SUM(C3588,D3588)/2</f>
        <v>265359</v>
      </c>
      <c r="F3588" s="12" t="n">
        <v>30593</v>
      </c>
      <c r="G3588" s="12" t="n">
        <v>46125</v>
      </c>
      <c r="H3588" s="6" t="n">
        <f>SUM(F3588,G3588)/2</f>
        <v>38359</v>
      </c>
    </row>
    <row r="3589" s="18" customFormat="1" ht="14.399999999999999" customHeight="1">
      <c r="A3589" s="10" t="s">
        <v>4967</v>
      </c>
      <c r="B3589" s="10" t="s">
        <v>4968</v>
      </c>
      <c r="C3589" s="13" t="n">
        <v>13324</v>
      </c>
      <c r="D3589" s="13" t="n">
        <v>21286</v>
      </c>
      <c r="E3589" s="6" t="n">
        <f>SUM(C3589,D3589)/2</f>
        <v>17305</v>
      </c>
      <c r="F3589" s="12" t="n">
        <v>5612</v>
      </c>
      <c r="G3589" s="12" t="n">
        <v>7059</v>
      </c>
      <c r="H3589" s="6" t="n">
        <f>SUM(F3589,G3589)/2</f>
        <v>6335.5</v>
      </c>
    </row>
    <row r="3590" s="18" customFormat="1" ht="14.399999999999999" customHeight="1">
      <c r="A3590" s="10" t="s">
        <v>3125</v>
      </c>
      <c r="B3590" s="10" t="s">
        <v>3126</v>
      </c>
      <c r="C3590" s="13" t="n">
        <v>301523</v>
      </c>
      <c r="D3590" s="13" t="n">
        <v>481653</v>
      </c>
      <c r="E3590" s="6" t="n">
        <f>SUM(C3590,D3590)/2</f>
        <v>391588</v>
      </c>
      <c r="F3590" s="12" t="n">
        <v>16349</v>
      </c>
      <c r="G3590" s="12" t="n">
        <v>23344</v>
      </c>
      <c r="H3590" s="6" t="n">
        <f>SUM(F3590,G3590)/2</f>
        <v>19846.5</v>
      </c>
    </row>
    <row r="3591" s="18" customFormat="1" ht="14.399999999999999" customHeight="1">
      <c r="A3591" s="10" t="s">
        <v>4309</v>
      </c>
      <c r="B3591" s="10" t="s">
        <v>4310</v>
      </c>
      <c r="C3591" s="13" t="n">
        <v>35066</v>
      </c>
      <c r="D3591" s="13" t="n">
        <v>56014</v>
      </c>
      <c r="E3591" s="6" t="n">
        <f>SUM(C3591,D3591)/2</f>
        <v>45540</v>
      </c>
      <c r="F3591" s="12" t="n">
        <v>6852</v>
      </c>
      <c r="G3591" s="12" t="n">
        <v>10283</v>
      </c>
      <c r="H3591" s="6" t="n">
        <f>SUM(F3591,G3591)/2</f>
        <v>8567.5</v>
      </c>
    </row>
    <row r="3592" s="18" customFormat="1" ht="14.399999999999999" customHeight="1">
      <c r="A3592" s="10" t="s">
        <v>8127</v>
      </c>
      <c r="B3592" s="10" t="s">
        <v>8128</v>
      </c>
      <c r="C3592" s="13" t="n">
        <v>19011</v>
      </c>
      <c r="D3592" s="13" t="n">
        <v>30365</v>
      </c>
      <c r="E3592" s="6" t="n">
        <f>SUM(C3592,D3592)/2</f>
        <v>24688</v>
      </c>
      <c r="F3592" s="12" t="n">
        <v>5739</v>
      </c>
      <c r="G3592" s="12" t="n">
        <v>8274</v>
      </c>
      <c r="H3592" s="6" t="n">
        <f>SUM(F3592,G3592)/2</f>
        <v>7006.5</v>
      </c>
    </row>
    <row r="3593" s="18" customFormat="1" ht="14.399999999999999" customHeight="1">
      <c r="A3593" s="10" t="s">
        <v>8129</v>
      </c>
      <c r="B3593" s="10" t="s">
        <v>8130</v>
      </c>
      <c r="C3593" s="10" t="n">
        <v>131</v>
      </c>
      <c r="D3593" s="10" t="n">
        <v>209</v>
      </c>
      <c r="E3593" s="6" t="n">
        <f>SUM(C3593,D3593)/2</f>
        <v>170</v>
      </c>
      <c r="F3593" s="18" t="n">
        <v>67</v>
      </c>
      <c r="G3593" s="18" t="n">
        <v>103</v>
      </c>
      <c r="H3593" s="6" t="n">
        <f>SUM(F3593,G3593)/2</f>
        <v>85</v>
      </c>
    </row>
    <row r="3594" s="18" customFormat="1" ht="14.399999999999999" customHeight="1">
      <c r="A3594" s="10" t="s">
        <v>1478</v>
      </c>
      <c r="B3594" s="10" t="s">
        <v>1479</v>
      </c>
      <c r="C3594" s="10" t="n">
        <v>496</v>
      </c>
      <c r="D3594" s="10" t="n">
        <v>794</v>
      </c>
      <c r="E3594" s="6" t="n">
        <f>SUM(C3594,D3594)/2</f>
        <v>645</v>
      </c>
      <c r="F3594" s="18" t="n">
        <v>180</v>
      </c>
      <c r="G3594" s="18" t="n">
        <v>253</v>
      </c>
      <c r="H3594" s="6" t="n">
        <f>SUM(F3594,G3594)/2</f>
        <v>216.5</v>
      </c>
    </row>
    <row r="3595" s="18" customFormat="1" ht="14.399999999999999" customHeight="1">
      <c r="A3595" s="10" t="s">
        <v>1492</v>
      </c>
      <c r="B3595" s="10" t="s">
        <v>1493</v>
      </c>
      <c r="C3595" s="13" t="n">
        <v>215269</v>
      </c>
      <c r="D3595" s="13" t="n">
        <v>343873</v>
      </c>
      <c r="E3595" s="6" t="n">
        <f>SUM(C3595,D3595)/2</f>
        <v>279571</v>
      </c>
      <c r="F3595" s="12" t="n">
        <v>75012</v>
      </c>
      <c r="G3595" s="12" t="n">
        <v>99764</v>
      </c>
      <c r="H3595" s="6" t="n">
        <f>SUM(F3595,G3595)/2</f>
        <v>87388</v>
      </c>
    </row>
    <row r="3596" s="18" customFormat="1" ht="14.399999999999999" customHeight="1">
      <c r="A3596" s="10" t="s">
        <v>8131</v>
      </c>
      <c r="B3596" s="10" t="s">
        <v>8132</v>
      </c>
      <c r="C3596" s="13" t="n">
        <v>8849</v>
      </c>
      <c r="D3596" s="13" t="n">
        <v>14137</v>
      </c>
      <c r="E3596" s="6" t="n">
        <f>SUM(C3596,D3596)/2</f>
        <v>11493</v>
      </c>
      <c r="F3596" s="12" t="n">
        <v>5007</v>
      </c>
      <c r="G3596" s="12" t="n">
        <v>6139</v>
      </c>
      <c r="H3596" s="6" t="n">
        <f>SUM(F3596,G3596)/2</f>
        <v>5573</v>
      </c>
    </row>
    <row r="3597" s="18" customFormat="1" ht="14.399999999999999" customHeight="1">
      <c r="A3597" s="10" t="s">
        <v>4639</v>
      </c>
      <c r="B3597" s="10" t="s">
        <v>4640</v>
      </c>
      <c r="C3597" s="13" t="n">
        <v>29487</v>
      </c>
      <c r="D3597" s="13" t="n">
        <v>47105</v>
      </c>
      <c r="E3597" s="6" t="n">
        <f>SUM(C3597,D3597)/2</f>
        <v>38296</v>
      </c>
      <c r="F3597" s="12" t="n">
        <v>4516</v>
      </c>
      <c r="G3597" s="12" t="n">
        <v>6415</v>
      </c>
      <c r="H3597" s="6" t="n">
        <f>SUM(F3597,G3597)/2</f>
        <v>5465.5</v>
      </c>
    </row>
    <row r="3598" s="18" customFormat="1" ht="14.399999999999999" customHeight="1">
      <c r="A3598" s="10" t="s">
        <v>5263</v>
      </c>
      <c r="B3598" s="10" t="s">
        <v>5264</v>
      </c>
      <c r="C3598" s="13" t="n">
        <v>487399</v>
      </c>
      <c r="D3598" s="13" t="n">
        <v>778573</v>
      </c>
      <c r="E3598" s="6" t="n">
        <f>SUM(C3598,D3598)/2</f>
        <v>632986</v>
      </c>
      <c r="F3598" s="12" t="n">
        <v>67711</v>
      </c>
      <c r="G3598" s="12" t="n">
        <v>171748</v>
      </c>
      <c r="H3598" s="6" t="n">
        <f>SUM(F3598,G3598)/2</f>
        <v>119729.5</v>
      </c>
    </row>
    <row r="3599" s="18" customFormat="1" ht="14.399999999999999" customHeight="1">
      <c r="A3599" s="10" t="s">
        <v>2332</v>
      </c>
      <c r="B3599" s="10" t="s">
        <v>2333</v>
      </c>
      <c r="C3599" s="10" t="n">
        <v>3</v>
      </c>
      <c r="D3599" s="10" t="n">
        <v>5</v>
      </c>
      <c r="E3599" s="6" t="n">
        <f>SUM(C3599,D3599)/2</f>
        <v>4</v>
      </c>
      <c r="F3599" s="18" t="n">
        <v>4</v>
      </c>
      <c r="G3599" s="18" t="n">
        <v>5</v>
      </c>
      <c r="H3599" s="6" t="n">
        <f>SUM(F3599,G3599)/2</f>
        <v>4.5</v>
      </c>
    </row>
    <row r="3600" s="18" customFormat="1" ht="14.399999999999999" customHeight="1">
      <c r="A3600" s="10" t="s">
        <v>4013</v>
      </c>
      <c r="B3600" s="10" t="s">
        <v>4014</v>
      </c>
      <c r="C3600" s="13" t="n">
        <v>26386</v>
      </c>
      <c r="D3600" s="13" t="n">
        <v>42148</v>
      </c>
      <c r="E3600" s="6" t="n">
        <f>SUM(C3600,D3600)/2</f>
        <v>34267</v>
      </c>
      <c r="F3600" s="12" t="n">
        <v>14318</v>
      </c>
      <c r="G3600" s="12" t="n">
        <v>20333</v>
      </c>
      <c r="H3600" s="6" t="n">
        <f>SUM(F3600,G3600)/2</f>
        <v>17325.5</v>
      </c>
    </row>
    <row r="3601" s="18" customFormat="1" ht="14.399999999999999" customHeight="1">
      <c r="A3601" s="10" t="s">
        <v>2827</v>
      </c>
      <c r="B3601" s="10" t="s">
        <v>2828</v>
      </c>
      <c r="C3601" s="10" t="n">
        <v>1</v>
      </c>
      <c r="D3601" s="10" t="n">
        <v>1</v>
      </c>
      <c r="E3601" s="6" t="n">
        <f>SUM(C3601,D3601)/2</f>
        <v>1</v>
      </c>
      <c r="F3601" s="18" t="n">
        <v>0</v>
      </c>
      <c r="G3601" s="18" t="n">
        <v>0</v>
      </c>
      <c r="H3601" s="6" t="n">
        <f>SUM(F3601,G3601)/2</f>
        <v>0</v>
      </c>
    </row>
    <row r="3602" s="18" customFormat="1" ht="14.399999999999999" customHeight="1">
      <c r="A3602" s="10" t="s">
        <v>1087</v>
      </c>
      <c r="B3602" s="10" t="s">
        <v>1088</v>
      </c>
      <c r="C3602" s="13" t="n">
        <v>70816</v>
      </c>
      <c r="D3602" s="13" t="n">
        <v>113122</v>
      </c>
      <c r="E3602" s="6" t="n">
        <f>SUM(C3602,D3602)/2</f>
        <v>91969</v>
      </c>
      <c r="F3602" s="12" t="n">
        <v>160822</v>
      </c>
      <c r="G3602" s="12" t="n">
        <v>198155</v>
      </c>
      <c r="H3602" s="6" t="n">
        <f>SUM(F3602,G3602)/2</f>
        <v>179488.5</v>
      </c>
    </row>
    <row r="3603" s="18" customFormat="1" ht="14.399999999999999" customHeight="1">
      <c r="A3603" s="10" t="s">
        <v>985</v>
      </c>
      <c r="B3603" s="10" t="s">
        <v>986</v>
      </c>
      <c r="C3603" s="13" t="n">
        <v>881630</v>
      </c>
      <c r="D3603" s="13" t="n">
        <v>1408318</v>
      </c>
      <c r="E3603" s="6" t="n">
        <f>SUM(C3603,D3603)/2</f>
        <v>1144974</v>
      </c>
      <c r="F3603" s="12" t="n">
        <v>22648</v>
      </c>
      <c r="G3603" s="12" t="n">
        <v>30487</v>
      </c>
      <c r="H3603" s="6" t="n">
        <f>SUM(F3603,G3603)/2</f>
        <v>26567.5</v>
      </c>
    </row>
    <row r="3604" s="18" customFormat="1" ht="14.399999999999999" customHeight="1">
      <c r="A3604" s="10" t="s">
        <v>3037</v>
      </c>
      <c r="B3604" s="10" t="s">
        <v>3038</v>
      </c>
      <c r="C3604" s="10" t="n">
        <v>0</v>
      </c>
      <c r="D3604" s="10" t="n">
        <v>0</v>
      </c>
      <c r="E3604" s="6" t="n">
        <f>SUM(C3604,D3604)/2</f>
        <v>0</v>
      </c>
      <c r="F3604" s="18" t="n">
        <v>0</v>
      </c>
      <c r="G3604" s="18" t="n">
        <v>0</v>
      </c>
      <c r="H3604" s="6" t="n">
        <f>SUM(F3604,G3604)/2</f>
        <v>0</v>
      </c>
    </row>
    <row r="3605" s="18" customFormat="1" ht="14.399999999999999" customHeight="1">
      <c r="A3605" s="10" t="s">
        <v>8133</v>
      </c>
      <c r="B3605" s="10" t="s">
        <v>8134</v>
      </c>
      <c r="C3605" s="10"/>
      <c r="D3605" s="10"/>
      <c r="E3605" s="6" t="n">
        <f>SUM(C3605,D3605)/2</f>
        <v>0</v>
      </c>
      <c r="F3605" s="13" t="n">
        <v>11077565</v>
      </c>
      <c r="G3605" s="12" t="n">
        <v>14574856</v>
      </c>
      <c r="H3605" s="6" t="n">
        <f>SUM(F3605,G3605)/2</f>
        <v>12826210.5</v>
      </c>
    </row>
    <row r="3606" s="18" customFormat="1" ht="14.399999999999999" customHeight="1">
      <c r="A3606" s="10" t="s">
        <v>1030</v>
      </c>
      <c r="B3606" s="10" t="s">
        <v>147</v>
      </c>
      <c r="C3606" s="13" t="n">
        <v>3580</v>
      </c>
      <c r="D3606" s="13" t="n">
        <v>5718</v>
      </c>
      <c r="E3606" s="6" t="n">
        <f>SUM(C3606,D3606)/2</f>
        <v>4649</v>
      </c>
      <c r="F3606" s="12" t="n">
        <v>4804</v>
      </c>
      <c r="G3606" s="12" t="n">
        <v>6706</v>
      </c>
      <c r="H3606" s="6" t="n">
        <f>SUM(F3606,G3606)/2</f>
        <v>5755</v>
      </c>
    </row>
    <row r="3607" s="18" customFormat="1" ht="14.399999999999999" customHeight="1">
      <c r="A3607" s="10" t="s">
        <v>4</v>
      </c>
      <c r="B3607" s="10" t="s">
        <v>5</v>
      </c>
      <c r="C3607" s="13" t="n">
        <v>48517487</v>
      </c>
      <c r="D3607" s="13" t="n">
        <v>77501959</v>
      </c>
      <c r="E3607" s="6" t="n">
        <f>SUM(C3607,D3607)/2</f>
        <v>63009723</v>
      </c>
      <c r="F3607" s="12" t="n">
        <v>4251443</v>
      </c>
      <c r="G3607" s="12" t="n">
        <v>6013991</v>
      </c>
      <c r="H3607" s="6" t="n">
        <f>SUM(F3607,G3607)/2</f>
        <v>5132717</v>
      </c>
    </row>
    <row r="3608" s="18" customFormat="1" ht="14.399999999999999" customHeight="1">
      <c r="A3608" s="10" t="s">
        <v>3075</v>
      </c>
      <c r="B3608" s="10" t="s">
        <v>3076</v>
      </c>
      <c r="C3608" s="13" t="n">
        <v>188550</v>
      </c>
      <c r="D3608" s="13" t="n">
        <v>301188</v>
      </c>
      <c r="E3608" s="6" t="n">
        <f>SUM(C3608,D3608)/2</f>
        <v>244869</v>
      </c>
      <c r="F3608" s="12" t="n">
        <v>6193</v>
      </c>
      <c r="G3608" s="12" t="n">
        <v>26225</v>
      </c>
      <c r="H3608" s="6" t="n">
        <f>SUM(F3608,G3608)/2</f>
        <v>16209</v>
      </c>
    </row>
    <row r="3609" s="18" customFormat="1" ht="14.399999999999999" customHeight="1">
      <c r="A3609" s="10" t="s">
        <v>3579</v>
      </c>
      <c r="B3609" s="10" t="s">
        <v>3580</v>
      </c>
      <c r="C3609" s="13" t="n">
        <v>48021</v>
      </c>
      <c r="D3609" s="13" t="n">
        <v>76709</v>
      </c>
      <c r="E3609" s="6" t="n">
        <f>SUM(C3609,D3609)/2</f>
        <v>62365</v>
      </c>
      <c r="F3609" s="12" t="n">
        <v>22099</v>
      </c>
      <c r="G3609" s="12" t="n">
        <v>29119</v>
      </c>
      <c r="H3609" s="6" t="n">
        <f>SUM(F3609,G3609)/2</f>
        <v>25609</v>
      </c>
    </row>
    <row r="3610" s="18" customFormat="1" ht="14.399999999999999" customHeight="1">
      <c r="A3610" s="10" t="s">
        <v>4315</v>
      </c>
      <c r="B3610" s="10" t="s">
        <v>4316</v>
      </c>
      <c r="C3610" s="13" t="n">
        <v>14331</v>
      </c>
      <c r="D3610" s="13" t="n">
        <v>22893</v>
      </c>
      <c r="E3610" s="6" t="n">
        <f>SUM(C3610,D3610)/2</f>
        <v>18612</v>
      </c>
      <c r="F3610" s="12" t="n">
        <v>11317</v>
      </c>
      <c r="G3610" s="12" t="n">
        <v>17056</v>
      </c>
      <c r="H3610" s="6" t="n">
        <f>SUM(F3610,G3610)/2</f>
        <v>14186.5</v>
      </c>
    </row>
    <row r="3611" s="18" customFormat="1" ht="14.399999999999999" customHeight="1">
      <c r="A3611" s="10" t="s">
        <v>8135</v>
      </c>
      <c r="B3611" s="10" t="s">
        <v>8136</v>
      </c>
      <c r="C3611" s="10" t="n">
        <v>380</v>
      </c>
      <c r="D3611" s="10" t="n">
        <v>608</v>
      </c>
      <c r="E3611" s="6" t="n">
        <f>SUM(C3611,D3611)/2</f>
        <v>494</v>
      </c>
      <c r="F3611" s="18" t="n">
        <v>228</v>
      </c>
      <c r="G3611" s="18" t="n">
        <v>317</v>
      </c>
      <c r="H3611" s="6" t="n">
        <f>SUM(F3611,G3611)/2</f>
        <v>272.5</v>
      </c>
    </row>
    <row r="3612" s="18" customFormat="1" ht="14.399999999999999" customHeight="1">
      <c r="A3612" s="10" t="s">
        <v>5003</v>
      </c>
      <c r="B3612" s="10" t="s">
        <v>5004</v>
      </c>
      <c r="C3612" s="13" t="n">
        <v>8120</v>
      </c>
      <c r="D3612" s="13" t="n">
        <v>12974</v>
      </c>
      <c r="E3612" s="6" t="n">
        <f>SUM(C3612,D3612)/2</f>
        <v>10547</v>
      </c>
      <c r="F3612" s="12" t="n">
        <v>6317</v>
      </c>
      <c r="G3612" s="12" t="n">
        <v>8543</v>
      </c>
      <c r="H3612" s="6" t="n">
        <f>SUM(F3612,G3612)/2</f>
        <v>7430</v>
      </c>
    </row>
    <row r="3613" s="18" customFormat="1" ht="14.399999999999999" customHeight="1">
      <c r="A3613" s="10" t="s">
        <v>1887</v>
      </c>
      <c r="B3613" s="10" t="s">
        <v>1888</v>
      </c>
      <c r="C3613" s="10" t="n">
        <v>32</v>
      </c>
      <c r="D3613" s="10" t="n">
        <v>50</v>
      </c>
      <c r="E3613" s="6" t="n">
        <f>SUM(C3613,D3613)/2</f>
        <v>41</v>
      </c>
      <c r="F3613" s="18" t="n">
        <v>8</v>
      </c>
      <c r="G3613" s="18" t="n">
        <v>11</v>
      </c>
      <c r="H3613" s="6" t="n">
        <f>SUM(F3613,G3613)/2</f>
        <v>9.5</v>
      </c>
    </row>
    <row r="3614" s="18" customFormat="1" ht="14.399999999999999" customHeight="1">
      <c r="A3614" s="10" t="s">
        <v>2250</v>
      </c>
      <c r="B3614" s="10" t="s">
        <v>2251</v>
      </c>
      <c r="C3614" s="10" t="n">
        <v>9</v>
      </c>
      <c r="D3614" s="10" t="n">
        <v>13</v>
      </c>
      <c r="E3614" s="6" t="n">
        <f>SUM(C3614,D3614)/2</f>
        <v>11</v>
      </c>
      <c r="F3614" s="18" t="n">
        <v>3</v>
      </c>
      <c r="G3614" s="18" t="n">
        <v>6</v>
      </c>
      <c r="H3614" s="6" t="n">
        <f>SUM(F3614,G3614)/2</f>
        <v>4.5</v>
      </c>
    </row>
    <row r="3615" s="18" customFormat="1" ht="14.399999999999999" customHeight="1">
      <c r="A3615" s="10" t="s">
        <v>3607</v>
      </c>
      <c r="B3615" s="10" t="s">
        <v>3608</v>
      </c>
      <c r="C3615" s="13" t="n">
        <v>49795</v>
      </c>
      <c r="D3615" s="13" t="n">
        <v>79543</v>
      </c>
      <c r="E3615" s="6" t="n">
        <f>SUM(C3615,D3615)/2</f>
        <v>64669</v>
      </c>
      <c r="F3615" s="12" t="n">
        <v>19138</v>
      </c>
      <c r="G3615" s="12" t="n">
        <v>27808</v>
      </c>
      <c r="H3615" s="6" t="n">
        <f>SUM(F3615,G3615)/2</f>
        <v>23473</v>
      </c>
    </row>
    <row r="3616" s="18" customFormat="1" ht="14.399999999999999" customHeight="1">
      <c r="A3616" s="10" t="s">
        <v>2096</v>
      </c>
      <c r="B3616" s="10" t="s">
        <v>2097</v>
      </c>
      <c r="C3616" s="10" t="n">
        <v>12</v>
      </c>
      <c r="D3616" s="10" t="n">
        <v>20</v>
      </c>
      <c r="E3616" s="6" t="n">
        <f>SUM(C3616,D3616)/2</f>
        <v>16</v>
      </c>
      <c r="F3616" s="18" t="n">
        <v>5</v>
      </c>
      <c r="G3616" s="18" t="n">
        <v>7</v>
      </c>
      <c r="H3616" s="6" t="n">
        <f>SUM(F3616,G3616)/2</f>
        <v>6</v>
      </c>
    </row>
    <row r="3617" s="18" customFormat="1" ht="14.399999999999999" customHeight="1">
      <c r="A3617" s="10" t="s">
        <v>2486</v>
      </c>
      <c r="B3617" s="10" t="s">
        <v>2487</v>
      </c>
      <c r="C3617" s="10" t="n">
        <v>5</v>
      </c>
      <c r="D3617" s="10" t="n">
        <v>7</v>
      </c>
      <c r="E3617" s="6" t="n">
        <f>SUM(C3617,D3617)/2</f>
        <v>6</v>
      </c>
      <c r="F3617" s="18" t="n">
        <v>2</v>
      </c>
      <c r="G3617" s="18" t="n">
        <v>2</v>
      </c>
      <c r="H3617" s="6" t="n">
        <f>SUM(F3617,G3617)/2</f>
        <v>2</v>
      </c>
    </row>
    <row r="3618" s="18" customFormat="1" ht="14.399999999999999" customHeight="1">
      <c r="A3618" s="10" t="s">
        <v>202</v>
      </c>
      <c r="B3618" s="10" t="s">
        <v>203</v>
      </c>
      <c r="C3618" s="13" t="n">
        <v>11158572</v>
      </c>
      <c r="D3618" s="13" t="n">
        <v>17824732</v>
      </c>
      <c r="E3618" s="6" t="n">
        <f>SUM(C3618,D3618)/2</f>
        <v>14491652</v>
      </c>
      <c r="F3618" s="13" t="n">
        <v>2227121</v>
      </c>
      <c r="G3618" s="12" t="n">
        <v>3573568</v>
      </c>
      <c r="H3618" s="6" t="n">
        <f>SUM(F3618,G3618)/2</f>
        <v>2900344.5</v>
      </c>
    </row>
    <row r="3619" s="18" customFormat="1" ht="14.399999999999999" customHeight="1">
      <c r="A3619" s="10" t="s">
        <v>3603</v>
      </c>
      <c r="B3619" s="10" t="s">
        <v>3604</v>
      </c>
      <c r="C3619" s="13" t="n">
        <v>43435</v>
      </c>
      <c r="D3619" s="13" t="n">
        <v>69383</v>
      </c>
      <c r="E3619" s="6" t="n">
        <f>SUM(C3619,D3619)/2</f>
        <v>56409</v>
      </c>
      <c r="F3619" s="12" t="n">
        <v>17799</v>
      </c>
      <c r="G3619" s="12" t="n">
        <v>32914</v>
      </c>
      <c r="H3619" s="6" t="n">
        <f>SUM(F3619,G3619)/2</f>
        <v>25356.5</v>
      </c>
    </row>
    <row r="3620" s="18" customFormat="1" ht="14.399999999999999" customHeight="1">
      <c r="A3620" s="10" t="s">
        <v>4203</v>
      </c>
      <c r="B3620" s="10" t="s">
        <v>4204</v>
      </c>
      <c r="C3620" s="13" t="n">
        <v>47725</v>
      </c>
      <c r="D3620" s="13" t="n">
        <v>76235</v>
      </c>
      <c r="E3620" s="6" t="n">
        <f>SUM(C3620,D3620)/2</f>
        <v>61980</v>
      </c>
      <c r="F3620" s="12" t="n">
        <v>5348</v>
      </c>
      <c r="G3620" s="12" t="n">
        <v>8651</v>
      </c>
      <c r="H3620" s="6" t="n">
        <f>SUM(F3620,G3620)/2</f>
        <v>6999.5</v>
      </c>
    </row>
    <row r="3621" s="18" customFormat="1" ht="14.399999999999999" customHeight="1">
      <c r="A3621" s="10" t="s">
        <v>8137</v>
      </c>
      <c r="B3621" s="10" t="s">
        <v>8138</v>
      </c>
      <c r="C3621" s="13" t="n">
        <v>2836</v>
      </c>
      <c r="D3621" s="13" t="n">
        <v>4530</v>
      </c>
      <c r="E3621" s="6" t="n">
        <f>SUM(C3621,D3621)/2</f>
        <v>3683</v>
      </c>
      <c r="F3621" s="12" t="n">
        <v>5955</v>
      </c>
      <c r="G3621" s="12" t="n">
        <v>8049</v>
      </c>
      <c r="H3621" s="6" t="n">
        <f>SUM(F3621,G3621)/2</f>
        <v>7002</v>
      </c>
    </row>
    <row r="3622" s="18" customFormat="1" ht="14.399999999999999" customHeight="1">
      <c r="A3622" s="10" t="s">
        <v>8139</v>
      </c>
      <c r="B3622" s="10" t="s">
        <v>8140</v>
      </c>
      <c r="C3622" s="13" t="n">
        <v>17455</v>
      </c>
      <c r="D3622" s="13" t="n">
        <v>27883</v>
      </c>
      <c r="E3622" s="6" t="n">
        <f>SUM(C3622,D3622)/2</f>
        <v>22669</v>
      </c>
      <c r="F3622" s="12" t="n">
        <v>6663</v>
      </c>
      <c r="G3622" s="12" t="n">
        <v>9256</v>
      </c>
      <c r="H3622" s="6" t="n">
        <f>SUM(F3622,G3622)/2</f>
        <v>7959.5</v>
      </c>
    </row>
    <row r="3623" s="18" customFormat="1" ht="14.399999999999999" customHeight="1">
      <c r="A3623" s="10" t="s">
        <v>3379</v>
      </c>
      <c r="B3623" s="10" t="s">
        <v>3380</v>
      </c>
      <c r="C3623" s="13" t="n">
        <v>133155</v>
      </c>
      <c r="D3623" s="13" t="n">
        <v>212703</v>
      </c>
      <c r="E3623" s="6" t="n">
        <f>SUM(C3623,D3623)/2</f>
        <v>172929</v>
      </c>
      <c r="F3623" s="12" t="n">
        <v>8500</v>
      </c>
      <c r="G3623" s="12" t="n">
        <v>13417</v>
      </c>
      <c r="H3623" s="6" t="n">
        <f>SUM(F3623,G3623)/2</f>
        <v>10958.5</v>
      </c>
    </row>
    <row r="3624" s="18" customFormat="1" ht="14.399999999999999" customHeight="1">
      <c r="A3624" s="10" t="s">
        <v>3107</v>
      </c>
      <c r="B3624" s="10" t="s">
        <v>3108</v>
      </c>
      <c r="C3624" s="13" t="n">
        <v>234424</v>
      </c>
      <c r="D3624" s="13" t="n">
        <v>374470</v>
      </c>
      <c r="E3624" s="6" t="n">
        <f>SUM(C3624,D3624)/2</f>
        <v>304447</v>
      </c>
      <c r="F3624" s="12" t="n">
        <v>18059</v>
      </c>
      <c r="G3624" s="12" t="n">
        <v>27383</v>
      </c>
      <c r="H3624" s="6" t="n">
        <f>SUM(F3624,G3624)/2</f>
        <v>22721</v>
      </c>
    </row>
    <row r="3625" s="18" customFormat="1" ht="14.399999999999999" customHeight="1">
      <c r="A3625" s="10" t="s">
        <v>3173</v>
      </c>
      <c r="B3625" s="10" t="s">
        <v>3174</v>
      </c>
      <c r="C3625" s="13" t="n">
        <v>114962</v>
      </c>
      <c r="D3625" s="13" t="n">
        <v>183640</v>
      </c>
      <c r="E3625" s="6" t="n">
        <f>SUM(C3625,D3625)/2</f>
        <v>149301</v>
      </c>
      <c r="F3625" s="12" t="n">
        <v>24816</v>
      </c>
      <c r="G3625" s="12" t="n">
        <v>35722</v>
      </c>
      <c r="H3625" s="6" t="n">
        <f>SUM(F3625,G3625)/2</f>
        <v>30269</v>
      </c>
    </row>
    <row r="3626" s="18" customFormat="1" ht="14.399999999999999" customHeight="1">
      <c r="A3626" s="10" t="s">
        <v>3255</v>
      </c>
      <c r="B3626" s="10" t="s">
        <v>3256</v>
      </c>
      <c r="C3626" s="13" t="n">
        <v>98138</v>
      </c>
      <c r="D3626" s="13" t="n">
        <v>156766</v>
      </c>
      <c r="E3626" s="6" t="n">
        <f>SUM(C3626,D3626)/2</f>
        <v>127452</v>
      </c>
      <c r="F3626" s="12" t="n">
        <v>23112</v>
      </c>
      <c r="G3626" s="12" t="n">
        <v>36444</v>
      </c>
      <c r="H3626" s="6" t="n">
        <f>SUM(F3626,G3626)/2</f>
        <v>29778</v>
      </c>
    </row>
    <row r="3627" s="18" customFormat="1" ht="14.399999999999999" customHeight="1">
      <c r="A3627" s="10" t="s">
        <v>8141</v>
      </c>
      <c r="B3627" s="10" t="s">
        <v>8142</v>
      </c>
      <c r="C3627" s="10" t="n">
        <v>402</v>
      </c>
      <c r="D3627" s="10" t="n">
        <v>642</v>
      </c>
      <c r="E3627" s="6" t="n">
        <f>SUM(C3627,D3627)/2</f>
        <v>522</v>
      </c>
      <c r="F3627" s="18" t="n">
        <v>128</v>
      </c>
      <c r="G3627" s="18" t="n">
        <v>163</v>
      </c>
      <c r="H3627" s="6" t="n">
        <f>SUM(F3627,G3627)/2</f>
        <v>145.5</v>
      </c>
    </row>
    <row r="3628" s="18" customFormat="1" ht="14.399999999999999" customHeight="1">
      <c r="A3628" s="10" t="s">
        <v>8143</v>
      </c>
      <c r="B3628" s="10" t="s">
        <v>8144</v>
      </c>
      <c r="C3628" s="13" t="n">
        <v>230043</v>
      </c>
      <c r="D3628" s="13" t="n">
        <v>367473</v>
      </c>
      <c r="E3628" s="6" t="n">
        <f>SUM(C3628,D3628)/2</f>
        <v>298758</v>
      </c>
      <c r="F3628" s="12" t="n">
        <v>37878</v>
      </c>
      <c r="G3628" s="12" t="n">
        <v>69397</v>
      </c>
      <c r="H3628" s="6" t="n">
        <f>SUM(F3628,G3628)/2</f>
        <v>53637.5</v>
      </c>
    </row>
    <row r="3629" s="18" customFormat="1" ht="14.399999999999999" customHeight="1">
      <c r="A3629" s="10" t="s">
        <v>1805</v>
      </c>
      <c r="B3629" s="10" t="s">
        <v>1806</v>
      </c>
      <c r="C3629" s="10" t="n">
        <v>173</v>
      </c>
      <c r="D3629" s="10" t="n">
        <v>275</v>
      </c>
      <c r="E3629" s="6" t="n">
        <f>SUM(C3629,D3629)/2</f>
        <v>224</v>
      </c>
      <c r="F3629" s="18" t="n">
        <v>143</v>
      </c>
      <c r="G3629" s="18" t="n">
        <v>165</v>
      </c>
      <c r="H3629" s="6" t="n">
        <f>SUM(F3629,G3629)/2</f>
        <v>154</v>
      </c>
    </row>
    <row r="3630" s="18" customFormat="1" ht="14.399999999999999" customHeight="1">
      <c r="A3630" s="10" t="s">
        <v>2612</v>
      </c>
      <c r="B3630" s="10" t="s">
        <v>2613</v>
      </c>
      <c r="C3630" s="10" t="n">
        <v>3</v>
      </c>
      <c r="D3630" s="10" t="n">
        <v>3</v>
      </c>
      <c r="E3630" s="6" t="n">
        <f>SUM(C3630,D3630)/2</f>
        <v>3</v>
      </c>
      <c r="F3630" s="18" t="n">
        <v>1</v>
      </c>
      <c r="G3630" s="18" t="n">
        <v>1</v>
      </c>
      <c r="H3630" s="6" t="n">
        <f>SUM(F3630,G3630)/2</f>
        <v>1</v>
      </c>
    </row>
    <row r="3631" s="18" customFormat="1" ht="14.399999999999999" customHeight="1">
      <c r="A3631" s="10" t="s">
        <v>1693</v>
      </c>
      <c r="B3631" s="10" t="s">
        <v>1694</v>
      </c>
      <c r="C3631" s="10" t="n">
        <v>80</v>
      </c>
      <c r="D3631" s="10" t="n">
        <v>128</v>
      </c>
      <c r="E3631" s="6" t="n">
        <f>SUM(C3631,D3631)/2</f>
        <v>104</v>
      </c>
      <c r="F3631" s="18" t="n">
        <v>10</v>
      </c>
      <c r="G3631" s="18" t="n">
        <v>15</v>
      </c>
      <c r="H3631" s="6" t="n">
        <f>SUM(F3631,G3631)/2</f>
        <v>12.5</v>
      </c>
    </row>
    <row r="3632" s="18" customFormat="1" ht="14.399999999999999" customHeight="1">
      <c r="A3632" s="10" t="s">
        <v>8145</v>
      </c>
      <c r="B3632" s="10" t="s">
        <v>8146</v>
      </c>
      <c r="C3632" s="13" t="n">
        <v>22111</v>
      </c>
      <c r="D3632" s="13" t="n">
        <v>35321</v>
      </c>
      <c r="E3632" s="6" t="n">
        <f>SUM(C3632,D3632)/2</f>
        <v>28716</v>
      </c>
      <c r="F3632" s="12" t="n">
        <v>5727</v>
      </c>
      <c r="G3632" s="12" t="n">
        <v>7414</v>
      </c>
      <c r="H3632" s="6" t="n">
        <f>SUM(F3632,G3632)/2</f>
        <v>6570.5</v>
      </c>
    </row>
    <row r="3633" s="18" customFormat="1" ht="14.399999999999999" customHeight="1">
      <c r="A3633" s="10" t="s">
        <v>8147</v>
      </c>
      <c r="B3633" s="10" t="s">
        <v>8148</v>
      </c>
      <c r="C3633" s="13" t="n">
        <v>21946</v>
      </c>
      <c r="D3633" s="13" t="n">
        <v>35054</v>
      </c>
      <c r="E3633" s="6" t="n">
        <f>SUM(C3633,D3633)/2</f>
        <v>28500</v>
      </c>
      <c r="F3633" s="12" t="n">
        <v>5152</v>
      </c>
      <c r="G3633" s="12" t="n">
        <v>7701</v>
      </c>
      <c r="H3633" s="6" t="n">
        <f>SUM(F3633,G3633)/2</f>
        <v>6426.5</v>
      </c>
    </row>
    <row r="3634" s="18" customFormat="1" ht="14.399999999999999" customHeight="1">
      <c r="A3634" s="10" t="s">
        <v>3203</v>
      </c>
      <c r="B3634" s="10" t="s">
        <v>3204</v>
      </c>
      <c r="C3634" s="13" t="n">
        <v>80830</v>
      </c>
      <c r="D3634" s="13" t="n">
        <v>129116</v>
      </c>
      <c r="E3634" s="6" t="n">
        <f>SUM(C3634,D3634)/2</f>
        <v>104973</v>
      </c>
      <c r="F3634" s="12" t="n">
        <v>29577</v>
      </c>
      <c r="G3634" s="12" t="n">
        <v>45083</v>
      </c>
      <c r="H3634" s="6" t="n">
        <f>SUM(F3634,G3634)/2</f>
        <v>37330</v>
      </c>
    </row>
    <row r="3635" s="18" customFormat="1" ht="14.399999999999999" customHeight="1">
      <c r="A3635" s="10" t="s">
        <v>8149</v>
      </c>
      <c r="B3635" s="10" t="s">
        <v>8150</v>
      </c>
      <c r="C3635" s="13" t="n">
        <v>5190</v>
      </c>
      <c r="D3635" s="13" t="n">
        <v>8291</v>
      </c>
      <c r="E3635" s="6" t="n">
        <f>SUM(C3635,D3635)/2</f>
        <v>6740.5</v>
      </c>
      <c r="F3635" s="12" t="n">
        <v>3768</v>
      </c>
      <c r="G3635" s="12" t="n">
        <v>4471</v>
      </c>
      <c r="H3635" s="6" t="n">
        <f>SUM(F3635,G3635)/2</f>
        <v>4119.5</v>
      </c>
    </row>
    <row r="3636" s="18" customFormat="1" ht="14.399999999999999" customHeight="1">
      <c r="A3636" s="10" t="s">
        <v>8151</v>
      </c>
      <c r="B3636" s="10" t="s">
        <v>8152</v>
      </c>
      <c r="C3636" s="13" t="n">
        <v>18410</v>
      </c>
      <c r="D3636" s="13" t="n">
        <v>29410</v>
      </c>
      <c r="E3636" s="6" t="n">
        <f>SUM(C3636,D3636)/2</f>
        <v>23910</v>
      </c>
      <c r="F3636" s="12" t="n">
        <v>4716</v>
      </c>
      <c r="G3636" s="12" t="n">
        <v>6760</v>
      </c>
      <c r="H3636" s="6" t="n">
        <f>SUM(F3636,G3636)/2</f>
        <v>5738</v>
      </c>
    </row>
    <row r="3637" s="18" customFormat="1" ht="14.399999999999999" customHeight="1">
      <c r="A3637" s="10" t="s">
        <v>8153</v>
      </c>
      <c r="B3637" s="10" t="s">
        <v>8154</v>
      </c>
      <c r="C3637" s="13" t="n">
        <v>7340</v>
      </c>
      <c r="D3637" s="13" t="n">
        <v>11722</v>
      </c>
      <c r="E3637" s="6" t="n">
        <f>SUM(C3637,D3637)/2</f>
        <v>9531</v>
      </c>
      <c r="F3637" s="12" t="n">
        <v>4870</v>
      </c>
      <c r="G3637" s="12" t="n">
        <v>7846</v>
      </c>
      <c r="H3637" s="6" t="n">
        <f>SUM(F3637,G3637)/2</f>
        <v>6358</v>
      </c>
    </row>
    <row r="3638" s="18" customFormat="1" ht="14.399999999999999" customHeight="1">
      <c r="A3638" s="10" t="s">
        <v>8155</v>
      </c>
      <c r="B3638" s="10" t="s">
        <v>8156</v>
      </c>
      <c r="C3638" s="13" t="n">
        <v>65922</v>
      </c>
      <c r="D3638" s="13" t="n">
        <v>105304</v>
      </c>
      <c r="E3638" s="6" t="n">
        <f>SUM(C3638,D3638)/2</f>
        <v>85613</v>
      </c>
      <c r="F3638" s="12" t="n">
        <v>22329</v>
      </c>
      <c r="G3638" s="12" t="n">
        <v>35423</v>
      </c>
      <c r="H3638" s="6" t="n">
        <f>SUM(F3638,G3638)/2</f>
        <v>28876</v>
      </c>
    </row>
    <row r="3639" s="18" customFormat="1" ht="14.399999999999999" customHeight="1">
      <c r="A3639" s="10" t="s">
        <v>2236</v>
      </c>
      <c r="B3639" s="10" t="s">
        <v>2237</v>
      </c>
      <c r="C3639" s="10" t="n">
        <v>0</v>
      </c>
      <c r="D3639" s="10" t="n">
        <v>0</v>
      </c>
      <c r="E3639" s="6" t="n">
        <f>SUM(C3639,D3639)/2</f>
        <v>0</v>
      </c>
      <c r="F3639" s="18" t="n">
        <v>6</v>
      </c>
      <c r="G3639" s="18" t="n">
        <v>8</v>
      </c>
      <c r="H3639" s="6" t="n">
        <f>SUM(F3639,G3639)/2</f>
        <v>7</v>
      </c>
    </row>
    <row r="3640" s="18" customFormat="1" ht="14.399999999999999" customHeight="1">
      <c r="A3640" s="10" t="s">
        <v>4955</v>
      </c>
      <c r="B3640" s="10" t="s">
        <v>4956</v>
      </c>
      <c r="C3640" s="13" t="n">
        <v>10368</v>
      </c>
      <c r="D3640" s="13" t="n">
        <v>16564</v>
      </c>
      <c r="E3640" s="6" t="n">
        <f>SUM(C3640,D3640)/2</f>
        <v>13466</v>
      </c>
      <c r="F3640" s="12" t="n">
        <v>5906</v>
      </c>
      <c r="G3640" s="12" t="n">
        <v>8671</v>
      </c>
      <c r="H3640" s="6" t="n">
        <f>SUM(F3640,G3640)/2</f>
        <v>7288.5</v>
      </c>
    </row>
    <row r="3641" s="18" customFormat="1" ht="14.399999999999999" customHeight="1">
      <c r="A3641" s="10" t="s">
        <v>3039</v>
      </c>
      <c r="B3641" s="10" t="s">
        <v>3040</v>
      </c>
      <c r="C3641" s="10" t="n">
        <v>0</v>
      </c>
      <c r="D3641" s="10" t="n">
        <v>0</v>
      </c>
      <c r="E3641" s="6" t="n">
        <f>SUM(C3641,D3641)/2</f>
        <v>0</v>
      </c>
      <c r="F3641" s="18" t="n">
        <v>0</v>
      </c>
      <c r="G3641" s="18" t="n">
        <v>0</v>
      </c>
      <c r="H3641" s="6" t="n">
        <f>SUM(F3641,G3641)/2</f>
        <v>0</v>
      </c>
    </row>
    <row r="3642" s="18" customFormat="1" ht="14.399999999999999" customHeight="1">
      <c r="A3642" s="10" t="s">
        <v>1198</v>
      </c>
      <c r="B3642" s="10" t="s">
        <v>1199</v>
      </c>
      <c r="C3642" s="13" t="n">
        <v>130612</v>
      </c>
      <c r="D3642" s="13" t="n">
        <v>208638</v>
      </c>
      <c r="E3642" s="6" t="n">
        <f>SUM(C3642,D3642)/2</f>
        <v>169625</v>
      </c>
      <c r="F3642" s="12" t="n">
        <v>55752</v>
      </c>
      <c r="G3642" s="12" t="n">
        <v>79368</v>
      </c>
      <c r="H3642" s="6" t="n">
        <f>SUM(F3642,G3642)/2</f>
        <v>67560</v>
      </c>
    </row>
    <row r="3643" s="18" customFormat="1" ht="14.399999999999999" customHeight="1">
      <c r="A3643" s="10" t="s">
        <v>2496</v>
      </c>
      <c r="B3643" s="10" t="s">
        <v>2497</v>
      </c>
      <c r="C3643" s="10" t="n">
        <v>2</v>
      </c>
      <c r="D3643" s="10" t="n">
        <v>4</v>
      </c>
      <c r="E3643" s="6" t="n">
        <f>SUM(C3643,D3643)/2</f>
        <v>3</v>
      </c>
      <c r="F3643" s="18" t="n">
        <v>2</v>
      </c>
      <c r="G3643" s="18" t="n">
        <v>3</v>
      </c>
      <c r="H3643" s="6" t="n">
        <f>SUM(F3643,G3643)/2</f>
        <v>2.5</v>
      </c>
    </row>
    <row r="3644" s="18" customFormat="1" ht="14.399999999999999" customHeight="1">
      <c r="A3644" s="10" t="s">
        <v>4193</v>
      </c>
      <c r="B3644" s="10" t="s">
        <v>4194</v>
      </c>
      <c r="C3644" s="13" t="n">
        <v>46346</v>
      </c>
      <c r="D3644" s="13" t="n">
        <v>74034</v>
      </c>
      <c r="E3644" s="6" t="n">
        <f>SUM(C3644,D3644)/2</f>
        <v>60190</v>
      </c>
      <c r="F3644" s="12" t="n">
        <v>6346</v>
      </c>
      <c r="G3644" s="12" t="n">
        <v>8589</v>
      </c>
      <c r="H3644" s="6" t="n">
        <f>SUM(F3644,G3644)/2</f>
        <v>7467.5</v>
      </c>
    </row>
    <row r="3645" s="18" customFormat="1" ht="14.399999999999999" customHeight="1">
      <c r="A3645" s="10" t="s">
        <v>46</v>
      </c>
      <c r="B3645" s="10" t="s">
        <v>47</v>
      </c>
      <c r="C3645" s="13" t="n">
        <v>2439370</v>
      </c>
      <c r="D3645" s="13" t="n">
        <v>3896658</v>
      </c>
      <c r="E3645" s="6" t="n">
        <f>SUM(C3645,D3645)/2</f>
        <v>3168014</v>
      </c>
      <c r="F3645" s="12" t="n">
        <v>1197520</v>
      </c>
      <c r="G3645" s="12" t="n">
        <v>1741906</v>
      </c>
      <c r="H3645" s="6" t="n">
        <f>SUM(F3645,G3645)/2</f>
        <v>1469713</v>
      </c>
    </row>
    <row r="3646" s="18" customFormat="1" ht="14.399999999999999" customHeight="1">
      <c r="A3646" s="10" t="s">
        <v>1528</v>
      </c>
      <c r="B3646" s="10" t="s">
        <v>1529</v>
      </c>
      <c r="C3646" s="13" t="n">
        <v>311379</v>
      </c>
      <c r="D3646" s="13" t="n">
        <v>497397</v>
      </c>
      <c r="E3646" s="6" t="n">
        <f>SUM(C3646,D3646)/2</f>
        <v>404388</v>
      </c>
      <c r="F3646" s="12" t="n">
        <v>41257</v>
      </c>
      <c r="G3646" s="12" t="n">
        <v>56452</v>
      </c>
      <c r="H3646" s="6" t="n">
        <f>SUM(F3646,G3646)/2</f>
        <v>48854.5</v>
      </c>
    </row>
    <row r="3647" s="18" customFormat="1" ht="14.399999999999999" customHeight="1">
      <c r="A3647" s="10" t="s">
        <v>8157</v>
      </c>
      <c r="B3647" s="10" t="s">
        <v>8158</v>
      </c>
      <c r="C3647" s="10" t="n">
        <v>86</v>
      </c>
      <c r="D3647" s="10" t="n">
        <v>138</v>
      </c>
      <c r="E3647" s="6" t="n">
        <f>SUM(C3647,D3647)/2</f>
        <v>112</v>
      </c>
      <c r="F3647" s="18" t="n">
        <v>3</v>
      </c>
      <c r="G3647" s="18" t="n">
        <v>5</v>
      </c>
      <c r="H3647" s="6" t="n">
        <f>SUM(F3647,G3647)/2</f>
        <v>4</v>
      </c>
    </row>
    <row r="3648" s="18" customFormat="1" ht="14.399999999999999" customHeight="1">
      <c r="A3648" s="10" t="s">
        <v>2079</v>
      </c>
      <c r="B3648" s="10" t="s">
        <v>2080</v>
      </c>
      <c r="C3648" s="10" t="n">
        <v>8</v>
      </c>
      <c r="D3648" s="10" t="n">
        <v>12</v>
      </c>
      <c r="E3648" s="6" t="n">
        <f>SUM(C3648,D3648)/2</f>
        <v>10</v>
      </c>
      <c r="F3648" s="18" t="n">
        <v>7</v>
      </c>
      <c r="G3648" s="18" t="n">
        <v>9</v>
      </c>
      <c r="H3648" s="6" t="n">
        <f>SUM(F3648,G3648)/2</f>
        <v>8</v>
      </c>
    </row>
    <row r="3649" s="18" customFormat="1" ht="14.399999999999999" customHeight="1">
      <c r="A3649" s="10" t="s">
        <v>2751</v>
      </c>
      <c r="B3649" s="10" t="s">
        <v>2752</v>
      </c>
      <c r="C3649" s="10" t="n">
        <v>2</v>
      </c>
      <c r="D3649" s="10" t="n">
        <v>4</v>
      </c>
      <c r="E3649" s="6" t="n">
        <f>SUM(C3649,D3649)/2</f>
        <v>3</v>
      </c>
      <c r="F3649" s="18" t="n">
        <v>0</v>
      </c>
      <c r="G3649" s="18" t="n">
        <v>0</v>
      </c>
      <c r="H3649" s="6" t="n">
        <f>SUM(F3649,G3649)/2</f>
        <v>0</v>
      </c>
    </row>
    <row r="3650" s="18" customFormat="1" ht="14.399999999999999" customHeight="1">
      <c r="A3650" s="10" t="s">
        <v>2560</v>
      </c>
      <c r="B3650" s="10" t="s">
        <v>2561</v>
      </c>
      <c r="C3650" s="10" t="n">
        <v>8</v>
      </c>
      <c r="D3650" s="10" t="n">
        <v>14</v>
      </c>
      <c r="E3650" s="6" t="n">
        <f>SUM(C3650,D3650)/2</f>
        <v>11</v>
      </c>
      <c r="F3650" s="18" t="n">
        <v>0</v>
      </c>
      <c r="G3650" s="18" t="n">
        <v>0</v>
      </c>
      <c r="H3650" s="6" t="n">
        <f>SUM(F3650,G3650)/2</f>
        <v>0</v>
      </c>
    </row>
    <row r="3651" s="18" customFormat="1" ht="14.399999999999999" customHeight="1">
      <c r="A3651" s="10" t="s">
        <v>2142</v>
      </c>
      <c r="B3651" s="10" t="s">
        <v>2143</v>
      </c>
      <c r="C3651" s="13" t="n">
        <v>347763</v>
      </c>
      <c r="D3651" s="13" t="n">
        <v>555520</v>
      </c>
      <c r="E3651" s="6" t="n">
        <f>SUM(C3651,D3651)/2</f>
        <v>451641.5</v>
      </c>
      <c r="F3651" s="12" t="n">
        <v>55193</v>
      </c>
      <c r="G3651" s="12" t="n">
        <v>76060</v>
      </c>
      <c r="H3651" s="6" t="n">
        <f>SUM(F3651,G3651)/2</f>
        <v>65626.5</v>
      </c>
    </row>
    <row r="3652" s="18" customFormat="1" ht="14.399999999999999" customHeight="1">
      <c r="A3652" s="10" t="s">
        <v>4601</v>
      </c>
      <c r="B3652" s="10" t="s">
        <v>4602</v>
      </c>
      <c r="C3652" s="13" t="n">
        <v>24865</v>
      </c>
      <c r="D3652" s="13" t="n">
        <v>39719</v>
      </c>
      <c r="E3652" s="6" t="n">
        <f>SUM(C3652,D3652)/2</f>
        <v>32292</v>
      </c>
      <c r="F3652" s="12" t="n">
        <v>5798</v>
      </c>
      <c r="G3652" s="12" t="n">
        <v>8823</v>
      </c>
      <c r="H3652" s="6" t="n">
        <f>SUM(F3652,G3652)/2</f>
        <v>7310.5</v>
      </c>
    </row>
    <row r="3653" s="18" customFormat="1" ht="14.399999999999999" customHeight="1">
      <c r="A3653" s="10" t="s">
        <v>2063</v>
      </c>
      <c r="B3653" s="10" t="s">
        <v>2064</v>
      </c>
      <c r="C3653" s="10" t="n">
        <v>4</v>
      </c>
      <c r="D3653" s="10" t="n">
        <v>6</v>
      </c>
      <c r="E3653" s="6" t="n">
        <f>SUM(C3653,D3653)/2</f>
        <v>5</v>
      </c>
      <c r="F3653" s="18" t="n">
        <v>8</v>
      </c>
      <c r="G3653" s="18" t="n">
        <v>11</v>
      </c>
      <c r="H3653" s="6" t="n">
        <f>SUM(F3653,G3653)/2</f>
        <v>9.5</v>
      </c>
    </row>
    <row r="3654" s="18" customFormat="1" ht="14.399999999999999" customHeight="1">
      <c r="A3654" s="10" t="s">
        <v>2156</v>
      </c>
      <c r="B3654" s="10" t="s">
        <v>2157</v>
      </c>
      <c r="C3654" s="10" t="n">
        <v>9</v>
      </c>
      <c r="D3654" s="10" t="n">
        <v>15</v>
      </c>
      <c r="E3654" s="6" t="n">
        <f>SUM(C3654,D3654)/2</f>
        <v>12</v>
      </c>
      <c r="F3654" s="18" t="n">
        <v>5</v>
      </c>
      <c r="G3654" s="18" t="n">
        <v>6</v>
      </c>
      <c r="H3654" s="6" t="n">
        <f>SUM(F3654,G3654)/2</f>
        <v>5.5</v>
      </c>
    </row>
    <row r="3655" s="18" customFormat="1" ht="14.399999999999999" customHeight="1">
      <c r="A3655" s="10" t="s">
        <v>8159</v>
      </c>
      <c r="B3655" s="10" t="s">
        <v>8160</v>
      </c>
      <c r="C3655" s="13" t="n">
        <v>36230</v>
      </c>
      <c r="D3655" s="13" t="n">
        <v>57876</v>
      </c>
      <c r="E3655" s="6" t="n">
        <f>SUM(C3655,D3655)/2</f>
        <v>47053</v>
      </c>
      <c r="F3655" s="12" t="n">
        <v>11590</v>
      </c>
      <c r="G3655" s="12" t="n">
        <v>15630</v>
      </c>
      <c r="H3655" s="6" t="n">
        <f>SUM(F3655,G3655)/2</f>
        <v>13610</v>
      </c>
    </row>
    <row r="3656" s="18" customFormat="1" ht="14.399999999999999" customHeight="1">
      <c r="A3656" s="10" t="s">
        <v>8161</v>
      </c>
      <c r="B3656" s="10" t="s">
        <v>8162</v>
      </c>
      <c r="C3656" s="10" t="n">
        <v>13</v>
      </c>
      <c r="D3656" s="10" t="n">
        <v>19</v>
      </c>
      <c r="E3656" s="6" t="n">
        <f>SUM(C3656,D3656)/2</f>
        <v>16</v>
      </c>
      <c r="F3656" s="18" t="n">
        <v>0</v>
      </c>
      <c r="G3656" s="18" t="n">
        <v>0</v>
      </c>
      <c r="H3656" s="6" t="n">
        <f>SUM(F3656,G3656)/2</f>
        <v>0</v>
      </c>
    </row>
    <row r="3657" s="18" customFormat="1" ht="14.399999999999999" customHeight="1">
      <c r="A3657" s="10" t="s">
        <v>2376</v>
      </c>
      <c r="B3657" s="10" t="s">
        <v>2377</v>
      </c>
      <c r="C3657" s="10" t="n">
        <v>14</v>
      </c>
      <c r="D3657" s="10" t="n">
        <v>22</v>
      </c>
      <c r="E3657" s="6" t="n">
        <f>SUM(C3657,D3657)/2</f>
        <v>18</v>
      </c>
      <c r="F3657" s="18" t="n">
        <v>1</v>
      </c>
      <c r="G3657" s="18" t="n">
        <v>1</v>
      </c>
      <c r="H3657" s="6" t="n">
        <f>SUM(F3657,G3657)/2</f>
        <v>1</v>
      </c>
    </row>
    <row r="3658" s="18" customFormat="1" ht="14.399999999999999" customHeight="1">
      <c r="A3658" s="10" t="s">
        <v>2244</v>
      </c>
      <c r="B3658" s="10" t="s">
        <v>2245</v>
      </c>
      <c r="C3658" s="13" t="n">
        <v>150325</v>
      </c>
      <c r="D3658" s="13" t="n">
        <v>240127</v>
      </c>
      <c r="E3658" s="6" t="n">
        <f>SUM(C3658,D3658)/2</f>
        <v>195226</v>
      </c>
      <c r="F3658" s="12" t="n">
        <v>24953</v>
      </c>
      <c r="G3658" s="12" t="n">
        <v>53176</v>
      </c>
      <c r="H3658" s="6" t="n">
        <f>SUM(F3658,G3658)/2</f>
        <v>39064.5</v>
      </c>
    </row>
    <row r="3659" s="18" customFormat="1" ht="14.399999999999999" customHeight="1">
      <c r="A3659" s="10" t="s">
        <v>2124</v>
      </c>
      <c r="B3659" s="10" t="s">
        <v>2125</v>
      </c>
      <c r="C3659" s="10" t="n">
        <v>31</v>
      </c>
      <c r="D3659" s="10" t="n">
        <v>49</v>
      </c>
      <c r="E3659" s="6" t="n">
        <f>SUM(C3659,D3659)/2</f>
        <v>40</v>
      </c>
      <c r="F3659" s="18" t="n">
        <v>0</v>
      </c>
      <c r="G3659" s="18" t="n">
        <v>0</v>
      </c>
      <c r="H3659" s="6" t="n">
        <f>SUM(F3659,G3659)/2</f>
        <v>0</v>
      </c>
    </row>
    <row r="3660" s="18" customFormat="1" ht="14.399999999999999" customHeight="1">
      <c r="A3660" s="10" t="s">
        <v>4869</v>
      </c>
      <c r="B3660" s="10" t="s">
        <v>4870</v>
      </c>
      <c r="C3660" s="13" t="n">
        <v>13199</v>
      </c>
      <c r="D3660" s="13" t="n">
        <v>21083</v>
      </c>
      <c r="E3660" s="6" t="n">
        <f>SUM(C3660,D3660)/2</f>
        <v>17141</v>
      </c>
      <c r="F3660" s="12" t="n">
        <v>6533</v>
      </c>
      <c r="G3660" s="12" t="n">
        <v>8431</v>
      </c>
      <c r="H3660" s="6" t="n">
        <f>SUM(F3660,G3660)/2</f>
        <v>7482</v>
      </c>
    </row>
    <row r="3661" s="18" customFormat="1" ht="14.399999999999999" customHeight="1">
      <c r="A3661" s="10" t="s">
        <v>8163</v>
      </c>
      <c r="B3661" s="10" t="s">
        <v>8164</v>
      </c>
      <c r="C3661" s="13" t="n">
        <v>15145</v>
      </c>
      <c r="D3661" s="13" t="n">
        <v>24191</v>
      </c>
      <c r="E3661" s="6" t="n">
        <f>SUM(C3661,D3661)/2</f>
        <v>19668</v>
      </c>
      <c r="F3661" s="12" t="n">
        <v>2664</v>
      </c>
      <c r="G3661" s="12" t="n">
        <v>3917</v>
      </c>
      <c r="H3661" s="6" t="n">
        <f>SUM(F3661,G3661)/2</f>
        <v>3290.5</v>
      </c>
    </row>
    <row r="3662" s="18" customFormat="1" ht="14.399999999999999" customHeight="1">
      <c r="A3662" s="10" t="s">
        <v>4403</v>
      </c>
      <c r="B3662" s="10" t="s">
        <v>4404</v>
      </c>
      <c r="C3662" s="13" t="n">
        <v>28693</v>
      </c>
      <c r="D3662" s="13" t="n">
        <v>45833</v>
      </c>
      <c r="E3662" s="6" t="n">
        <f>SUM(C3662,D3662)/2</f>
        <v>37263</v>
      </c>
      <c r="F3662" s="12" t="n">
        <v>6992</v>
      </c>
      <c r="G3662" s="12" t="n">
        <v>10709</v>
      </c>
      <c r="H3662" s="6" t="n">
        <f>SUM(F3662,G3662)/2</f>
        <v>8850.5</v>
      </c>
    </row>
    <row r="3663" s="18" customFormat="1" ht="14.399999999999999" customHeight="1">
      <c r="A3663" s="10" t="s">
        <v>4685</v>
      </c>
      <c r="B3663" s="10" t="s">
        <v>4686</v>
      </c>
      <c r="C3663" s="13" t="n">
        <v>17154</v>
      </c>
      <c r="D3663" s="13" t="n">
        <v>27402</v>
      </c>
      <c r="E3663" s="6" t="n">
        <f>SUM(C3663,D3663)/2</f>
        <v>22278</v>
      </c>
      <c r="F3663" s="12" t="n">
        <v>6857</v>
      </c>
      <c r="G3663" s="12" t="n">
        <v>9701</v>
      </c>
      <c r="H3663" s="6" t="n">
        <f>SUM(F3663,G3663)/2</f>
        <v>8279</v>
      </c>
    </row>
    <row r="3664" s="18" customFormat="1" ht="14.399999999999999" customHeight="1">
      <c r="A3664" s="10" t="s">
        <v>3855</v>
      </c>
      <c r="B3664" s="10" t="s">
        <v>3856</v>
      </c>
      <c r="C3664" s="13" t="n">
        <v>4788</v>
      </c>
      <c r="D3664" s="13" t="n">
        <v>7652</v>
      </c>
      <c r="E3664" s="6" t="n">
        <f>SUM(C3664,D3664)/2</f>
        <v>6220</v>
      </c>
      <c r="F3664" s="12" t="n">
        <v>22423</v>
      </c>
      <c r="G3664" s="12" t="n">
        <v>31256</v>
      </c>
      <c r="H3664" s="6" t="n">
        <f>SUM(F3664,G3664)/2</f>
        <v>26839.5</v>
      </c>
    </row>
    <row r="3665" s="18" customFormat="1" ht="14.399999999999999" customHeight="1">
      <c r="A3665" s="10" t="s">
        <v>5115</v>
      </c>
      <c r="B3665" s="10" t="s">
        <v>5116</v>
      </c>
      <c r="C3665" s="13" t="n">
        <v>4201</v>
      </c>
      <c r="D3665" s="13" t="n">
        <v>6709</v>
      </c>
      <c r="E3665" s="6" t="n">
        <f>SUM(C3665,D3665)/2</f>
        <v>5455</v>
      </c>
      <c r="F3665" s="12" t="n">
        <v>5322</v>
      </c>
      <c r="G3665" s="12" t="n">
        <v>8119</v>
      </c>
      <c r="H3665" s="6" t="n">
        <f>SUM(F3665,G3665)/2</f>
        <v>6720.5</v>
      </c>
    </row>
    <row r="3666" s="18" customFormat="1" ht="14.399999999999999" customHeight="1">
      <c r="A3666" s="10" t="s">
        <v>3555</v>
      </c>
      <c r="B3666" s="10" t="s">
        <v>3556</v>
      </c>
      <c r="C3666" s="13" t="n">
        <v>108167</v>
      </c>
      <c r="D3666" s="13" t="n">
        <v>172785</v>
      </c>
      <c r="E3666" s="6" t="n">
        <f>SUM(C3666,D3666)/2</f>
        <v>140476</v>
      </c>
      <c r="F3666" s="12" t="n">
        <v>8669</v>
      </c>
      <c r="G3666" s="12" t="n">
        <v>12647</v>
      </c>
      <c r="H3666" s="6" t="n">
        <f>SUM(F3666,G3666)/2</f>
        <v>10658</v>
      </c>
    </row>
    <row r="3667" s="18" customFormat="1" ht="14.399999999999999" customHeight="1">
      <c r="A3667" s="10" t="s">
        <v>5446</v>
      </c>
      <c r="B3667" s="10" t="s">
        <v>5447</v>
      </c>
      <c r="C3667" s="13" t="n">
        <v>172657</v>
      </c>
      <c r="D3667" s="13" t="n">
        <v>275803</v>
      </c>
      <c r="E3667" s="6" t="n">
        <f>SUM(C3667,D3667)/2</f>
        <v>224230</v>
      </c>
      <c r="F3667" s="12" t="n">
        <v>43932</v>
      </c>
      <c r="G3667" s="12" t="n">
        <v>65317</v>
      </c>
      <c r="H3667" s="6" t="n">
        <f>SUM(F3667,G3667)/2</f>
        <v>54624.5</v>
      </c>
    </row>
    <row r="3668" s="18" customFormat="1" ht="14.399999999999999" customHeight="1">
      <c r="A3668" s="10" t="s">
        <v>4307</v>
      </c>
      <c r="B3668" s="10" t="s">
        <v>4308</v>
      </c>
      <c r="C3668" s="13" t="n">
        <v>42715</v>
      </c>
      <c r="D3668" s="13" t="n">
        <v>68231</v>
      </c>
      <c r="E3668" s="6" t="n">
        <f>SUM(C3668,D3668)/2</f>
        <v>55473</v>
      </c>
      <c r="F3668" s="12" t="n">
        <v>5216</v>
      </c>
      <c r="G3668" s="12" t="n">
        <v>7948</v>
      </c>
      <c r="H3668" s="6" t="n">
        <f>SUM(F3668,G3668)/2</f>
        <v>6582</v>
      </c>
    </row>
    <row r="3669" s="18" customFormat="1" ht="14.399999999999999" customHeight="1">
      <c r="A3669" s="10" t="s">
        <v>5396</v>
      </c>
      <c r="B3669" s="10" t="s">
        <v>5397</v>
      </c>
      <c r="C3669" s="13" t="n">
        <v>240587</v>
      </c>
      <c r="D3669" s="13" t="n">
        <v>384315</v>
      </c>
      <c r="E3669" s="6" t="n">
        <f>SUM(C3669,D3669)/2</f>
        <v>312451</v>
      </c>
      <c r="F3669" s="12" t="n">
        <v>60818</v>
      </c>
      <c r="G3669" s="12" t="n">
        <v>83792</v>
      </c>
      <c r="H3669" s="6" t="n">
        <f>SUM(F3669,G3669)/2</f>
        <v>72305</v>
      </c>
    </row>
    <row r="3670" s="18" customFormat="1" ht="14.399999999999999" customHeight="1">
      <c r="A3670" s="10" t="s">
        <v>1308</v>
      </c>
      <c r="B3670" s="10" t="s">
        <v>1309</v>
      </c>
      <c r="C3670" s="13" t="n">
        <v>103206</v>
      </c>
      <c r="D3670" s="13" t="n">
        <v>164859</v>
      </c>
      <c r="E3670" s="6" t="n">
        <f>SUM(C3670,D3670)/2</f>
        <v>134032.5</v>
      </c>
      <c r="F3670" s="12" t="n">
        <v>38027</v>
      </c>
      <c r="G3670" s="12" t="n">
        <v>49200</v>
      </c>
      <c r="H3670" s="6" t="n">
        <f>SUM(F3670,G3670)/2</f>
        <v>43613.5</v>
      </c>
    </row>
    <row r="3671" s="18" customFormat="1" ht="14.399999999999999" customHeight="1">
      <c r="A3671" s="10" t="s">
        <v>2452</v>
      </c>
      <c r="B3671" s="10" t="s">
        <v>2453</v>
      </c>
      <c r="C3671" s="10" t="n">
        <v>1</v>
      </c>
      <c r="D3671" s="10" t="n">
        <v>1</v>
      </c>
      <c r="E3671" s="6" t="n">
        <f>SUM(C3671,D3671)/2</f>
        <v>1</v>
      </c>
      <c r="F3671" s="18" t="n">
        <v>3</v>
      </c>
      <c r="G3671" s="18" t="n">
        <v>4</v>
      </c>
      <c r="H3671" s="6" t="n">
        <f>SUM(F3671,G3671)/2</f>
        <v>3.5</v>
      </c>
    </row>
    <row r="3672" s="18" customFormat="1" ht="14.399999999999999" customHeight="1">
      <c r="A3672" s="10" t="s">
        <v>8165</v>
      </c>
      <c r="B3672" s="10" t="s">
        <v>8166</v>
      </c>
      <c r="C3672" s="10" t="n">
        <v>9</v>
      </c>
      <c r="D3672" s="10" t="n">
        <v>13</v>
      </c>
      <c r="E3672" s="6" t="n">
        <f>SUM(C3672,D3672)/2</f>
        <v>11</v>
      </c>
      <c r="F3672" s="18" t="n">
        <v>20</v>
      </c>
      <c r="G3672" s="18" t="n">
        <v>29</v>
      </c>
      <c r="H3672" s="6" t="n">
        <f>SUM(F3672,G3672)/2</f>
        <v>24.5</v>
      </c>
    </row>
    <row r="3673" s="18" customFormat="1" ht="14.399999999999999" customHeight="1">
      <c r="A3673" s="10" t="s">
        <v>2174</v>
      </c>
      <c r="B3673" s="10" t="s">
        <v>2175</v>
      </c>
      <c r="C3673" s="13" t="n">
        <v>239491</v>
      </c>
      <c r="D3673" s="13" t="n">
        <v>382567</v>
      </c>
      <c r="E3673" s="6" t="n">
        <f>SUM(C3673,D3673)/2</f>
        <v>311029</v>
      </c>
      <c r="F3673" s="12" t="n">
        <v>27783</v>
      </c>
      <c r="G3673" s="12" t="n">
        <v>35233</v>
      </c>
      <c r="H3673" s="6" t="n">
        <f>SUM(F3673,G3673)/2</f>
        <v>31508</v>
      </c>
    </row>
    <row r="3674" s="18" customFormat="1" ht="14.399999999999999" customHeight="1">
      <c r="A3674" s="10" t="s">
        <v>8167</v>
      </c>
      <c r="B3674" s="10" t="s">
        <v>8168</v>
      </c>
      <c r="C3674" s="10" t="n">
        <v>17</v>
      </c>
      <c r="D3674" s="10" t="n">
        <v>27</v>
      </c>
      <c r="E3674" s="6" t="n">
        <f>SUM(C3674,D3674)/2</f>
        <v>22</v>
      </c>
      <c r="F3674" s="18" t="n">
        <v>9</v>
      </c>
      <c r="G3674" s="18" t="n">
        <v>17</v>
      </c>
      <c r="H3674" s="6" t="n">
        <f>SUM(F3674,G3674)/2</f>
        <v>13</v>
      </c>
    </row>
    <row r="3675" s="18" customFormat="1" ht="14.399999999999999" customHeight="1">
      <c r="A3675" s="10" t="s">
        <v>1206</v>
      </c>
      <c r="B3675" s="10" t="s">
        <v>1207</v>
      </c>
      <c r="C3675" s="13" t="n">
        <v>245468</v>
      </c>
      <c r="D3675" s="13" t="n">
        <v>392110</v>
      </c>
      <c r="E3675" s="6" t="n">
        <f>SUM(C3675,D3675)/2</f>
        <v>318789</v>
      </c>
      <c r="F3675" s="12" t="n">
        <v>24636</v>
      </c>
      <c r="G3675" s="12" t="n">
        <v>32723</v>
      </c>
      <c r="H3675" s="6" t="n">
        <f>SUM(F3675,G3675)/2</f>
        <v>28679.5</v>
      </c>
    </row>
    <row r="3676" s="18" customFormat="1" ht="14.399999999999999" customHeight="1">
      <c r="A3676" s="10" t="s">
        <v>2704</v>
      </c>
      <c r="B3676" s="10" t="s">
        <v>2705</v>
      </c>
      <c r="C3676" s="10" t="n">
        <v>0</v>
      </c>
      <c r="D3676" s="10" t="n">
        <v>0</v>
      </c>
      <c r="E3676" s="6" t="n">
        <f>SUM(C3676,D3676)/2</f>
        <v>0</v>
      </c>
      <c r="F3676" s="18" t="n">
        <v>1</v>
      </c>
      <c r="G3676" s="18" t="n">
        <v>1</v>
      </c>
      <c r="H3676" s="6" t="n">
        <f>SUM(F3676,G3676)/2</f>
        <v>1</v>
      </c>
    </row>
    <row r="3677" s="18" customFormat="1" ht="14.399999999999999" customHeight="1">
      <c r="A3677" s="10" t="s">
        <v>4841</v>
      </c>
      <c r="B3677" s="10" t="s">
        <v>4842</v>
      </c>
      <c r="C3677" s="13" t="n">
        <v>13805</v>
      </c>
      <c r="D3677" s="13" t="n">
        <v>22053</v>
      </c>
      <c r="E3677" s="6" t="n">
        <f>SUM(C3677,D3677)/2</f>
        <v>17929</v>
      </c>
      <c r="F3677" s="12" t="n">
        <v>6334</v>
      </c>
      <c r="G3677" s="12" t="n">
        <v>8932</v>
      </c>
      <c r="H3677" s="6" t="n">
        <f>SUM(F3677,G3677)/2</f>
        <v>7633</v>
      </c>
    </row>
    <row r="3678" s="18" customFormat="1" ht="14.399999999999999" customHeight="1">
      <c r="A3678" s="10" t="s">
        <v>3377</v>
      </c>
      <c r="B3678" s="10" t="s">
        <v>3378</v>
      </c>
      <c r="C3678" s="13" t="n">
        <v>127344</v>
      </c>
      <c r="D3678" s="13" t="n">
        <v>203420</v>
      </c>
      <c r="E3678" s="6" t="n">
        <f>SUM(C3678,D3678)/2</f>
        <v>165382</v>
      </c>
      <c r="F3678" s="12" t="n">
        <v>5775</v>
      </c>
      <c r="G3678" s="12" t="n">
        <v>19491</v>
      </c>
      <c r="H3678" s="6" t="n">
        <f>SUM(F3678,G3678)/2</f>
        <v>12633</v>
      </c>
    </row>
    <row r="3679" s="18" customFormat="1" ht="14.399999999999999" customHeight="1">
      <c r="A3679" s="10" t="s">
        <v>2753</v>
      </c>
      <c r="B3679" s="10" t="s">
        <v>2754</v>
      </c>
      <c r="C3679" s="10" t="n">
        <v>2</v>
      </c>
      <c r="D3679" s="10" t="n">
        <v>4</v>
      </c>
      <c r="E3679" s="6" t="n">
        <f>SUM(C3679,D3679)/2</f>
        <v>3</v>
      </c>
      <c r="F3679" s="18" t="n">
        <v>0</v>
      </c>
      <c r="G3679" s="18" t="n">
        <v>0</v>
      </c>
      <c r="H3679" s="6" t="n">
        <f>SUM(F3679,G3679)/2</f>
        <v>0</v>
      </c>
    </row>
    <row r="3680" s="18" customFormat="1" ht="14.399999999999999" customHeight="1">
      <c r="A3680" s="10" t="s">
        <v>2071</v>
      </c>
      <c r="B3680" s="10" t="s">
        <v>2072</v>
      </c>
      <c r="C3680" s="10" t="n">
        <v>12</v>
      </c>
      <c r="D3680" s="10" t="n">
        <v>20</v>
      </c>
      <c r="E3680" s="6" t="n">
        <f>SUM(C3680,D3680)/2</f>
        <v>16</v>
      </c>
      <c r="F3680" s="18" t="n">
        <v>6</v>
      </c>
      <c r="G3680" s="18" t="n">
        <v>8</v>
      </c>
      <c r="H3680" s="6" t="n">
        <f>SUM(F3680,G3680)/2</f>
        <v>7</v>
      </c>
    </row>
    <row r="3681" s="18" customFormat="1" ht="14.399999999999999" customHeight="1">
      <c r="A3681" s="10" t="s">
        <v>1895</v>
      </c>
      <c r="B3681" s="10" t="s">
        <v>1896</v>
      </c>
      <c r="C3681" s="10" t="n">
        <v>2</v>
      </c>
      <c r="D3681" s="10" t="n">
        <v>2</v>
      </c>
      <c r="E3681" s="6" t="n">
        <f>SUM(C3681,D3681)/2</f>
        <v>2</v>
      </c>
      <c r="F3681" s="18" t="n">
        <v>15</v>
      </c>
      <c r="G3681" s="18" t="n">
        <v>19</v>
      </c>
      <c r="H3681" s="6" t="n">
        <f>SUM(F3681,G3681)/2</f>
        <v>17</v>
      </c>
    </row>
    <row r="3682" s="18" customFormat="1" ht="14.399999999999999" customHeight="1">
      <c r="A3682" s="10" t="s">
        <v>1278</v>
      </c>
      <c r="B3682" s="10" t="s">
        <v>1279</v>
      </c>
      <c r="C3682" s="10" t="n">
        <v>130</v>
      </c>
      <c r="D3682" s="10" t="n">
        <v>206</v>
      </c>
      <c r="E3682" s="6" t="n">
        <f>SUM(C3682,D3682)/2</f>
        <v>168</v>
      </c>
      <c r="F3682" s="18" t="s">
        <v>8169</v>
      </c>
      <c r="G3682" s="18" t="n">
        <v>229</v>
      </c>
      <c r="H3682" s="6" t="n">
        <f>SUM(F3682,G3682)/2</f>
        <v>114.5</v>
      </c>
    </row>
    <row r="3683" s="18" customFormat="1" ht="14.399999999999999" customHeight="1">
      <c r="A3683" s="10" t="s">
        <v>4849</v>
      </c>
      <c r="B3683" s="10" t="s">
        <v>4850</v>
      </c>
      <c r="C3683" s="13" t="n">
        <v>8907</v>
      </c>
      <c r="D3683" s="13" t="n">
        <v>14227</v>
      </c>
      <c r="E3683" s="6" t="n">
        <f>SUM(C3683,D3683)/2</f>
        <v>11567</v>
      </c>
      <c r="F3683" s="12" t="n">
        <v>7255</v>
      </c>
      <c r="G3683" s="12" t="n">
        <v>10459</v>
      </c>
      <c r="H3683" s="6" t="n">
        <f>SUM(F3683,G3683)/2</f>
        <v>8857</v>
      </c>
    </row>
    <row r="3684" s="18" customFormat="1" ht="14.399999999999999" customHeight="1">
      <c r="A3684" s="10" t="s">
        <v>8170</v>
      </c>
      <c r="B3684" s="10" t="s">
        <v>8171</v>
      </c>
      <c r="C3684" s="13" t="n">
        <v>2220</v>
      </c>
      <c r="D3684" s="13" t="n">
        <v>3544</v>
      </c>
      <c r="E3684" s="6" t="n">
        <f>SUM(C3684,D3684)/2</f>
        <v>2882</v>
      </c>
      <c r="F3684" s="12" t="n">
        <v>14770</v>
      </c>
      <c r="G3684" s="12" t="n">
        <v>21960</v>
      </c>
      <c r="H3684" s="6" t="n">
        <f>SUM(F3684,G3684)/2</f>
        <v>18365</v>
      </c>
    </row>
    <row r="3685" s="18" customFormat="1" ht="14.399999999999999" customHeight="1">
      <c r="A3685" s="10" t="s">
        <v>2298</v>
      </c>
      <c r="B3685" s="10" t="s">
        <v>2299</v>
      </c>
      <c r="C3685" s="10" t="n">
        <v>4</v>
      </c>
      <c r="D3685" s="10" t="n">
        <v>4</v>
      </c>
      <c r="E3685" s="6" t="n">
        <f>SUM(C3685,D3685)/2</f>
        <v>4</v>
      </c>
      <c r="F3685" s="18" t="n">
        <v>4</v>
      </c>
      <c r="G3685" s="18" t="n">
        <v>6</v>
      </c>
      <c r="H3685" s="6" t="n">
        <f>SUM(F3685,G3685)/2</f>
        <v>5</v>
      </c>
    </row>
    <row r="3686" s="18" customFormat="1" ht="14.399999999999999" customHeight="1">
      <c r="A3686" s="10" t="s">
        <v>3041</v>
      </c>
      <c r="B3686" s="10" t="s">
        <v>3042</v>
      </c>
      <c r="C3686" s="10" t="n">
        <v>0</v>
      </c>
      <c r="D3686" s="10" t="n">
        <v>0</v>
      </c>
      <c r="E3686" s="6" t="n">
        <f>SUM(C3686,D3686)/2</f>
        <v>0</v>
      </c>
      <c r="F3686" s="18" t="n">
        <v>0</v>
      </c>
      <c r="G3686" s="18" t="n">
        <v>0</v>
      </c>
      <c r="H3686" s="6" t="n">
        <f>SUM(F3686,G3686)/2</f>
        <v>0</v>
      </c>
    </row>
    <row r="3687" s="18" customFormat="1" ht="14.399999999999999" customHeight="1">
      <c r="A3687" s="10" t="s">
        <v>3043</v>
      </c>
      <c r="B3687" s="10" t="s">
        <v>3044</v>
      </c>
      <c r="C3687" s="10" t="n">
        <v>0</v>
      </c>
      <c r="D3687" s="10" t="n">
        <v>0</v>
      </c>
      <c r="E3687" s="6" t="n">
        <f>SUM(C3687,D3687)/2</f>
        <v>0</v>
      </c>
      <c r="F3687" s="18" t="n">
        <v>0</v>
      </c>
      <c r="G3687" s="18" t="n">
        <v>0</v>
      </c>
      <c r="H3687" s="6" t="n">
        <f>SUM(F3687,G3687)/2</f>
        <v>0</v>
      </c>
    </row>
    <row r="3688" s="18" customFormat="1" ht="14.399999999999999" customHeight="1">
      <c r="A3688" s="18" t="s">
        <v>32</v>
      </c>
      <c r="B3688" s="18" t="s">
        <v>8169</v>
      </c>
      <c r="C3688" s="18" t="n">
        <v>654</v>
      </c>
      <c r="D3688" s="18" t="n">
        <v>1046</v>
      </c>
      <c r="E3688" s="6" t="n">
        <f>SUM(C3688,D3688)/2</f>
        <v>850</v>
      </c>
      <c r="F3688" s="18" t="n">
        <v>39</v>
      </c>
      <c r="G3688" s="18" t="n">
        <v>83</v>
      </c>
      <c r="H3688" s="6" t="n">
        <f>SUM(F3688,G3688)/2</f>
        <v>61</v>
      </c>
    </row>
    <row r="3689" s="18" customFormat="1" ht="14.399999999999999" customHeight="1">
      <c r="A3689" s="18" t="s">
        <v>58</v>
      </c>
      <c r="B3689" s="18" t="s">
        <v>59</v>
      </c>
      <c r="C3689" s="18" t="n">
        <v>174</v>
      </c>
      <c r="D3689" s="18" t="n">
        <v>280</v>
      </c>
      <c r="E3689" s="6" t="n">
        <f>SUM(C3689,D3689)/2</f>
        <v>227</v>
      </c>
      <c r="F3689" s="18" t="n">
        <v>13</v>
      </c>
      <c r="G3689" s="18" t="n">
        <v>19</v>
      </c>
      <c r="H3689" s="6" t="n">
        <f>SUM(F3689,G3689)/2</f>
        <v>16</v>
      </c>
    </row>
  </sheetData>
  <phoneticPr fontId="1" type="noConversion"/>
  <conditionalFormatting sqref="B1:B1048576">
    <cfRule priority="7" type="duplicateValues" dxfId="1"/>
  </conditionalFormatting>
  <conditionalFormatting sqref="F3682">
    <cfRule priority="5" type="duplicateValues" dxfId="1"/>
  </conditionalFormatting>
  <conditionalFormatting sqref="A1:A3700 A4111:A1048576">
    <cfRule priority="6" type="duplicateValues" dxfId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1" max="1" width="22.998046875" customWidth="1" style="18"/>
    <col min="2" max="2" width="25.5" customWidth="1" style="18"/>
    <col min="3" max="3" width="14.1650390625" customWidth="1" style="6"/>
    <col min="4" max="4" width="16.166015625" customWidth="1" style="18"/>
  </cols>
  <sheetData>
    <row r="1" ht="14.399999999999999" customHeight="1">
      <c r="A1" s="8" t="s">
        <v>0</v>
      </c>
      <c r="B1" s="8" t="s">
        <v>1</v>
      </c>
      <c r="C1" s="9" t="s">
        <v>8172</v>
      </c>
      <c r="D1" s="8" t="s">
        <v>8173</v>
      </c>
    </row>
    <row r="2" ht="14.399999999999999" customHeight="1">
      <c r="A2" s="10" t="s">
        <v>2</v>
      </c>
      <c r="B2" s="10" t="s">
        <v>3</v>
      </c>
      <c r="C2" s="11" t="n">
        <v>296716943</v>
      </c>
      <c r="D2" s="18" t="n">
        <v>1</v>
      </c>
    </row>
    <row r="3" ht="14.399999999999999" customHeight="1">
      <c r="A3" s="10" t="s">
        <v>4</v>
      </c>
      <c r="B3" s="10" t="s">
        <v>5</v>
      </c>
      <c r="C3" s="11" t="n">
        <v>16451772.2376899</v>
      </c>
      <c r="D3" s="18" t="n">
        <v>2</v>
      </c>
    </row>
    <row r="4" ht="14.399999999999999" customHeight="1">
      <c r="A4" s="10" t="s">
        <v>6</v>
      </c>
      <c r="B4" s="10" t="s">
        <v>7</v>
      </c>
      <c r="C4" s="11" t="n">
        <v>12655435.7671603</v>
      </c>
      <c r="D4" s="18" t="n">
        <v>3</v>
      </c>
    </row>
    <row r="5" ht="14.399999999999999" customHeight="1">
      <c r="A5" s="10" t="s">
        <v>5669</v>
      </c>
      <c r="B5" s="10" t="s">
        <v>11</v>
      </c>
      <c r="C5" s="11" t="n">
        <v>10739341.7111933</v>
      </c>
      <c r="D5" s="18" t="n">
        <v>4</v>
      </c>
    </row>
    <row r="6" ht="14.399999999999999" customHeight="1">
      <c r="A6" s="10" t="s">
        <v>8</v>
      </c>
      <c r="B6" s="10" t="s">
        <v>9</v>
      </c>
      <c r="C6" s="11" t="n">
        <v>10530398.4398181</v>
      </c>
      <c r="D6" s="18" t="n">
        <v>5</v>
      </c>
    </row>
    <row r="7" ht="14.399999999999999" customHeight="1">
      <c r="A7" s="10" t="s">
        <v>4535</v>
      </c>
      <c r="B7" s="10" t="s">
        <v>201</v>
      </c>
      <c r="C7" s="11" t="n">
        <v>10193446</v>
      </c>
      <c r="D7" s="18" t="n">
        <v>6</v>
      </c>
    </row>
    <row r="8" ht="14.399999999999999" customHeight="1">
      <c r="A8" s="10" t="s">
        <v>12</v>
      </c>
      <c r="B8" s="10" t="s">
        <v>13</v>
      </c>
      <c r="C8" s="11" t="n">
        <v>7681633.94135888</v>
      </c>
      <c r="D8" s="18" t="n">
        <v>7</v>
      </c>
    </row>
    <row r="9" ht="14.399999999999999" customHeight="1">
      <c r="A9" s="10" t="s">
        <v>14</v>
      </c>
      <c r="B9" s="10" t="s">
        <v>15</v>
      </c>
      <c r="C9" s="11" t="n">
        <v>6986574.30994174</v>
      </c>
      <c r="D9" s="18" t="n">
        <v>8</v>
      </c>
    </row>
    <row r="10" ht="14.399999999999999" customHeight="1">
      <c r="A10" s="10" t="s">
        <v>6021</v>
      </c>
      <c r="B10" s="10" t="s">
        <v>6022</v>
      </c>
      <c r="C10" s="11" t="n">
        <v>6395387</v>
      </c>
      <c r="D10" s="18" t="n">
        <v>9</v>
      </c>
    </row>
    <row r="11" ht="14.399999999999999" customHeight="1">
      <c r="A11" s="10" t="s">
        <v>999</v>
      </c>
      <c r="B11" s="10" t="s">
        <v>1000</v>
      </c>
      <c r="C11" s="11" t="n">
        <v>5057968</v>
      </c>
      <c r="D11" s="18" t="n">
        <v>10</v>
      </c>
    </row>
    <row r="12" ht="14.399999999999999" customHeight="1">
      <c r="A12" s="10" t="s">
        <v>7875</v>
      </c>
      <c r="B12" s="10" t="s">
        <v>23</v>
      </c>
      <c r="C12" s="11" t="n">
        <v>3386782.15793637</v>
      </c>
      <c r="D12" s="18" t="n">
        <v>11</v>
      </c>
    </row>
    <row r="13" ht="14.399999999999999" customHeight="1">
      <c r="A13" s="10" t="s">
        <v>6379</v>
      </c>
      <c r="B13" s="10" t="s">
        <v>6380</v>
      </c>
      <c r="C13" s="11" t="n">
        <v>3018368</v>
      </c>
      <c r="D13" s="18" t="n">
        <v>12</v>
      </c>
    </row>
    <row r="14" ht="14.399999999999999" customHeight="1">
      <c r="A14" s="10" t="s">
        <v>30</v>
      </c>
      <c r="B14" s="10" t="s">
        <v>31</v>
      </c>
      <c r="C14" s="11" t="n">
        <v>2847034.00395984</v>
      </c>
      <c r="D14" s="18" t="n">
        <v>13</v>
      </c>
    </row>
    <row r="15" ht="14.399999999999999" customHeight="1">
      <c r="A15" s="10" t="s">
        <v>26</v>
      </c>
      <c r="B15" s="10" t="s">
        <v>27</v>
      </c>
      <c r="C15" s="11" t="n">
        <v>2708495.43336441</v>
      </c>
      <c r="D15" s="18" t="n">
        <v>14</v>
      </c>
    </row>
    <row r="16" ht="14.399999999999999" customHeight="1">
      <c r="A16" s="10" t="s">
        <v>36</v>
      </c>
      <c r="B16" s="10" t="s">
        <v>37</v>
      </c>
      <c r="C16" s="11" t="n">
        <v>2222056.1665074</v>
      </c>
      <c r="D16" s="18" t="n">
        <v>15</v>
      </c>
    </row>
    <row r="17" ht="14.399999999999999" customHeight="1">
      <c r="A17" s="10" t="s">
        <v>7382</v>
      </c>
      <c r="B17" s="10" t="s">
        <v>41</v>
      </c>
      <c r="C17" s="11" t="n">
        <v>2203827.70194673</v>
      </c>
      <c r="D17" s="18" t="n">
        <v>16</v>
      </c>
    </row>
    <row r="18" ht="14.399999999999999" customHeight="1">
      <c r="A18" s="10" t="s">
        <v>46</v>
      </c>
      <c r="B18" s="10" t="s">
        <v>47</v>
      </c>
      <c r="C18" s="11" t="n">
        <v>2038814.46168671</v>
      </c>
      <c r="D18" s="18" t="n">
        <v>17</v>
      </c>
    </row>
    <row r="19" ht="14.399999999999999" customHeight="1">
      <c r="A19" s="10" t="s">
        <v>6059</v>
      </c>
      <c r="B19" s="10" t="s">
        <v>6060</v>
      </c>
      <c r="C19" s="11" t="n">
        <v>1877369</v>
      </c>
      <c r="D19" s="18" t="n">
        <v>18</v>
      </c>
    </row>
    <row r="20" ht="14.399999999999999" customHeight="1">
      <c r="A20" s="10" t="s">
        <v>48</v>
      </c>
      <c r="B20" s="10" t="s">
        <v>49</v>
      </c>
      <c r="C20" s="11" t="n">
        <v>1782617.06823975</v>
      </c>
      <c r="D20" s="18" t="n">
        <v>19</v>
      </c>
    </row>
    <row r="21" ht="14.399999999999999" customHeight="1">
      <c r="A21" s="10" t="s">
        <v>710</v>
      </c>
      <c r="B21" s="10" t="s">
        <v>711</v>
      </c>
      <c r="C21" s="11" t="n">
        <v>1164714.14449562</v>
      </c>
      <c r="D21" s="18" t="n">
        <v>20</v>
      </c>
    </row>
    <row r="22" ht="14.399999999999999" customHeight="1">
      <c r="A22" s="10" t="s">
        <v>736</v>
      </c>
      <c r="B22" s="10" t="s">
        <v>737</v>
      </c>
      <c r="C22" s="11" t="n">
        <v>950134.21637895</v>
      </c>
      <c r="D22" s="18" t="n">
        <v>21</v>
      </c>
    </row>
    <row r="23" ht="14.399999999999999" customHeight="1">
      <c r="A23" s="10" t="s">
        <v>734</v>
      </c>
      <c r="B23" s="10" t="s">
        <v>735</v>
      </c>
      <c r="C23" s="11" t="n">
        <v>935981.773348068</v>
      </c>
      <c r="D23" s="18" t="n">
        <v>22</v>
      </c>
    </row>
    <row r="24" ht="14.399999999999999" customHeight="1">
      <c r="A24" s="10" t="s">
        <v>1498</v>
      </c>
      <c r="B24" s="10" t="s">
        <v>39</v>
      </c>
      <c r="C24" s="11" t="n">
        <v>636838.869290368</v>
      </c>
      <c r="D24" s="18" t="n">
        <v>23</v>
      </c>
    </row>
    <row r="25" ht="14.399999999999999" customHeight="1">
      <c r="A25" s="10" t="s">
        <v>794</v>
      </c>
      <c r="B25" s="10" t="s">
        <v>795</v>
      </c>
      <c r="C25" s="11" t="n">
        <v>624720.646185739</v>
      </c>
      <c r="D25" s="18" t="n">
        <v>24</v>
      </c>
    </row>
    <row r="26" ht="14.399999999999999" customHeight="1">
      <c r="A26" s="10" t="s">
        <v>70</v>
      </c>
      <c r="B26" s="10" t="s">
        <v>71</v>
      </c>
      <c r="C26" s="11" t="n">
        <v>523669.487060372</v>
      </c>
      <c r="D26" s="18" t="n">
        <v>25</v>
      </c>
    </row>
    <row r="27" ht="14.399999999999999" customHeight="1">
      <c r="A27" s="10" t="s">
        <v>6428</v>
      </c>
      <c r="B27" s="10" t="s">
        <v>6429</v>
      </c>
      <c r="C27" s="11" t="n">
        <v>452330</v>
      </c>
      <c r="D27" s="18" t="n">
        <v>26</v>
      </c>
    </row>
    <row r="28" ht="14.399999999999999" customHeight="1">
      <c r="A28" s="10" t="s">
        <v>1081</v>
      </c>
      <c r="B28" s="10" t="s">
        <v>1082</v>
      </c>
      <c r="C28" s="11" t="n">
        <v>415544.812372345</v>
      </c>
      <c r="D28" s="18" t="n">
        <v>27</v>
      </c>
    </row>
    <row r="29" ht="14.399999999999999" customHeight="1">
      <c r="A29" s="10" t="s">
        <v>895</v>
      </c>
      <c r="B29" s="10" t="s">
        <v>896</v>
      </c>
      <c r="C29" s="11" t="n">
        <v>386500</v>
      </c>
      <c r="D29" s="18" t="n">
        <v>28</v>
      </c>
    </row>
    <row r="30" ht="14.399999999999999" customHeight="1">
      <c r="A30" s="10" t="s">
        <v>877</v>
      </c>
      <c r="B30" s="10" t="s">
        <v>878</v>
      </c>
      <c r="C30" s="11" t="n">
        <v>382288.498171849</v>
      </c>
      <c r="D30" s="18" t="n">
        <v>29</v>
      </c>
    </row>
    <row r="31" ht="14.399999999999999" customHeight="1">
      <c r="A31" s="10" t="s">
        <v>905</v>
      </c>
      <c r="B31" s="10" t="s">
        <v>906</v>
      </c>
      <c r="C31" s="11" t="n">
        <v>343245.439678456</v>
      </c>
      <c r="D31" s="18" t="n">
        <v>30</v>
      </c>
    </row>
    <row r="32" ht="14.399999999999999" customHeight="1">
      <c r="A32" s="10" t="s">
        <v>72</v>
      </c>
      <c r="B32" s="10" t="s">
        <v>73</v>
      </c>
      <c r="C32" s="11" t="n">
        <v>336439.580248598</v>
      </c>
      <c r="D32" s="18" t="n">
        <v>31</v>
      </c>
    </row>
    <row r="33" ht="14.399999999999999" customHeight="1">
      <c r="A33" s="10" t="s">
        <v>967</v>
      </c>
      <c r="B33" s="10" t="s">
        <v>968</v>
      </c>
      <c r="C33" s="11" t="n">
        <v>267472.320343093</v>
      </c>
      <c r="D33" s="18" t="n">
        <v>32</v>
      </c>
    </row>
    <row r="34" ht="14.399999999999999" customHeight="1">
      <c r="A34" s="10" t="s">
        <v>997</v>
      </c>
      <c r="B34" s="10" t="s">
        <v>998</v>
      </c>
      <c r="C34" s="11" t="n">
        <v>242353.346924239</v>
      </c>
      <c r="D34" s="18" t="n">
        <v>33</v>
      </c>
    </row>
    <row r="35" ht="14.399999999999999" customHeight="1">
      <c r="A35" s="10" t="s">
        <v>76</v>
      </c>
      <c r="B35" s="10" t="s">
        <v>77</v>
      </c>
      <c r="C35" s="11" t="n">
        <v>206038.484977349</v>
      </c>
      <c r="D35" s="18" t="n">
        <v>34</v>
      </c>
    </row>
    <row r="36" ht="14.399999999999999" customHeight="1">
      <c r="A36" s="10" t="s">
        <v>5273</v>
      </c>
      <c r="B36" s="10" t="s">
        <v>75</v>
      </c>
      <c r="C36" s="11" t="n">
        <v>201643.893628464</v>
      </c>
      <c r="D36" s="18" t="n">
        <v>35</v>
      </c>
    </row>
    <row r="37" ht="14.399999999999999" customHeight="1">
      <c r="A37" s="10" t="s">
        <v>78</v>
      </c>
      <c r="B37" s="10" t="s">
        <v>79</v>
      </c>
      <c r="C37" s="11" t="n">
        <v>197332.700848848</v>
      </c>
      <c r="D37" s="18" t="n">
        <v>36</v>
      </c>
    </row>
    <row r="38" ht="14.399999999999999" customHeight="1">
      <c r="A38" s="10" t="s">
        <v>6495</v>
      </c>
      <c r="B38" s="10" t="s">
        <v>6496</v>
      </c>
      <c r="C38" s="11" t="n">
        <v>159926</v>
      </c>
      <c r="D38" s="18" t="n">
        <v>37</v>
      </c>
    </row>
    <row r="39" ht="14.399999999999999" customHeight="1">
      <c r="A39" s="10" t="s">
        <v>80</v>
      </c>
      <c r="B39" s="10" t="s">
        <v>81</v>
      </c>
      <c r="C39" s="11" t="n">
        <v>159828.520316372</v>
      </c>
      <c r="D39" s="18" t="n">
        <v>38</v>
      </c>
    </row>
    <row r="40" ht="14.399999999999999" customHeight="1">
      <c r="A40" s="10" t="s">
        <v>2278</v>
      </c>
      <c r="B40" s="10" t="s">
        <v>2279</v>
      </c>
      <c r="C40" s="11" t="n">
        <v>147521.793289851</v>
      </c>
      <c r="D40" s="18" t="n">
        <v>39</v>
      </c>
    </row>
    <row r="41" ht="14.399999999999999" customHeight="1">
      <c r="A41" s="10" t="s">
        <v>1499</v>
      </c>
      <c r="B41" s="10" t="s">
        <v>1500</v>
      </c>
      <c r="C41" s="11" t="n">
        <v>133564.475301505</v>
      </c>
      <c r="D41" s="18" t="n">
        <v>40</v>
      </c>
    </row>
    <row r="42" ht="14.399999999999999" customHeight="1">
      <c r="A42" s="10" t="s">
        <v>1511</v>
      </c>
      <c r="B42" s="10" t="s">
        <v>1512</v>
      </c>
      <c r="C42" s="11" t="n">
        <v>132163.899244028</v>
      </c>
      <c r="D42" s="18" t="n">
        <v>41</v>
      </c>
    </row>
    <row r="43" ht="14.399999999999999" customHeight="1">
      <c r="A43" s="10" t="s">
        <v>1159</v>
      </c>
      <c r="B43" s="10" t="s">
        <v>1160</v>
      </c>
      <c r="C43" s="11" t="n">
        <v>126746.613902376</v>
      </c>
      <c r="D43" s="18" t="n">
        <v>42</v>
      </c>
    </row>
    <row r="44" ht="14.399999999999999" customHeight="1">
      <c r="A44" s="10" t="s">
        <v>1496</v>
      </c>
      <c r="B44" s="10" t="s">
        <v>1497</v>
      </c>
      <c r="C44" s="11" t="n">
        <v>123469.111942003</v>
      </c>
      <c r="D44" s="18" t="n">
        <v>43</v>
      </c>
    </row>
    <row r="45" ht="14.399999999999999" customHeight="1">
      <c r="A45" s="10" t="s">
        <v>208</v>
      </c>
      <c r="B45" s="10" t="s">
        <v>209</v>
      </c>
      <c r="C45" s="11" t="n">
        <v>120200.564213372</v>
      </c>
      <c r="D45" s="18" t="n">
        <v>44</v>
      </c>
    </row>
    <row r="46" ht="14.399999999999999" customHeight="1">
      <c r="A46" s="10" t="s">
        <v>1591</v>
      </c>
      <c r="B46" s="10" t="s">
        <v>1592</v>
      </c>
      <c r="C46" s="11" t="n">
        <v>117235.179878715</v>
      </c>
      <c r="D46" s="18" t="n">
        <v>45</v>
      </c>
    </row>
    <row r="47" ht="14.399999999999999" customHeight="1">
      <c r="A47" s="10" t="s">
        <v>1986</v>
      </c>
      <c r="B47" s="10" t="s">
        <v>1987</v>
      </c>
      <c r="C47" s="11" t="n">
        <v>107148.019521053</v>
      </c>
      <c r="D47" s="18" t="n">
        <v>46</v>
      </c>
    </row>
    <row r="48" ht="14.399999999999999" customHeight="1">
      <c r="A48" s="10" t="s">
        <v>1613</v>
      </c>
      <c r="B48" s="10" t="s">
        <v>1614</v>
      </c>
      <c r="C48" s="11" t="n">
        <v>105143.765184397</v>
      </c>
      <c r="D48" s="18" t="n">
        <v>47</v>
      </c>
    </row>
    <row r="49" ht="14.399999999999999" customHeight="1">
      <c r="A49" s="10" t="s">
        <v>210</v>
      </c>
      <c r="B49" s="10" t="s">
        <v>211</v>
      </c>
      <c r="C49" s="11" t="n">
        <v>101812.28245876</v>
      </c>
      <c r="D49" s="18" t="n">
        <v>48</v>
      </c>
    </row>
    <row r="50" ht="14.399999999999999" customHeight="1">
      <c r="A50" s="10" t="s">
        <v>2162</v>
      </c>
      <c r="B50" s="10" t="s">
        <v>2163</v>
      </c>
      <c r="C50" s="11" t="n">
        <v>100549.081841966</v>
      </c>
      <c r="D50" s="18" t="n">
        <v>49</v>
      </c>
    </row>
    <row r="51" ht="14.399999999999999" customHeight="1">
      <c r="A51" s="10" t="s">
        <v>1188</v>
      </c>
      <c r="B51" s="10" t="s">
        <v>1189</v>
      </c>
      <c r="C51" s="11" t="n">
        <v>98459.0718966896</v>
      </c>
      <c r="D51" s="18" t="n">
        <v>50</v>
      </c>
    </row>
    <row r="52" ht="14.399999999999999" customHeight="1">
      <c r="A52" s="10" t="s">
        <v>1194</v>
      </c>
      <c r="B52" s="10" t="s">
        <v>1195</v>
      </c>
      <c r="C52" s="11" t="n">
        <v>97050.2702196074</v>
      </c>
      <c r="D52" s="18" t="n">
        <v>51</v>
      </c>
    </row>
    <row r="53" ht="14.399999999999999" customHeight="1">
      <c r="A53" s="10" t="s">
        <v>82</v>
      </c>
      <c r="B53" s="10" t="s">
        <v>83</v>
      </c>
      <c r="C53" s="11" t="n">
        <v>93970.4419180688</v>
      </c>
      <c r="D53" s="18" t="n">
        <v>52</v>
      </c>
    </row>
    <row r="54" ht="14.399999999999999" customHeight="1">
      <c r="A54" s="10" t="s">
        <v>5468</v>
      </c>
      <c r="B54" s="10" t="s">
        <v>5469</v>
      </c>
      <c r="C54" s="11" t="n">
        <v>84041.150868976</v>
      </c>
      <c r="D54" s="18" t="n">
        <v>53</v>
      </c>
    </row>
    <row r="55" ht="14.399999999999999" customHeight="1">
      <c r="A55" s="10" t="s">
        <v>2400</v>
      </c>
      <c r="B55" s="10" t="s">
        <v>2401</v>
      </c>
      <c r="C55" s="11" t="n">
        <v>81544.2236052043</v>
      </c>
      <c r="D55" s="18" t="n">
        <v>54</v>
      </c>
    </row>
    <row r="56" ht="14.399999999999999" customHeight="1">
      <c r="A56" s="10" t="s">
        <v>1246</v>
      </c>
      <c r="B56" s="10" t="s">
        <v>1247</v>
      </c>
      <c r="C56" s="11" t="n">
        <v>78722.9302114091</v>
      </c>
      <c r="D56" s="18" t="n">
        <v>55</v>
      </c>
    </row>
    <row r="57" ht="14.399999999999999" customHeight="1">
      <c r="A57" s="10" t="s">
        <v>1260</v>
      </c>
      <c r="B57" s="10" t="s">
        <v>1261</v>
      </c>
      <c r="C57" s="11" t="n">
        <v>72030.2266500615</v>
      </c>
      <c r="D57" s="18" t="n">
        <v>56</v>
      </c>
    </row>
    <row r="58" ht="14.399999999999999" customHeight="1">
      <c r="A58" s="10" t="s">
        <v>967</v>
      </c>
      <c r="B58" s="10" t="s">
        <v>8174</v>
      </c>
      <c r="C58" s="11" t="n">
        <v>70883.021111691</v>
      </c>
      <c r="D58" s="18" t="n">
        <v>57</v>
      </c>
    </row>
    <row r="59" ht="14.399999999999999" customHeight="1">
      <c r="A59" s="10" t="s">
        <v>1272</v>
      </c>
      <c r="B59" s="10" t="s">
        <v>1273</v>
      </c>
      <c r="C59" s="11" t="n">
        <v>68855.9338590835</v>
      </c>
      <c r="D59" s="18" t="n">
        <v>58</v>
      </c>
    </row>
    <row r="60" ht="14.399999999999999" customHeight="1">
      <c r="A60" s="10" t="s">
        <v>1290</v>
      </c>
      <c r="B60" s="10" t="s">
        <v>1291</v>
      </c>
      <c r="C60" s="11" t="n">
        <v>68046.2336006326</v>
      </c>
      <c r="D60" s="18" t="n">
        <v>59</v>
      </c>
    </row>
    <row r="61" ht="14.399999999999999" customHeight="1">
      <c r="A61" s="10" t="s">
        <v>8175</v>
      </c>
      <c r="B61" s="10" t="s">
        <v>3080</v>
      </c>
      <c r="C61" s="11" t="n">
        <v>65241.2056269284</v>
      </c>
      <c r="D61" s="18" t="n">
        <v>60</v>
      </c>
    </row>
    <row r="62" ht="14.399999999999999" customHeight="1">
      <c r="A62" s="10" t="s">
        <v>84</v>
      </c>
      <c r="B62" s="10" t="s">
        <v>85</v>
      </c>
      <c r="C62" s="11" t="n">
        <v>61800.9532798331</v>
      </c>
      <c r="D62" s="18" t="n">
        <v>61</v>
      </c>
    </row>
    <row r="63" ht="14.399999999999999" customHeight="1">
      <c r="A63" s="10" t="s">
        <v>3177</v>
      </c>
      <c r="B63" s="10" t="s">
        <v>3178</v>
      </c>
      <c r="C63" s="11" t="n">
        <v>56447.3466814678</v>
      </c>
      <c r="D63" s="18" t="n">
        <v>62</v>
      </c>
    </row>
    <row r="64" ht="14.399999999999999" customHeight="1">
      <c r="A64" s="10" t="s">
        <v>7574</v>
      </c>
      <c r="B64" s="10" t="s">
        <v>3190</v>
      </c>
      <c r="C64" s="11" t="n">
        <v>55432.4828865748</v>
      </c>
      <c r="D64" s="18" t="n">
        <v>63</v>
      </c>
    </row>
    <row r="65" ht="14.399999999999999" customHeight="1">
      <c r="A65" s="10" t="s">
        <v>3195</v>
      </c>
      <c r="B65" s="10" t="s">
        <v>3196</v>
      </c>
      <c r="C65" s="11" t="n">
        <v>55313.4714101487</v>
      </c>
      <c r="D65" s="18" t="n">
        <v>64</v>
      </c>
    </row>
    <row r="66" ht="14.399999999999999" customHeight="1">
      <c r="A66" s="10" t="s">
        <v>3331</v>
      </c>
      <c r="B66" s="10" t="s">
        <v>3332</v>
      </c>
      <c r="C66" s="11" t="n">
        <v>55215.5378670088</v>
      </c>
      <c r="D66" s="18" t="n">
        <v>65</v>
      </c>
    </row>
    <row r="67" ht="14.399999999999999" customHeight="1">
      <c r="A67" s="10" t="s">
        <v>3205</v>
      </c>
      <c r="B67" s="10" t="s">
        <v>3206</v>
      </c>
      <c r="C67" s="11" t="n">
        <v>53816.7922595129</v>
      </c>
      <c r="D67" s="18" t="n">
        <v>66</v>
      </c>
    </row>
    <row r="68" ht="14.399999999999999" customHeight="1">
      <c r="A68" s="10" t="s">
        <v>3245</v>
      </c>
      <c r="B68" s="10" t="s">
        <v>3246</v>
      </c>
      <c r="C68" s="11" t="n">
        <v>53630.7256572191</v>
      </c>
      <c r="D68" s="18" t="n">
        <v>67</v>
      </c>
    </row>
    <row r="69" ht="14.399999999999999" customHeight="1">
      <c r="A69" s="10" t="s">
        <v>3343</v>
      </c>
      <c r="B69" s="10" t="s">
        <v>3344</v>
      </c>
      <c r="C69" s="11" t="n">
        <v>53305.2258719487</v>
      </c>
      <c r="D69" s="18" t="n">
        <v>68</v>
      </c>
    </row>
    <row r="70" ht="14.399999999999999" customHeight="1">
      <c r="A70" s="10" t="s">
        <v>6329</v>
      </c>
      <c r="B70" s="10" t="s">
        <v>6330</v>
      </c>
      <c r="C70" s="11" t="n">
        <v>51970.061991757</v>
      </c>
      <c r="D70" s="18" t="n">
        <v>69</v>
      </c>
    </row>
    <row r="71" ht="14.399999999999999" customHeight="1">
      <c r="A71" s="10" t="s">
        <v>6791</v>
      </c>
      <c r="B71" s="10" t="s">
        <v>8176</v>
      </c>
      <c r="C71" s="11" t="n">
        <v>45441.3359041686</v>
      </c>
      <c r="D71" s="18" t="n">
        <v>70</v>
      </c>
    </row>
    <row r="72" ht="14.399999999999999" customHeight="1">
      <c r="A72" s="10" t="s">
        <v>3859</v>
      </c>
      <c r="B72" s="10" t="s">
        <v>3860</v>
      </c>
      <c r="C72" s="11" t="n">
        <v>44857.3285655101</v>
      </c>
      <c r="D72" s="18" t="n">
        <v>71</v>
      </c>
    </row>
    <row r="73" ht="14.399999999999999" customHeight="1">
      <c r="A73" s="10" t="s">
        <v>86</v>
      </c>
      <c r="B73" s="10" t="s">
        <v>87</v>
      </c>
      <c r="C73" s="11" t="n">
        <v>42750.7328331199</v>
      </c>
      <c r="D73" s="18" t="n">
        <v>72</v>
      </c>
    </row>
    <row r="74" ht="14.399999999999999" customHeight="1">
      <c r="A74" s="10" t="s">
        <v>214</v>
      </c>
      <c r="B74" s="10" t="s">
        <v>215</v>
      </c>
      <c r="C74" s="11" t="n">
        <v>42587.818385214</v>
      </c>
      <c r="D74" s="18" t="n">
        <v>73</v>
      </c>
    </row>
    <row r="75" ht="14.399999999999999" customHeight="1">
      <c r="A75" s="10" t="s">
        <v>3439</v>
      </c>
      <c r="B75" s="10" t="s">
        <v>3440</v>
      </c>
      <c r="C75" s="11" t="n">
        <v>41165.1664368937</v>
      </c>
      <c r="D75" s="18" t="n">
        <v>74</v>
      </c>
    </row>
    <row r="76" ht="14.399999999999999" customHeight="1">
      <c r="A76" s="10" t="s">
        <v>3491</v>
      </c>
      <c r="B76" s="10" t="s">
        <v>3492</v>
      </c>
      <c r="C76" s="11" t="n">
        <v>40804.1020407104</v>
      </c>
      <c r="D76" s="18" t="n">
        <v>75</v>
      </c>
    </row>
    <row r="77" ht="14.399999999999999" customHeight="1">
      <c r="A77" s="10" t="s">
        <v>3415</v>
      </c>
      <c r="B77" s="10" t="s">
        <v>3416</v>
      </c>
      <c r="C77" s="11" t="n">
        <v>40578.6997549096</v>
      </c>
      <c r="D77" s="18" t="n">
        <v>76</v>
      </c>
    </row>
    <row r="78" ht="14.399999999999999" customHeight="1">
      <c r="A78" s="10" t="s">
        <v>3495</v>
      </c>
      <c r="B78" s="10" t="s">
        <v>3496</v>
      </c>
      <c r="C78" s="11" t="n">
        <v>40083.9287958314</v>
      </c>
      <c r="D78" s="18" t="n">
        <v>77</v>
      </c>
    </row>
    <row r="79" ht="14.399999999999999" customHeight="1">
      <c r="A79" s="10" t="s">
        <v>3475</v>
      </c>
      <c r="B79" s="10" t="s">
        <v>3476</v>
      </c>
      <c r="C79" s="11" t="n">
        <v>39865.6391228824</v>
      </c>
      <c r="D79" s="18" t="n">
        <v>78</v>
      </c>
    </row>
    <row r="80" ht="14.399999999999999" customHeight="1">
      <c r="A80" s="10" t="s">
        <v>5871</v>
      </c>
      <c r="B80" s="10" t="s">
        <v>5872</v>
      </c>
      <c r="C80" s="11" t="n">
        <v>38778.2903932758</v>
      </c>
      <c r="D80" s="18" t="n">
        <v>79</v>
      </c>
    </row>
    <row r="81" ht="14.399999999999999" customHeight="1">
      <c r="A81" s="10" t="s">
        <v>3515</v>
      </c>
      <c r="B81" s="10" t="s">
        <v>3516</v>
      </c>
      <c r="C81" s="11" t="n">
        <v>37801.5450688955</v>
      </c>
      <c r="D81" s="18" t="n">
        <v>80</v>
      </c>
    </row>
    <row r="82" ht="14.399999999999999" customHeight="1">
      <c r="A82" s="10" t="s">
        <v>3571</v>
      </c>
      <c r="B82" s="10" t="s">
        <v>3572</v>
      </c>
      <c r="C82" s="11" t="n">
        <v>37344.5227641084</v>
      </c>
      <c r="D82" s="18" t="n">
        <v>81</v>
      </c>
    </row>
    <row r="83" ht="14.399999999999999" customHeight="1">
      <c r="A83" s="10" t="s">
        <v>8177</v>
      </c>
      <c r="B83" s="10" t="s">
        <v>8178</v>
      </c>
      <c r="C83" s="11" t="n">
        <v>37184.8918677551</v>
      </c>
      <c r="D83" s="18" t="n">
        <v>82</v>
      </c>
    </row>
    <row r="84" ht="14.399999999999999" customHeight="1">
      <c r="A84" s="10" t="s">
        <v>88</v>
      </c>
      <c r="B84" s="10" t="s">
        <v>89</v>
      </c>
      <c r="C84" s="11" t="n">
        <v>36624.5269269519</v>
      </c>
      <c r="D84" s="18" t="n">
        <v>83</v>
      </c>
    </row>
    <row r="85" ht="14.399999999999999" customHeight="1">
      <c r="A85" s="10" t="s">
        <v>3601</v>
      </c>
      <c r="B85" s="10" t="s">
        <v>3602</v>
      </c>
      <c r="C85" s="11" t="n">
        <v>35504.2107517244</v>
      </c>
      <c r="D85" s="18" t="n">
        <v>84</v>
      </c>
    </row>
    <row r="86" ht="14.399999999999999" customHeight="1">
      <c r="A86" s="10" t="s">
        <v>8179</v>
      </c>
      <c r="B86" s="10" t="s">
        <v>1004</v>
      </c>
      <c r="C86" s="11" t="n">
        <v>33542.0876754609</v>
      </c>
      <c r="D86" s="18" t="n">
        <v>85</v>
      </c>
    </row>
    <row r="87" ht="14.399999999999999" customHeight="1">
      <c r="A87" s="10" t="s">
        <v>90</v>
      </c>
      <c r="B87" s="10" t="s">
        <v>91</v>
      </c>
      <c r="C87" s="11" t="n">
        <v>33483.0547561324</v>
      </c>
      <c r="D87" s="18" t="n">
        <v>86</v>
      </c>
    </row>
    <row r="88" ht="14.399999999999999" customHeight="1">
      <c r="A88" s="10" t="s">
        <v>3701</v>
      </c>
      <c r="B88" s="10" t="s">
        <v>3702</v>
      </c>
      <c r="C88" s="11" t="n">
        <v>33270.2222887843</v>
      </c>
      <c r="D88" s="18" t="n">
        <v>87</v>
      </c>
    </row>
    <row r="89" ht="14.399999999999999" customHeight="1">
      <c r="A89" s="10" t="s">
        <v>3671</v>
      </c>
      <c r="B89" s="10" t="s">
        <v>3672</v>
      </c>
      <c r="C89" s="11" t="n">
        <v>32992.827351214</v>
      </c>
      <c r="D89" s="18" t="n">
        <v>88</v>
      </c>
    </row>
    <row r="90" ht="14.399999999999999" customHeight="1">
      <c r="A90" s="10" t="s">
        <v>3653</v>
      </c>
      <c r="B90" s="10" t="s">
        <v>3654</v>
      </c>
      <c r="C90" s="11" t="n">
        <v>32624.9201302709</v>
      </c>
      <c r="D90" s="18" t="n">
        <v>89</v>
      </c>
    </row>
    <row r="91" ht="14.399999999999999" customHeight="1">
      <c r="A91" s="10" t="s">
        <v>226</v>
      </c>
      <c r="B91" s="10" t="s">
        <v>227</v>
      </c>
      <c r="C91" s="11" t="n">
        <v>31751</v>
      </c>
      <c r="D91" s="18" t="n">
        <v>90</v>
      </c>
    </row>
    <row r="92" ht="14.399999999999999" customHeight="1">
      <c r="A92" s="10" t="s">
        <v>3733</v>
      </c>
      <c r="B92" s="10" t="s">
        <v>3734</v>
      </c>
      <c r="C92" s="11" t="n">
        <v>30781.2228164915</v>
      </c>
      <c r="D92" s="18" t="n">
        <v>91</v>
      </c>
    </row>
    <row r="93" ht="14.399999999999999" customHeight="1">
      <c r="A93" s="10" t="s">
        <v>7348</v>
      </c>
      <c r="B93" s="10" t="s">
        <v>3760</v>
      </c>
      <c r="C93" s="11" t="n">
        <v>30046.8688417311</v>
      </c>
      <c r="D93" s="18" t="n">
        <v>92</v>
      </c>
    </row>
    <row r="94" ht="14.399999999999999" customHeight="1">
      <c r="A94" s="10" t="s">
        <v>92</v>
      </c>
      <c r="B94" s="10" t="s">
        <v>93</v>
      </c>
      <c r="C94" s="11" t="n">
        <v>29861.2553901326</v>
      </c>
      <c r="D94" s="18" t="n">
        <v>93</v>
      </c>
    </row>
    <row r="95" ht="14.399999999999999" customHeight="1">
      <c r="A95" s="10" t="s">
        <v>94</v>
      </c>
      <c r="B95" s="10" t="s">
        <v>95</v>
      </c>
      <c r="C95" s="11" t="n">
        <v>29759.2537232392</v>
      </c>
      <c r="D95" s="18" t="n">
        <v>94</v>
      </c>
    </row>
    <row r="96" ht="14.399999999999999" customHeight="1">
      <c r="A96" s="10" t="s">
        <v>4053</v>
      </c>
      <c r="B96" s="10" t="s">
        <v>4054</v>
      </c>
      <c r="C96" s="11" t="n">
        <v>29016.1531924784</v>
      </c>
      <c r="D96" s="18" t="n">
        <v>95</v>
      </c>
    </row>
    <row r="97" ht="14.399999999999999" customHeight="1">
      <c r="A97" s="10" t="s">
        <v>3773</v>
      </c>
      <c r="B97" s="10" t="s">
        <v>3774</v>
      </c>
      <c r="C97" s="11" t="n">
        <v>28056.6993176983</v>
      </c>
      <c r="D97" s="18" t="n">
        <v>96</v>
      </c>
    </row>
    <row r="98" ht="14.399999999999999" customHeight="1">
      <c r="A98" s="10" t="s">
        <v>6541</v>
      </c>
      <c r="B98" s="10" t="s">
        <v>6542</v>
      </c>
      <c r="C98" s="11" t="n">
        <v>27597.2465377664</v>
      </c>
      <c r="D98" s="18" t="n">
        <v>97</v>
      </c>
    </row>
    <row r="99" ht="14.399999999999999" customHeight="1">
      <c r="A99" s="10" t="s">
        <v>3793</v>
      </c>
      <c r="B99" s="10" t="s">
        <v>3794</v>
      </c>
      <c r="C99" s="11" t="n">
        <v>27338.253851349</v>
      </c>
      <c r="D99" s="18" t="n">
        <v>98</v>
      </c>
    </row>
    <row r="100" ht="14.399999999999999" customHeight="1">
      <c r="A100" s="10" t="s">
        <v>3809</v>
      </c>
      <c r="B100" s="10" t="s">
        <v>3810</v>
      </c>
      <c r="C100" s="11" t="n">
        <v>27223.499329825</v>
      </c>
      <c r="D100" s="18" t="n">
        <v>99</v>
      </c>
    </row>
    <row r="101" ht="14.399999999999999" customHeight="1">
      <c r="A101" s="10" t="s">
        <v>3893</v>
      </c>
      <c r="B101" s="10" t="s">
        <v>3894</v>
      </c>
      <c r="C101" s="11" t="n">
        <v>26968.6454580985</v>
      </c>
      <c r="D101" s="18" t="n">
        <v>100</v>
      </c>
    </row>
    <row r="102" ht="14.399999999999999" customHeight="1">
      <c r="A102" s="10" t="s">
        <v>3875</v>
      </c>
      <c r="B102" s="10" t="s">
        <v>3876</v>
      </c>
      <c r="C102" s="11" t="n">
        <v>26468.4422385623</v>
      </c>
      <c r="D102" s="18" t="n">
        <v>101</v>
      </c>
    </row>
    <row r="103" ht="14.399999999999999" customHeight="1">
      <c r="A103" s="10" t="s">
        <v>96</v>
      </c>
      <c r="B103" s="10" t="s">
        <v>97</v>
      </c>
      <c r="C103" s="11" t="n">
        <v>26121.7004809324</v>
      </c>
      <c r="D103" s="18" t="n">
        <v>102</v>
      </c>
    </row>
    <row r="104" ht="14.399999999999999" customHeight="1">
      <c r="A104" s="10" t="s">
        <v>1007</v>
      </c>
      <c r="B104" s="10" t="s">
        <v>1008</v>
      </c>
      <c r="C104" s="11" t="n">
        <v>25947.2369217635</v>
      </c>
      <c r="D104" s="18" t="n">
        <v>103</v>
      </c>
    </row>
    <row r="105" ht="14.399999999999999" customHeight="1">
      <c r="A105" s="10" t="s">
        <v>106</v>
      </c>
      <c r="B105" s="10" t="s">
        <v>107</v>
      </c>
      <c r="C105" s="11" t="n">
        <v>24781.4307660123</v>
      </c>
      <c r="D105" s="18" t="n">
        <v>104</v>
      </c>
    </row>
    <row r="106" ht="14.399999999999999" customHeight="1">
      <c r="A106" s="10" t="s">
        <v>6319</v>
      </c>
      <c r="B106" s="10" t="s">
        <v>6320</v>
      </c>
      <c r="C106" s="11" t="n">
        <v>24189.7514246948</v>
      </c>
      <c r="D106" s="18" t="n">
        <v>105</v>
      </c>
    </row>
    <row r="107" ht="14.399999999999999" customHeight="1">
      <c r="A107" s="10" t="s">
        <v>98</v>
      </c>
      <c r="B107" s="10" t="s">
        <v>99</v>
      </c>
      <c r="C107" s="11" t="n">
        <v>23749.6397198855</v>
      </c>
      <c r="D107" s="18" t="n">
        <v>106</v>
      </c>
    </row>
    <row r="108" ht="14.399999999999999" customHeight="1">
      <c r="A108" s="10" t="s">
        <v>8180</v>
      </c>
      <c r="B108" s="10" t="s">
        <v>8181</v>
      </c>
      <c r="C108" s="11" t="n">
        <v>23583.18031296</v>
      </c>
      <c r="D108" s="18" t="n">
        <v>107</v>
      </c>
    </row>
    <row r="109" ht="14.399999999999999" customHeight="1">
      <c r="A109" s="10" t="s">
        <v>218</v>
      </c>
      <c r="B109" s="10" t="s">
        <v>219</v>
      </c>
      <c r="C109" s="11" t="n">
        <v>23527.8831424708</v>
      </c>
      <c r="D109" s="18" t="n">
        <v>108</v>
      </c>
    </row>
    <row r="110" ht="14.399999999999999" customHeight="1">
      <c r="A110" s="10" t="s">
        <v>4017</v>
      </c>
      <c r="B110" s="10" t="s">
        <v>4018</v>
      </c>
      <c r="C110" s="11" t="n">
        <v>23433.8208320402</v>
      </c>
      <c r="D110" s="18" t="n">
        <v>109</v>
      </c>
    </row>
    <row r="111" ht="14.399999999999999" customHeight="1">
      <c r="A111" s="10" t="s">
        <v>8113</v>
      </c>
      <c r="B111" s="10" t="s">
        <v>8114</v>
      </c>
      <c r="C111" s="11" t="n">
        <v>23427</v>
      </c>
      <c r="D111" s="18" t="n">
        <v>110</v>
      </c>
    </row>
    <row r="112" ht="14.399999999999999" customHeight="1">
      <c r="A112" s="10" t="s">
        <v>4051</v>
      </c>
      <c r="B112" s="10" t="s">
        <v>4052</v>
      </c>
      <c r="C112" s="11" t="n">
        <v>22658.9057784694</v>
      </c>
      <c r="D112" s="18" t="n">
        <v>111</v>
      </c>
    </row>
    <row r="113" ht="14.399999999999999" customHeight="1">
      <c r="A113" s="10" t="s">
        <v>4093</v>
      </c>
      <c r="B113" s="10" t="s">
        <v>4094</v>
      </c>
      <c r="C113" s="11" t="n">
        <v>21794.5654650456</v>
      </c>
      <c r="D113" s="18" t="n">
        <v>112</v>
      </c>
    </row>
    <row r="114" ht="14.399999999999999" customHeight="1">
      <c r="A114" s="10" t="s">
        <v>100</v>
      </c>
      <c r="B114" s="10" t="s">
        <v>101</v>
      </c>
      <c r="C114" s="11" t="n">
        <v>20694.4401480236</v>
      </c>
      <c r="D114" s="18" t="n">
        <v>113</v>
      </c>
    </row>
    <row r="115" ht="14.399999999999999" customHeight="1">
      <c r="A115" s="10" t="s">
        <v>3281</v>
      </c>
      <c r="B115" s="10" t="s">
        <v>8182</v>
      </c>
      <c r="C115" s="11" t="n">
        <v>19356.1706391711</v>
      </c>
      <c r="D115" s="18" t="n">
        <v>114</v>
      </c>
    </row>
    <row r="116" ht="14.399999999999999" customHeight="1">
      <c r="A116" s="10" t="s">
        <v>4167</v>
      </c>
      <c r="B116" s="10" t="s">
        <v>4168</v>
      </c>
      <c r="C116" s="11" t="n">
        <v>19167.2766462293</v>
      </c>
      <c r="D116" s="18" t="n">
        <v>115</v>
      </c>
    </row>
    <row r="117" ht="14.399999999999999" customHeight="1">
      <c r="A117" s="10" t="s">
        <v>7192</v>
      </c>
      <c r="B117" s="10" t="s">
        <v>4184</v>
      </c>
      <c r="C117" s="11" t="n">
        <v>18842.2042065646</v>
      </c>
      <c r="D117" s="18" t="n">
        <v>116</v>
      </c>
    </row>
    <row r="118" ht="14.399999999999999" customHeight="1">
      <c r="A118" s="10" t="s">
        <v>8183</v>
      </c>
      <c r="B118" s="10" t="s">
        <v>8184</v>
      </c>
      <c r="C118" s="11" t="n">
        <v>18788.1193246454</v>
      </c>
      <c r="D118" s="18" t="n">
        <v>117</v>
      </c>
    </row>
    <row r="119" ht="14.399999999999999" customHeight="1">
      <c r="A119" s="10" t="s">
        <v>8185</v>
      </c>
      <c r="B119" s="10" t="s">
        <v>8186</v>
      </c>
      <c r="C119" s="11" t="n">
        <v>18332.0403610209</v>
      </c>
      <c r="D119" s="18" t="n">
        <v>118</v>
      </c>
    </row>
    <row r="120" ht="14.399999999999999" customHeight="1">
      <c r="A120" s="10" t="s">
        <v>4193</v>
      </c>
      <c r="B120" s="10" t="s">
        <v>4194</v>
      </c>
      <c r="C120" s="11" t="n">
        <v>18280.0207082176</v>
      </c>
      <c r="D120" s="18" t="n">
        <v>119</v>
      </c>
    </row>
    <row r="121" ht="14.399999999999999" customHeight="1">
      <c r="A121" s="10" t="s">
        <v>4241</v>
      </c>
      <c r="B121" s="10" t="s">
        <v>4242</v>
      </c>
      <c r="C121" s="11" t="n">
        <v>18278.6075217938</v>
      </c>
      <c r="D121" s="18" t="n">
        <v>120</v>
      </c>
    </row>
    <row r="122" ht="14.399999999999999" customHeight="1">
      <c r="A122" s="10" t="s">
        <v>7815</v>
      </c>
      <c r="B122" s="10" t="s">
        <v>4232</v>
      </c>
      <c r="C122" s="11" t="n">
        <v>18098.0670442911</v>
      </c>
      <c r="D122" s="18" t="n">
        <v>121</v>
      </c>
    </row>
    <row r="123" ht="14.399999999999999" customHeight="1">
      <c r="A123" s="10" t="s">
        <v>6923</v>
      </c>
      <c r="B123" s="10" t="s">
        <v>4280</v>
      </c>
      <c r="C123" s="11" t="n">
        <v>17586.2100737974</v>
      </c>
      <c r="D123" s="18" t="n">
        <v>122</v>
      </c>
    </row>
    <row r="124" ht="14.399999999999999" customHeight="1">
      <c r="A124" s="10" t="s">
        <v>1314</v>
      </c>
      <c r="B124" s="10" t="s">
        <v>1315</v>
      </c>
      <c r="C124" s="11" t="n">
        <v>16641.1439693488</v>
      </c>
      <c r="D124" s="18" t="n">
        <v>123</v>
      </c>
    </row>
    <row r="125" ht="14.399999999999999" customHeight="1">
      <c r="A125" s="10" t="s">
        <v>4409</v>
      </c>
      <c r="B125" s="10" t="s">
        <v>4410</v>
      </c>
      <c r="C125" s="11" t="n">
        <v>16505.7074516755</v>
      </c>
      <c r="D125" s="18" t="n">
        <v>124</v>
      </c>
    </row>
    <row r="126" ht="14.399999999999999" customHeight="1">
      <c r="A126" s="10" t="s">
        <v>1005</v>
      </c>
      <c r="B126" s="10" t="s">
        <v>103</v>
      </c>
      <c r="C126" s="11" t="n">
        <v>16440.1846308092</v>
      </c>
      <c r="D126" s="18" t="n">
        <v>125</v>
      </c>
    </row>
    <row r="127" ht="14.399999999999999" customHeight="1">
      <c r="A127" s="10" t="s">
        <v>258</v>
      </c>
      <c r="B127" s="10" t="s">
        <v>259</v>
      </c>
      <c r="C127" s="11" t="n">
        <v>16096.9686300551</v>
      </c>
      <c r="D127" s="18" t="n">
        <v>126</v>
      </c>
    </row>
    <row r="128" ht="14.399999999999999" customHeight="1">
      <c r="A128" s="10" t="s">
        <v>8187</v>
      </c>
      <c r="B128" s="10" t="s">
        <v>8188</v>
      </c>
      <c r="C128" s="11" t="n">
        <v>15965.2188722537</v>
      </c>
      <c r="D128" s="18" t="n">
        <v>127</v>
      </c>
    </row>
    <row r="129" ht="14.399999999999999" customHeight="1">
      <c r="A129" s="10" t="s">
        <v>4407</v>
      </c>
      <c r="B129" s="10" t="s">
        <v>4408</v>
      </c>
      <c r="C129" s="11" t="n">
        <v>15732.092723209</v>
      </c>
      <c r="D129" s="18" t="n">
        <v>128</v>
      </c>
    </row>
    <row r="130" ht="14.399999999999999" customHeight="1">
      <c r="A130" s="10" t="s">
        <v>4499</v>
      </c>
      <c r="B130" s="10" t="s">
        <v>4500</v>
      </c>
      <c r="C130" s="11" t="n">
        <v>15555.6833606652</v>
      </c>
      <c r="D130" s="18" t="n">
        <v>129</v>
      </c>
    </row>
    <row r="131" ht="14.399999999999999" customHeight="1">
      <c r="A131" s="10" t="s">
        <v>228</v>
      </c>
      <c r="B131" s="10" t="s">
        <v>229</v>
      </c>
      <c r="C131" s="11" t="n">
        <v>14953.6539522392</v>
      </c>
      <c r="D131" s="18" t="n">
        <v>130</v>
      </c>
    </row>
    <row r="132" ht="14.399999999999999" customHeight="1">
      <c r="A132" s="10" t="s">
        <v>8189</v>
      </c>
      <c r="B132" s="10" t="s">
        <v>8190</v>
      </c>
      <c r="C132" s="11" t="n">
        <v>14662.8799493318</v>
      </c>
      <c r="D132" s="18" t="n">
        <v>131</v>
      </c>
    </row>
    <row r="133" ht="14.399999999999999" customHeight="1">
      <c r="A133" s="10" t="s">
        <v>4501</v>
      </c>
      <c r="B133" s="10" t="s">
        <v>4502</v>
      </c>
      <c r="C133" s="11" t="n">
        <v>14602.7728136873</v>
      </c>
      <c r="D133" s="18" t="n">
        <v>132</v>
      </c>
    </row>
    <row r="134" ht="14.399999999999999" customHeight="1">
      <c r="A134" s="10" t="s">
        <v>116</v>
      </c>
      <c r="B134" s="10" t="s">
        <v>117</v>
      </c>
      <c r="C134" s="11" t="n">
        <v>14536.9082590335</v>
      </c>
      <c r="D134" s="18" t="n">
        <v>133</v>
      </c>
    </row>
    <row r="135" ht="14.399999999999999" customHeight="1">
      <c r="A135" s="10" t="s">
        <v>110</v>
      </c>
      <c r="B135" s="10" t="s">
        <v>111</v>
      </c>
      <c r="C135" s="11" t="n">
        <v>14357.2402805082</v>
      </c>
      <c r="D135" s="18" t="n">
        <v>134</v>
      </c>
    </row>
    <row r="136" ht="14.399999999999999" customHeight="1">
      <c r="A136" s="10" t="s">
        <v>108</v>
      </c>
      <c r="B136" s="10" t="s">
        <v>109</v>
      </c>
      <c r="C136" s="11" t="n">
        <v>13398.9684837113</v>
      </c>
      <c r="D136" s="18" t="n">
        <v>135</v>
      </c>
    </row>
    <row r="137" ht="14.399999999999999" customHeight="1">
      <c r="A137" s="10" t="s">
        <v>104</v>
      </c>
      <c r="B137" s="10" t="s">
        <v>105</v>
      </c>
      <c r="C137" s="11" t="n">
        <v>13357.1449303913</v>
      </c>
      <c r="D137" s="18" t="n">
        <v>136</v>
      </c>
    </row>
    <row r="138" ht="14.399999999999999" customHeight="1">
      <c r="A138" s="10" t="s">
        <v>4581</v>
      </c>
      <c r="B138" s="10" t="s">
        <v>4582</v>
      </c>
      <c r="C138" s="11" t="n">
        <v>13255.8182783042</v>
      </c>
      <c r="D138" s="18" t="n">
        <v>137</v>
      </c>
    </row>
    <row r="139" ht="14.399999999999999" customHeight="1">
      <c r="A139" s="10" t="s">
        <v>8191</v>
      </c>
      <c r="B139" s="10" t="s">
        <v>8192</v>
      </c>
      <c r="C139" s="11" t="n">
        <v>13071</v>
      </c>
      <c r="D139" s="18" t="n">
        <v>138</v>
      </c>
    </row>
    <row r="140" ht="14.399999999999999" customHeight="1">
      <c r="A140" s="10" t="s">
        <v>8193</v>
      </c>
      <c r="B140" s="10" t="s">
        <v>4616</v>
      </c>
      <c r="C140" s="11" t="n">
        <v>12809.8153769427</v>
      </c>
      <c r="D140" s="18" t="n">
        <v>139</v>
      </c>
    </row>
    <row r="141" ht="14.399999999999999" customHeight="1">
      <c r="A141" s="10" t="s">
        <v>112</v>
      </c>
      <c r="B141" s="10" t="s">
        <v>113</v>
      </c>
      <c r="C141" s="11" t="n">
        <v>12736.7073053318</v>
      </c>
      <c r="D141" s="18" t="n">
        <v>140</v>
      </c>
    </row>
    <row r="142" ht="14.399999999999999" customHeight="1">
      <c r="A142" s="10" t="s">
        <v>4619</v>
      </c>
      <c r="B142" s="10" t="s">
        <v>4620</v>
      </c>
      <c r="C142" s="11" t="n">
        <v>12669.0973155118</v>
      </c>
      <c r="D142" s="18" t="n">
        <v>141</v>
      </c>
    </row>
    <row r="143" ht="14.399999999999999" customHeight="1">
      <c r="A143" s="10" t="s">
        <v>4647</v>
      </c>
      <c r="B143" s="10" t="s">
        <v>4648</v>
      </c>
      <c r="C143" s="11" t="n">
        <v>12510.7834147807</v>
      </c>
      <c r="D143" s="18" t="n">
        <v>142</v>
      </c>
    </row>
    <row r="144" ht="14.399999999999999" customHeight="1">
      <c r="A144" s="10" t="s">
        <v>114</v>
      </c>
      <c r="B144" s="10" t="s">
        <v>115</v>
      </c>
      <c r="C144" s="11" t="n">
        <v>12413.0150557145</v>
      </c>
      <c r="D144" s="18" t="n">
        <v>143</v>
      </c>
    </row>
    <row r="145" ht="14.399999999999999" customHeight="1">
      <c r="A145" s="10" t="s">
        <v>8194</v>
      </c>
      <c r="B145" s="10" t="s">
        <v>8195</v>
      </c>
      <c r="C145" s="11" t="n">
        <v>12248.6941851503</v>
      </c>
      <c r="D145" s="18" t="n">
        <v>144</v>
      </c>
    </row>
    <row r="146" ht="14.399999999999999" customHeight="1">
      <c r="A146" s="10" t="s">
        <v>222</v>
      </c>
      <c r="B146" s="10" t="s">
        <v>223</v>
      </c>
      <c r="C146" s="11" t="n">
        <v>12050.5961696016</v>
      </c>
      <c r="D146" s="18" t="n">
        <v>145</v>
      </c>
    </row>
    <row r="147" ht="14.399999999999999" customHeight="1">
      <c r="A147" s="10" t="s">
        <v>4723</v>
      </c>
      <c r="B147" s="10" t="s">
        <v>4724</v>
      </c>
      <c r="C147" s="11" t="n">
        <v>11659.1541496449</v>
      </c>
      <c r="D147" s="18" t="n">
        <v>146</v>
      </c>
    </row>
    <row r="148" ht="14.399999999999999" customHeight="1">
      <c r="A148" s="10" t="s">
        <v>8196</v>
      </c>
      <c r="B148" s="10" t="s">
        <v>8197</v>
      </c>
      <c r="C148" s="11" t="n">
        <v>11607.0475715696</v>
      </c>
      <c r="D148" s="18" t="n">
        <v>147</v>
      </c>
    </row>
    <row r="149" ht="14.399999999999999" customHeight="1">
      <c r="A149" s="10" t="s">
        <v>8198</v>
      </c>
      <c r="B149" s="10" t="s">
        <v>8199</v>
      </c>
      <c r="C149" s="11" t="n">
        <v>11277.1294538795</v>
      </c>
      <c r="D149" s="18" t="n">
        <v>148</v>
      </c>
    </row>
    <row r="150" ht="14.399999999999999" customHeight="1">
      <c r="A150" s="10" t="s">
        <v>118</v>
      </c>
      <c r="B150" s="10" t="s">
        <v>119</v>
      </c>
      <c r="C150" s="11" t="n">
        <v>11212.6950691449</v>
      </c>
      <c r="D150" s="18" t="n">
        <v>149</v>
      </c>
    </row>
    <row r="151" ht="14.399999999999999" customHeight="1">
      <c r="A151" s="10" t="s">
        <v>8200</v>
      </c>
      <c r="B151" s="10" t="s">
        <v>8201</v>
      </c>
      <c r="C151" s="11" t="n">
        <v>11208.7689079734</v>
      </c>
      <c r="D151" s="18" t="n">
        <v>150</v>
      </c>
    </row>
    <row r="152" ht="14.399999999999999" customHeight="1">
      <c r="A152" s="10" t="s">
        <v>120</v>
      </c>
      <c r="B152" s="10" t="s">
        <v>121</v>
      </c>
      <c r="C152" s="11" t="n">
        <v>11045.6606476187</v>
      </c>
      <c r="D152" s="18" t="n">
        <v>151</v>
      </c>
    </row>
    <row r="153" ht="14.399999999999999" customHeight="1">
      <c r="A153" s="10" t="s">
        <v>206</v>
      </c>
      <c r="B153" s="10" t="s">
        <v>207</v>
      </c>
      <c r="C153" s="11" t="n">
        <v>10800.5279832762</v>
      </c>
      <c r="D153" s="18" t="n">
        <v>152</v>
      </c>
    </row>
    <row r="154" ht="14.399999999999999" customHeight="1">
      <c r="A154" s="10" t="s">
        <v>124</v>
      </c>
      <c r="B154" s="10" t="s">
        <v>125</v>
      </c>
      <c r="C154" s="11" t="n">
        <v>10622.3007757636</v>
      </c>
      <c r="D154" s="18" t="n">
        <v>153</v>
      </c>
    </row>
    <row r="155" ht="14.399999999999999" customHeight="1">
      <c r="A155" s="10" t="s">
        <v>8202</v>
      </c>
      <c r="B155" s="10" t="s">
        <v>4832</v>
      </c>
      <c r="C155" s="11" t="n">
        <v>10482.6185822085</v>
      </c>
      <c r="D155" s="18" t="n">
        <v>154</v>
      </c>
    </row>
    <row r="156" ht="14.399999999999999" customHeight="1">
      <c r="A156" s="10" t="s">
        <v>4823</v>
      </c>
      <c r="B156" s="10" t="s">
        <v>4824</v>
      </c>
      <c r="C156" s="11" t="n">
        <v>10381.7318104154</v>
      </c>
      <c r="D156" s="18" t="n">
        <v>155</v>
      </c>
    </row>
    <row r="157" ht="14.399999999999999" customHeight="1">
      <c r="A157" s="10" t="s">
        <v>126</v>
      </c>
      <c r="B157" s="10" t="s">
        <v>127</v>
      </c>
      <c r="C157" s="11" t="n">
        <v>10120.9042589477</v>
      </c>
      <c r="D157" s="18" t="n">
        <v>156</v>
      </c>
    </row>
    <row r="158" ht="14.399999999999999" customHeight="1">
      <c r="A158" s="10" t="s">
        <v>8203</v>
      </c>
      <c r="B158" s="10" t="s">
        <v>8204</v>
      </c>
      <c r="C158" s="11" t="n">
        <v>9875.46216194318</v>
      </c>
      <c r="D158" s="18" t="n">
        <v>157</v>
      </c>
    </row>
    <row r="159" ht="14.399999999999999" customHeight="1">
      <c r="A159" s="10" t="s">
        <v>8030</v>
      </c>
      <c r="B159" s="10" t="s">
        <v>8205</v>
      </c>
      <c r="C159" s="11" t="n">
        <v>9830.25682200633</v>
      </c>
      <c r="D159" s="18" t="n">
        <v>158</v>
      </c>
    </row>
    <row r="160" ht="14.399999999999999" customHeight="1">
      <c r="A160" s="10" t="s">
        <v>128</v>
      </c>
      <c r="B160" s="10" t="s">
        <v>129</v>
      </c>
      <c r="C160" s="11" t="n">
        <v>9581.77520854157</v>
      </c>
      <c r="D160" s="18" t="n">
        <v>159</v>
      </c>
    </row>
    <row r="161" ht="14.399999999999999" customHeight="1">
      <c r="A161" s="10" t="s">
        <v>8206</v>
      </c>
      <c r="B161" s="10" t="s">
        <v>8207</v>
      </c>
      <c r="C161" s="11" t="n">
        <v>9479.92839714399</v>
      </c>
      <c r="D161" s="18" t="n">
        <v>160</v>
      </c>
    </row>
    <row r="162" ht="14.399999999999999" customHeight="1">
      <c r="A162" s="10" t="s">
        <v>216</v>
      </c>
      <c r="B162" s="10" t="s">
        <v>8208</v>
      </c>
      <c r="C162" s="11" t="n">
        <v>9458.23453363319</v>
      </c>
      <c r="D162" s="18" t="n">
        <v>161</v>
      </c>
    </row>
    <row r="163" ht="14.399999999999999" customHeight="1">
      <c r="A163" s="10" t="s">
        <v>8209</v>
      </c>
      <c r="B163" s="10" t="s">
        <v>131</v>
      </c>
      <c r="C163" s="11" t="n">
        <v>9157.52613345313</v>
      </c>
      <c r="D163" s="18" t="n">
        <v>162</v>
      </c>
    </row>
    <row r="164" ht="14.399999999999999" customHeight="1">
      <c r="A164" s="10" t="s">
        <v>8210</v>
      </c>
      <c r="B164" s="10" t="s">
        <v>8211</v>
      </c>
      <c r="C164" s="11" t="n">
        <v>9141.62898589627</v>
      </c>
      <c r="D164" s="18" t="n">
        <v>163</v>
      </c>
    </row>
    <row r="165" ht="14.399999999999999" customHeight="1">
      <c r="A165" s="10" t="s">
        <v>136</v>
      </c>
      <c r="B165" s="10" t="s">
        <v>137</v>
      </c>
      <c r="C165" s="11" t="n">
        <v>9085</v>
      </c>
      <c r="D165" s="18" t="n">
        <v>164</v>
      </c>
    </row>
    <row r="166" ht="14.399999999999999" customHeight="1">
      <c r="A166" s="10" t="s">
        <v>132</v>
      </c>
      <c r="B166" s="10" t="s">
        <v>133</v>
      </c>
      <c r="C166" s="11" t="n">
        <v>8843.07012185833</v>
      </c>
      <c r="D166" s="18" t="n">
        <v>165</v>
      </c>
    </row>
    <row r="167" ht="14.399999999999999" customHeight="1">
      <c r="A167" s="10" t="s">
        <v>5039</v>
      </c>
      <c r="B167" s="10" t="s">
        <v>5040</v>
      </c>
      <c r="C167" s="11" t="n">
        <v>8837.35016341834</v>
      </c>
      <c r="D167" s="18" t="n">
        <v>166</v>
      </c>
    </row>
    <row r="168" ht="14.399999999999999" customHeight="1">
      <c r="A168" s="10" t="s">
        <v>8212</v>
      </c>
      <c r="B168" s="10" t="s">
        <v>8213</v>
      </c>
      <c r="C168" s="11" t="n">
        <v>8760.90454684929</v>
      </c>
      <c r="D168" s="18" t="n">
        <v>167</v>
      </c>
    </row>
    <row r="169" ht="14.399999999999999" customHeight="1">
      <c r="A169" s="10" t="s">
        <v>138</v>
      </c>
      <c r="B169" s="10" t="s">
        <v>139</v>
      </c>
      <c r="C169" s="11" t="n">
        <v>8004.96545811602</v>
      </c>
      <c r="D169" s="18" t="n">
        <v>168</v>
      </c>
    </row>
    <row r="170" ht="14.399999999999999" customHeight="1">
      <c r="A170" s="10" t="s">
        <v>134</v>
      </c>
      <c r="B170" s="10" t="s">
        <v>135</v>
      </c>
      <c r="C170" s="11" t="n">
        <v>7969.61427302128</v>
      </c>
      <c r="D170" s="18" t="n">
        <v>169</v>
      </c>
    </row>
    <row r="171" ht="14.399999999999999" customHeight="1">
      <c r="A171" s="10" t="s">
        <v>6759</v>
      </c>
      <c r="B171" s="10" t="s">
        <v>6760</v>
      </c>
      <c r="C171" s="11" t="n">
        <v>7774.40785168412</v>
      </c>
      <c r="D171" s="18" t="n">
        <v>170</v>
      </c>
    </row>
    <row r="172" ht="14.399999999999999" customHeight="1">
      <c r="A172" s="10" t="s">
        <v>6666</v>
      </c>
      <c r="B172" s="10" t="s">
        <v>237</v>
      </c>
      <c r="C172" s="11" t="n">
        <v>7688.10378362368</v>
      </c>
      <c r="D172" s="18" t="n">
        <v>171</v>
      </c>
    </row>
    <row r="173" ht="14.399999999999999" customHeight="1">
      <c r="A173" s="10" t="s">
        <v>5125</v>
      </c>
      <c r="B173" s="10" t="s">
        <v>5126</v>
      </c>
      <c r="C173" s="11" t="n">
        <v>7505.42956037817</v>
      </c>
      <c r="D173" s="18" t="n">
        <v>172</v>
      </c>
    </row>
    <row r="174" ht="14.399999999999999" customHeight="1">
      <c r="A174" s="10" t="s">
        <v>5117</v>
      </c>
      <c r="B174" s="10" t="s">
        <v>5118</v>
      </c>
      <c r="C174" s="11" t="n">
        <v>7357.83125305192</v>
      </c>
      <c r="D174" s="18" t="n">
        <v>173</v>
      </c>
    </row>
    <row r="175" ht="14.399999999999999" customHeight="1">
      <c r="A175" s="10" t="s">
        <v>8214</v>
      </c>
      <c r="B175" s="10" t="s">
        <v>8215</v>
      </c>
      <c r="C175" s="11" t="n">
        <v>7325.94716595263</v>
      </c>
      <c r="D175" s="18" t="n">
        <v>174</v>
      </c>
    </row>
    <row r="176" ht="14.399999999999999" customHeight="1">
      <c r="A176" s="10" t="s">
        <v>224</v>
      </c>
      <c r="B176" s="10" t="s">
        <v>225</v>
      </c>
      <c r="C176" s="11" t="n">
        <v>7318.55720295853</v>
      </c>
      <c r="D176" s="18" t="n">
        <v>175</v>
      </c>
    </row>
    <row r="177" ht="14.399999999999999" customHeight="1">
      <c r="A177" s="10" t="s">
        <v>8216</v>
      </c>
      <c r="B177" s="10" t="s">
        <v>8217</v>
      </c>
      <c r="C177" s="11" t="n">
        <v>7111.02005627663</v>
      </c>
      <c r="D177" s="18" t="n">
        <v>176</v>
      </c>
    </row>
    <row r="178" ht="14.399999999999999" customHeight="1">
      <c r="A178" s="10" t="s">
        <v>8218</v>
      </c>
      <c r="B178" s="10" t="s">
        <v>8219</v>
      </c>
      <c r="C178" s="11" t="n">
        <v>7107.57542673603</v>
      </c>
      <c r="D178" s="18" t="n">
        <v>177</v>
      </c>
    </row>
    <row r="179" ht="14.399999999999999" customHeight="1">
      <c r="A179" s="10" t="s">
        <v>8220</v>
      </c>
      <c r="B179" s="10" t="s">
        <v>141</v>
      </c>
      <c r="C179" s="11" t="n">
        <v>6986.06206583893</v>
      </c>
      <c r="D179" s="18" t="n">
        <v>178</v>
      </c>
    </row>
    <row r="180" ht="14.399999999999999" customHeight="1">
      <c r="A180" s="10" t="s">
        <v>8221</v>
      </c>
      <c r="B180" s="10" t="s">
        <v>8222</v>
      </c>
      <c r="C180" s="11" t="n">
        <v>6983.40583431727</v>
      </c>
      <c r="D180" s="18" t="n">
        <v>179</v>
      </c>
    </row>
    <row r="181" ht="14.399999999999999" customHeight="1">
      <c r="A181" s="10" t="s">
        <v>1029</v>
      </c>
      <c r="B181" s="10" t="s">
        <v>143</v>
      </c>
      <c r="C181" s="11" t="n">
        <v>6948.03454575997</v>
      </c>
      <c r="D181" s="18" t="n">
        <v>180</v>
      </c>
    </row>
    <row r="182" ht="14.399999999999999" customHeight="1">
      <c r="A182" s="10" t="s">
        <v>8223</v>
      </c>
      <c r="B182" s="10" t="s">
        <v>8224</v>
      </c>
      <c r="C182" s="11" t="n">
        <v>6821.92100651355</v>
      </c>
      <c r="D182" s="18" t="n">
        <v>181</v>
      </c>
    </row>
    <row r="183" ht="14.399999999999999" customHeight="1">
      <c r="A183" s="10" t="s">
        <v>320</v>
      </c>
      <c r="B183" s="10" t="s">
        <v>8225</v>
      </c>
      <c r="C183" s="11" t="n">
        <v>6752.98763479334</v>
      </c>
      <c r="D183" s="18" t="n">
        <v>182</v>
      </c>
    </row>
    <row r="184" ht="14.399999999999999" customHeight="1">
      <c r="A184" s="10" t="s">
        <v>8226</v>
      </c>
      <c r="B184" s="10" t="s">
        <v>8227</v>
      </c>
      <c r="C184" s="11" t="n">
        <v>6640.6032000686</v>
      </c>
      <c r="D184" s="18" t="n">
        <v>183</v>
      </c>
    </row>
    <row r="185" ht="14.399999999999999" customHeight="1">
      <c r="A185" s="10" t="s">
        <v>146</v>
      </c>
      <c r="B185" s="10" t="s">
        <v>147</v>
      </c>
      <c r="C185" s="11" t="n">
        <v>6590.14551873241</v>
      </c>
      <c r="D185" s="18" t="n">
        <v>184</v>
      </c>
    </row>
    <row r="186" ht="14.399999999999999" customHeight="1">
      <c r="A186" s="10" t="s">
        <v>144</v>
      </c>
      <c r="B186" s="10" t="s">
        <v>145</v>
      </c>
      <c r="C186" s="11" t="n">
        <v>6569.14241130327</v>
      </c>
      <c r="D186" s="18" t="n">
        <v>185</v>
      </c>
    </row>
    <row r="187" ht="14.399999999999999" customHeight="1">
      <c r="A187" s="10" t="s">
        <v>254</v>
      </c>
      <c r="B187" s="10" t="s">
        <v>255</v>
      </c>
      <c r="C187" s="11" t="n">
        <v>6490.86492347926</v>
      </c>
      <c r="D187" s="18" t="n">
        <v>186</v>
      </c>
    </row>
    <row r="188" ht="14.399999999999999" customHeight="1">
      <c r="A188" s="10" t="s">
        <v>8228</v>
      </c>
      <c r="B188" s="10" t="s">
        <v>8229</v>
      </c>
      <c r="C188" s="11" t="n">
        <v>6474.43230285788</v>
      </c>
      <c r="D188" s="18" t="n">
        <v>187</v>
      </c>
    </row>
    <row r="189" ht="14.399999999999999" customHeight="1">
      <c r="A189" s="10" t="s">
        <v>148</v>
      </c>
      <c r="B189" s="10" t="s">
        <v>149</v>
      </c>
      <c r="C189" s="11" t="n">
        <v>6404.21264485742</v>
      </c>
      <c r="D189" s="18" t="n">
        <v>188</v>
      </c>
    </row>
    <row r="190" ht="14.399999999999999" customHeight="1">
      <c r="A190" s="10" t="s">
        <v>8230</v>
      </c>
      <c r="B190" s="10" t="s">
        <v>8231</v>
      </c>
      <c r="C190" s="11" t="n">
        <v>6332.31264312503</v>
      </c>
      <c r="D190" s="18" t="n">
        <v>189</v>
      </c>
    </row>
    <row r="191" ht="14.399999999999999" customHeight="1">
      <c r="A191" s="10" t="s">
        <v>8232</v>
      </c>
      <c r="B191" s="10" t="s">
        <v>8233</v>
      </c>
      <c r="C191" s="11" t="n">
        <v>6287.06281693775</v>
      </c>
      <c r="D191" s="18" t="n">
        <v>190</v>
      </c>
    </row>
    <row r="192" ht="14.399999999999999" customHeight="1">
      <c r="A192" s="10" t="s">
        <v>8234</v>
      </c>
      <c r="B192" s="10" t="s">
        <v>8235</v>
      </c>
      <c r="C192" s="11" t="n">
        <v>6017.90253814443</v>
      </c>
      <c r="D192" s="18" t="n">
        <v>191</v>
      </c>
    </row>
    <row r="193" ht="14.399999999999999" customHeight="1">
      <c r="A193" s="10" t="s">
        <v>248</v>
      </c>
      <c r="B193" s="10" t="s">
        <v>8236</v>
      </c>
      <c r="C193" s="11" t="n">
        <v>5631.55182103295</v>
      </c>
      <c r="D193" s="18" t="n">
        <v>192</v>
      </c>
    </row>
    <row r="194" ht="14.399999999999999" customHeight="1">
      <c r="A194" s="10" t="s">
        <v>150</v>
      </c>
      <c r="B194" s="10" t="s">
        <v>151</v>
      </c>
      <c r="C194" s="11" t="n">
        <v>5591.55246043595</v>
      </c>
      <c r="D194" s="18" t="n">
        <v>193</v>
      </c>
    </row>
    <row r="195" ht="14.399999999999999" customHeight="1">
      <c r="A195" s="10" t="s">
        <v>230</v>
      </c>
      <c r="B195" s="10" t="s">
        <v>231</v>
      </c>
      <c r="C195" s="11" t="n">
        <v>5522.92865039759</v>
      </c>
      <c r="D195" s="18" t="n">
        <v>194</v>
      </c>
    </row>
    <row r="196" ht="14.399999999999999" customHeight="1">
      <c r="A196" s="10" t="s">
        <v>8237</v>
      </c>
      <c r="B196" s="10" t="s">
        <v>8238</v>
      </c>
      <c r="C196" s="11" t="n">
        <v>5510.10693823875</v>
      </c>
      <c r="D196" s="18" t="n">
        <v>195</v>
      </c>
    </row>
    <row r="197" ht="14.399999999999999" customHeight="1">
      <c r="A197" s="10" t="s">
        <v>6877</v>
      </c>
      <c r="B197" s="10" t="s">
        <v>8239</v>
      </c>
      <c r="C197" s="11" t="n">
        <v>5465.66952790886</v>
      </c>
      <c r="D197" s="18" t="n">
        <v>196</v>
      </c>
    </row>
    <row r="198" ht="14.399999999999999" customHeight="1">
      <c r="A198" s="10" t="s">
        <v>8240</v>
      </c>
      <c r="B198" s="10" t="s">
        <v>8241</v>
      </c>
      <c r="C198" s="11" t="n">
        <v>5412.41720383349</v>
      </c>
      <c r="D198" s="18" t="n">
        <v>197</v>
      </c>
    </row>
    <row r="199" ht="14.399999999999999" customHeight="1">
      <c r="A199" s="10" t="s">
        <v>246</v>
      </c>
      <c r="B199" s="18" t="s">
        <v>1037</v>
      </c>
      <c r="C199" s="11" t="n">
        <v>5353.84581570714</v>
      </c>
      <c r="D199" s="18" t="n">
        <v>198</v>
      </c>
    </row>
    <row r="200" ht="14.399999999999999" customHeight="1">
      <c r="A200" s="10" t="s">
        <v>8242</v>
      </c>
      <c r="B200" s="10" t="s">
        <v>8243</v>
      </c>
      <c r="C200" s="11" t="n">
        <v>5313.94391696571</v>
      </c>
      <c r="D200" s="18" t="n">
        <v>199</v>
      </c>
    </row>
    <row r="201" ht="14.399999999999999" customHeight="1">
      <c r="A201" s="10" t="s">
        <v>8244</v>
      </c>
      <c r="B201" s="10" t="s">
        <v>8245</v>
      </c>
      <c r="C201" s="11" t="n">
        <v>5203.94421740524</v>
      </c>
      <c r="D201" s="18" t="n">
        <v>200</v>
      </c>
    </row>
    <row r="202" ht="14.399999999999999" customHeight="1">
      <c r="A202" s="10" t="s">
        <v>8246</v>
      </c>
      <c r="B202" s="10" t="s">
        <v>8247</v>
      </c>
      <c r="C202" s="11" t="n">
        <v>5191.23481287275</v>
      </c>
      <c r="D202" s="18" t="n">
        <v>201</v>
      </c>
    </row>
    <row r="203" ht="14.399999999999999" customHeight="1">
      <c r="A203" s="10" t="s">
        <v>8248</v>
      </c>
      <c r="B203" s="10" t="s">
        <v>8249</v>
      </c>
      <c r="C203" s="11" t="n">
        <v>5001.02770882266</v>
      </c>
      <c r="D203" s="18" t="n">
        <v>202</v>
      </c>
    </row>
    <row r="204" ht="14.399999999999999" customHeight="1">
      <c r="A204" s="10" t="s">
        <v>156</v>
      </c>
      <c r="B204" s="10" t="s">
        <v>157</v>
      </c>
      <c r="C204" s="11" t="n">
        <v>4915.36617242331</v>
      </c>
      <c r="D204" s="18" t="n">
        <v>203</v>
      </c>
    </row>
    <row r="205" ht="14.399999999999999" customHeight="1">
      <c r="A205" s="10" t="s">
        <v>8250</v>
      </c>
      <c r="B205" s="10" t="s">
        <v>5214</v>
      </c>
      <c r="C205" s="11" t="n">
        <v>4887.82379791158</v>
      </c>
      <c r="D205" s="18" t="n">
        <v>204</v>
      </c>
    </row>
    <row r="206" ht="14.399999999999999" customHeight="1">
      <c r="A206" s="10" t="s">
        <v>8251</v>
      </c>
      <c r="B206" s="10" t="s">
        <v>8252</v>
      </c>
      <c r="C206" s="11" t="n">
        <v>4825.33386263584</v>
      </c>
      <c r="D206" s="18" t="n">
        <v>205</v>
      </c>
    </row>
    <row r="207" ht="14.399999999999999" customHeight="1">
      <c r="A207" s="10" t="s">
        <v>8253</v>
      </c>
      <c r="B207" s="10" t="s">
        <v>8254</v>
      </c>
      <c r="C207" s="11" t="n">
        <v>4665.01710772924</v>
      </c>
      <c r="D207" s="18" t="n">
        <v>206</v>
      </c>
    </row>
    <row r="208" ht="14.399999999999999" customHeight="1">
      <c r="A208" s="10" t="s">
        <v>8255</v>
      </c>
      <c r="B208" s="10" t="s">
        <v>8256</v>
      </c>
      <c r="C208" s="11" t="n">
        <v>4626.45311889532</v>
      </c>
      <c r="D208" s="18" t="n">
        <v>207</v>
      </c>
    </row>
    <row r="209" ht="14.399999999999999" customHeight="1">
      <c r="A209" s="10" t="s">
        <v>8257</v>
      </c>
      <c r="B209" s="10" t="s">
        <v>8258</v>
      </c>
      <c r="C209" s="11" t="n">
        <v>4580.1815195041</v>
      </c>
      <c r="D209" s="18" t="n">
        <v>208</v>
      </c>
    </row>
    <row r="210" ht="14.399999999999999" customHeight="1">
      <c r="A210" s="10" t="s">
        <v>7603</v>
      </c>
      <c r="B210" s="10" t="s">
        <v>8259</v>
      </c>
      <c r="C210" s="11" t="n">
        <v>4566.8719279603</v>
      </c>
      <c r="D210" s="18" t="n">
        <v>209</v>
      </c>
    </row>
    <row r="211" ht="14.399999999999999" customHeight="1">
      <c r="A211" s="10" t="s">
        <v>8260</v>
      </c>
      <c r="B211" s="10" t="s">
        <v>8261</v>
      </c>
      <c r="C211" s="11" t="n">
        <v>4280.968029176</v>
      </c>
      <c r="D211" s="18" t="n">
        <v>210</v>
      </c>
    </row>
    <row r="212" ht="14.399999999999999" customHeight="1">
      <c r="A212" s="10" t="s">
        <v>122</v>
      </c>
      <c r="B212" s="10" t="s">
        <v>123</v>
      </c>
      <c r="C212" s="11" t="n">
        <v>4223.87106516565</v>
      </c>
      <c r="D212" s="18" t="n">
        <v>211</v>
      </c>
    </row>
    <row r="213" ht="14.399999999999999" customHeight="1">
      <c r="A213" s="10" t="s">
        <v>154</v>
      </c>
      <c r="B213" s="10" t="s">
        <v>155</v>
      </c>
      <c r="C213" s="11" t="n">
        <v>4195.24855991925</v>
      </c>
      <c r="D213" s="18" t="n">
        <v>212</v>
      </c>
    </row>
    <row r="214" ht="14.399999999999999" customHeight="1">
      <c r="A214" s="10" t="s">
        <v>252</v>
      </c>
      <c r="B214" s="10" t="s">
        <v>8262</v>
      </c>
      <c r="C214" s="11" t="n">
        <v>4141.04400960517</v>
      </c>
      <c r="D214" s="18" t="n">
        <v>213</v>
      </c>
    </row>
    <row r="215" ht="14.399999999999999" customHeight="1">
      <c r="A215" s="10" t="s">
        <v>152</v>
      </c>
      <c r="B215" s="10" t="s">
        <v>153</v>
      </c>
      <c r="C215" s="11" t="n">
        <v>4117.00109006229</v>
      </c>
      <c r="D215" s="18" t="n">
        <v>214</v>
      </c>
    </row>
    <row r="216" ht="14.399999999999999" customHeight="1">
      <c r="A216" s="10" t="s">
        <v>8263</v>
      </c>
      <c r="B216" s="10" t="s">
        <v>8264</v>
      </c>
      <c r="C216" s="11" t="n">
        <v>4063.20189354424</v>
      </c>
      <c r="D216" s="18" t="n">
        <v>215</v>
      </c>
    </row>
    <row r="217" ht="14.399999999999999" customHeight="1">
      <c r="A217" s="10" t="s">
        <v>8265</v>
      </c>
      <c r="B217" s="10" t="s">
        <v>8266</v>
      </c>
      <c r="C217" s="11" t="n">
        <v>4011.56727634478</v>
      </c>
      <c r="D217" s="18" t="n">
        <v>216</v>
      </c>
    </row>
    <row r="218" ht="14.399999999999999" customHeight="1">
      <c r="A218" s="10" t="s">
        <v>240</v>
      </c>
      <c r="B218" s="10" t="s">
        <v>241</v>
      </c>
      <c r="C218" s="11" t="n">
        <v>3949.70699235426</v>
      </c>
      <c r="D218" s="18" t="n">
        <v>217</v>
      </c>
    </row>
    <row r="219" ht="14.399999999999999" customHeight="1">
      <c r="A219" s="10" t="s">
        <v>234</v>
      </c>
      <c r="B219" s="10" t="s">
        <v>235</v>
      </c>
      <c r="C219" s="11" t="n">
        <v>3945.52054545987</v>
      </c>
      <c r="D219" s="18" t="n">
        <v>218</v>
      </c>
    </row>
    <row r="220" ht="14.399999999999999" customHeight="1">
      <c r="A220" s="10" t="s">
        <v>408</v>
      </c>
      <c r="B220" s="10" t="s">
        <v>8267</v>
      </c>
      <c r="C220" s="11" t="n">
        <v>3922.51440377347</v>
      </c>
      <c r="D220" s="18" t="n">
        <v>219</v>
      </c>
    </row>
    <row r="221" ht="14.399999999999999" customHeight="1">
      <c r="A221" s="10" t="s">
        <v>194</v>
      </c>
      <c r="B221" s="10" t="s">
        <v>195</v>
      </c>
      <c r="C221" s="11" t="n">
        <v>3911.60449619857</v>
      </c>
      <c r="D221" s="18" t="n">
        <v>220</v>
      </c>
    </row>
    <row r="222" ht="14.399999999999999" customHeight="1">
      <c r="A222" s="10" t="s">
        <v>8268</v>
      </c>
      <c r="B222" s="10" t="s">
        <v>8269</v>
      </c>
      <c r="C222" s="11" t="n">
        <v>3881.95182276535</v>
      </c>
      <c r="D222" s="18" t="n">
        <v>221</v>
      </c>
    </row>
    <row r="223" ht="14.399999999999999" customHeight="1">
      <c r="A223" s="10" t="s">
        <v>270</v>
      </c>
      <c r="B223" s="10" t="s">
        <v>8270</v>
      </c>
      <c r="C223" s="11" t="n">
        <v>3767.98138141112</v>
      </c>
      <c r="D223" s="18" t="n">
        <v>222</v>
      </c>
    </row>
    <row r="224" ht="14.399999999999999" customHeight="1">
      <c r="A224" s="10" t="s">
        <v>276</v>
      </c>
      <c r="B224" s="10" t="s">
        <v>277</v>
      </c>
      <c r="C224" s="11" t="n">
        <v>3734.29837030935</v>
      </c>
      <c r="D224" s="18" t="n">
        <v>223</v>
      </c>
    </row>
    <row r="225" ht="14.399999999999999" customHeight="1">
      <c r="A225" s="10" t="s">
        <v>192</v>
      </c>
      <c r="B225" s="10" t="s">
        <v>193</v>
      </c>
      <c r="C225" s="11" t="n">
        <v>3690.91655576851</v>
      </c>
      <c r="D225" s="18" t="n">
        <v>224</v>
      </c>
    </row>
    <row r="226" ht="14.399999999999999" customHeight="1">
      <c r="A226" s="10" t="s">
        <v>242</v>
      </c>
      <c r="B226" s="10" t="s">
        <v>243</v>
      </c>
      <c r="C226" s="11" t="n">
        <v>3683.49939045895</v>
      </c>
      <c r="D226" s="18" t="n">
        <v>225</v>
      </c>
    </row>
    <row r="227" ht="14.399999999999999" customHeight="1">
      <c r="A227" s="10" t="s">
        <v>8271</v>
      </c>
      <c r="B227" s="10" t="s">
        <v>8272</v>
      </c>
      <c r="C227" s="11" t="n">
        <v>3664.57398038629</v>
      </c>
      <c r="D227" s="18" t="n">
        <v>226</v>
      </c>
    </row>
    <row r="228" ht="14.399999999999999" customHeight="1">
      <c r="A228" s="10" t="s">
        <v>8273</v>
      </c>
      <c r="B228" s="10" t="s">
        <v>8274</v>
      </c>
      <c r="C228" s="11" t="n">
        <v>3496.1487205334</v>
      </c>
      <c r="D228" s="18" t="n">
        <v>227</v>
      </c>
    </row>
    <row r="229" ht="14.399999999999999" customHeight="1">
      <c r="A229" s="10" t="s">
        <v>158</v>
      </c>
      <c r="B229" s="10" t="s">
        <v>159</v>
      </c>
      <c r="C229" s="11" t="n">
        <v>3459.44495984208</v>
      </c>
      <c r="D229" s="18" t="n">
        <v>228</v>
      </c>
    </row>
    <row r="230" ht="14.399999999999999" customHeight="1">
      <c r="A230" s="10" t="s">
        <v>168</v>
      </c>
      <c r="B230" s="10" t="s">
        <v>169</v>
      </c>
      <c r="C230" s="11" t="n">
        <v>3450.05521157765</v>
      </c>
      <c r="D230" s="18" t="n">
        <v>229</v>
      </c>
    </row>
    <row r="231" ht="14.399999999999999" customHeight="1">
      <c r="A231" s="10" t="s">
        <v>1679</v>
      </c>
      <c r="B231" s="10" t="s">
        <v>1680</v>
      </c>
      <c r="C231" s="11" t="n">
        <v>3357.61510595397</v>
      </c>
      <c r="D231" s="18" t="n">
        <v>230</v>
      </c>
    </row>
    <row r="232" ht="14.399999999999999" customHeight="1">
      <c r="A232" s="10" t="s">
        <v>160</v>
      </c>
      <c r="B232" s="10" t="s">
        <v>161</v>
      </c>
      <c r="C232" s="11" t="n">
        <v>3319.67322755507</v>
      </c>
      <c r="D232" s="18" t="n">
        <v>231</v>
      </c>
    </row>
    <row r="233" ht="14.399999999999999" customHeight="1">
      <c r="A233" s="10" t="s">
        <v>172</v>
      </c>
      <c r="B233" s="10" t="s">
        <v>173</v>
      </c>
      <c r="C233" s="11" t="n">
        <v>3156.22080391066</v>
      </c>
      <c r="D233" s="18" t="n">
        <v>232</v>
      </c>
    </row>
    <row r="234" ht="14.399999999999999" customHeight="1">
      <c r="A234" s="10" t="s">
        <v>482</v>
      </c>
      <c r="B234" s="10" t="s">
        <v>483</v>
      </c>
      <c r="C234" s="11" t="n">
        <v>3077.81358102956</v>
      </c>
      <c r="D234" s="18" t="n">
        <v>233</v>
      </c>
    </row>
    <row r="235" ht="14.399999999999999" customHeight="1">
      <c r="A235" s="10" t="s">
        <v>8275</v>
      </c>
      <c r="B235" s="10" t="s">
        <v>167</v>
      </c>
      <c r="C235" s="11" t="n">
        <v>3030.68758414262</v>
      </c>
      <c r="D235" s="18" t="n">
        <v>234</v>
      </c>
    </row>
    <row r="236" ht="14.399999999999999" customHeight="1">
      <c r="A236" s="10" t="s">
        <v>162</v>
      </c>
      <c r="B236" s="10" t="s">
        <v>163</v>
      </c>
      <c r="C236" s="11" t="n">
        <v>2975.48628281545</v>
      </c>
      <c r="D236" s="18" t="n">
        <v>235</v>
      </c>
    </row>
    <row r="237" ht="14.399999999999999" customHeight="1">
      <c r="A237" s="10" t="s">
        <v>164</v>
      </c>
      <c r="B237" s="10" t="s">
        <v>165</v>
      </c>
      <c r="C237" s="11" t="n">
        <v>2966.94761661193</v>
      </c>
      <c r="D237" s="18" t="n">
        <v>236</v>
      </c>
    </row>
    <row r="238" ht="14.399999999999999" customHeight="1">
      <c r="A238" s="10" t="s">
        <v>402</v>
      </c>
      <c r="B238" s="10" t="s">
        <v>403</v>
      </c>
      <c r="C238" s="11" t="n">
        <v>2868.77628606589</v>
      </c>
      <c r="D238" s="18" t="n">
        <v>237</v>
      </c>
    </row>
    <row r="239" ht="14.399999999999999" customHeight="1">
      <c r="A239" s="10" t="s">
        <v>8276</v>
      </c>
      <c r="B239" s="10" t="s">
        <v>8277</v>
      </c>
      <c r="C239" s="11" t="n">
        <v>2865.25867182944</v>
      </c>
      <c r="D239" s="18" t="n">
        <v>238</v>
      </c>
    </row>
    <row r="240" ht="14.399999999999999" customHeight="1">
      <c r="A240" s="10" t="s">
        <v>284</v>
      </c>
      <c r="B240" s="10" t="s">
        <v>1033</v>
      </c>
      <c r="C240" s="11" t="n">
        <v>2845.80459576761</v>
      </c>
      <c r="D240" s="18" t="n">
        <v>239</v>
      </c>
    </row>
    <row r="241" ht="14.399999999999999" customHeight="1">
      <c r="A241" s="10" t="s">
        <v>170</v>
      </c>
      <c r="B241" s="10" t="s">
        <v>171</v>
      </c>
      <c r="C241" s="11" t="n">
        <v>2725.30429532808</v>
      </c>
      <c r="D241" s="18" t="n">
        <v>240</v>
      </c>
    </row>
    <row r="242" ht="14.399999999999999" customHeight="1">
      <c r="A242" s="10" t="s">
        <v>8278</v>
      </c>
      <c r="B242" s="10" t="s">
        <v>8279</v>
      </c>
      <c r="C242" s="11" t="n">
        <v>2687.06647806003</v>
      </c>
      <c r="D242" s="18" t="n">
        <v>241</v>
      </c>
    </row>
    <row r="243" ht="14.399999999999999" customHeight="1">
      <c r="A243" s="10" t="s">
        <v>8280</v>
      </c>
      <c r="B243" s="10" t="s">
        <v>8281</v>
      </c>
      <c r="C243" s="11" t="n">
        <v>2637.74461568142</v>
      </c>
      <c r="D243" s="18" t="n">
        <v>242</v>
      </c>
    </row>
    <row r="244" ht="14.399999999999999" customHeight="1">
      <c r="A244" s="10" t="s">
        <v>8282</v>
      </c>
      <c r="B244" s="10" t="s">
        <v>8283</v>
      </c>
      <c r="C244" s="11" t="n">
        <v>2623.60264637546</v>
      </c>
      <c r="D244" s="18" t="n">
        <v>243</v>
      </c>
    </row>
    <row r="245" ht="14.399999999999999" customHeight="1">
      <c r="A245" s="10" t="s">
        <v>8284</v>
      </c>
      <c r="B245" s="10" t="s">
        <v>8285</v>
      </c>
      <c r="C245" s="11" t="n">
        <v>2556.29384445443</v>
      </c>
      <c r="D245" s="18" t="n">
        <v>244</v>
      </c>
    </row>
    <row r="246" ht="14.399999999999999" customHeight="1">
      <c r="A246" s="10" t="s">
        <v>8286</v>
      </c>
      <c r="B246" s="10" t="s">
        <v>8287</v>
      </c>
      <c r="C246" s="11" t="n">
        <v>2547.11025173557</v>
      </c>
      <c r="D246" s="18" t="n">
        <v>245</v>
      </c>
    </row>
    <row r="247" ht="14.399999999999999" customHeight="1">
      <c r="A247" s="10" t="s">
        <v>174</v>
      </c>
      <c r="B247" s="10" t="s">
        <v>175</v>
      </c>
      <c r="C247" s="11" t="n">
        <v>2494.72855949053</v>
      </c>
      <c r="D247" s="18" t="n">
        <v>246</v>
      </c>
    </row>
    <row r="248" ht="14.399999999999999" customHeight="1">
      <c r="A248" s="10" t="s">
        <v>8288</v>
      </c>
      <c r="B248" s="10" t="s">
        <v>8289</v>
      </c>
      <c r="C248" s="11" t="n">
        <v>2493.65707699233</v>
      </c>
      <c r="D248" s="18" t="n">
        <v>247</v>
      </c>
    </row>
    <row r="249" ht="14.399999999999999" customHeight="1">
      <c r="A249" s="10" t="s">
        <v>8290</v>
      </c>
      <c r="B249" s="10" t="s">
        <v>8291</v>
      </c>
      <c r="C249" s="11" t="n">
        <v>2490.44381393187</v>
      </c>
      <c r="D249" s="18" t="n">
        <v>248</v>
      </c>
    </row>
    <row r="250" ht="14.399999999999999" customHeight="1">
      <c r="A250" s="10" t="s">
        <v>8292</v>
      </c>
      <c r="B250" s="10" t="s">
        <v>8293</v>
      </c>
      <c r="C250" s="11" t="n">
        <v>2434.18553691382</v>
      </c>
      <c r="D250" s="18" t="n">
        <v>249</v>
      </c>
    </row>
    <row r="251" ht="14.399999999999999" customHeight="1">
      <c r="A251" s="10" t="s">
        <v>8294</v>
      </c>
      <c r="B251" s="10" t="s">
        <v>8295</v>
      </c>
      <c r="C251" s="11" t="n">
        <v>2433.66748068006</v>
      </c>
      <c r="D251" s="18" t="n">
        <v>250</v>
      </c>
    </row>
    <row r="252" ht="14.399999999999999" customHeight="1">
      <c r="A252" s="10" t="s">
        <v>8296</v>
      </c>
      <c r="B252" s="10" t="s">
        <v>8297</v>
      </c>
      <c r="C252" s="11" t="n">
        <v>2390.7827368538</v>
      </c>
      <c r="D252" s="18" t="n">
        <v>251</v>
      </c>
    </row>
    <row r="253" ht="14.399999999999999" customHeight="1">
      <c r="A253" s="10" t="s">
        <v>8298</v>
      </c>
      <c r="B253" s="10" t="s">
        <v>8299</v>
      </c>
      <c r="C253" s="11" t="n">
        <v>2369.69148985651</v>
      </c>
      <c r="D253" s="18" t="n">
        <v>252</v>
      </c>
    </row>
    <row r="254" ht="14.399999999999999" customHeight="1">
      <c r="A254" s="10" t="s">
        <v>336</v>
      </c>
      <c r="B254" s="10" t="s">
        <v>337</v>
      </c>
      <c r="C254" s="11" t="n">
        <v>2343.57333232131</v>
      </c>
      <c r="D254" s="18" t="n">
        <v>253</v>
      </c>
    </row>
    <row r="255" ht="14.399999999999999" customHeight="1">
      <c r="A255" s="10" t="s">
        <v>8300</v>
      </c>
      <c r="B255" s="10" t="s">
        <v>8301</v>
      </c>
      <c r="C255" s="11" t="n">
        <v>2312.41690339396</v>
      </c>
      <c r="D255" s="18" t="n">
        <v>254</v>
      </c>
    </row>
    <row r="256" ht="14.399999999999999" customHeight="1">
      <c r="A256" s="10" t="s">
        <v>176</v>
      </c>
      <c r="B256" s="10" t="s">
        <v>177</v>
      </c>
      <c r="C256" s="11" t="n">
        <v>2277.28393861192</v>
      </c>
      <c r="D256" s="18" t="n">
        <v>255</v>
      </c>
    </row>
    <row r="257" ht="14.399999999999999" customHeight="1">
      <c r="A257" s="10" t="s">
        <v>294</v>
      </c>
      <c r="B257" s="10" t="s">
        <v>8302</v>
      </c>
      <c r="C257" s="11" t="n">
        <v>2261.87753327754</v>
      </c>
      <c r="D257" s="18" t="n">
        <v>256</v>
      </c>
    </row>
    <row r="258" ht="14.399999999999999" customHeight="1">
      <c r="A258" s="10" t="s">
        <v>8303</v>
      </c>
      <c r="B258" s="10" t="s">
        <v>8304</v>
      </c>
      <c r="C258" s="11" t="n">
        <v>2234.10184809071</v>
      </c>
      <c r="D258" s="18" t="n">
        <v>257</v>
      </c>
    </row>
    <row r="259" ht="14.399999999999999" customHeight="1">
      <c r="A259" s="10" t="s">
        <v>8305</v>
      </c>
      <c r="B259" s="10" t="s">
        <v>8306</v>
      </c>
      <c r="C259" s="11" t="n">
        <v>2227</v>
      </c>
      <c r="D259" s="18" t="n">
        <v>258</v>
      </c>
    </row>
    <row r="260" ht="14.399999999999999" customHeight="1">
      <c r="A260" s="10" t="s">
        <v>8307</v>
      </c>
      <c r="B260" s="10" t="s">
        <v>8308</v>
      </c>
      <c r="C260" s="11" t="n">
        <v>2171.7776852297</v>
      </c>
      <c r="D260" s="18" t="n">
        <v>259</v>
      </c>
    </row>
    <row r="261" ht="14.399999999999999" customHeight="1">
      <c r="A261" s="10" t="s">
        <v>8309</v>
      </c>
      <c r="B261" s="10" t="s">
        <v>8310</v>
      </c>
      <c r="C261" s="11" t="n">
        <v>2153.02615943909</v>
      </c>
      <c r="D261" s="18" t="n">
        <v>260</v>
      </c>
    </row>
    <row r="262" ht="14.399999999999999" customHeight="1">
      <c r="A262" s="10" t="s">
        <v>6753</v>
      </c>
      <c r="B262" s="10" t="s">
        <v>8311</v>
      </c>
      <c r="C262" s="11" t="n">
        <v>2128.60535033123</v>
      </c>
      <c r="D262" s="18" t="n">
        <v>261</v>
      </c>
    </row>
    <row r="263" ht="14.399999999999999" customHeight="1">
      <c r="A263" s="10" t="s">
        <v>8312</v>
      </c>
      <c r="B263" s="10" t="s">
        <v>8313</v>
      </c>
      <c r="C263" s="11" t="n">
        <v>2082.28638931409</v>
      </c>
      <c r="D263" s="18" t="n">
        <v>262</v>
      </c>
    </row>
    <row r="264" ht="14.399999999999999" customHeight="1">
      <c r="A264" s="10" t="s">
        <v>278</v>
      </c>
      <c r="B264" s="10" t="s">
        <v>279</v>
      </c>
      <c r="C264" s="11" t="n">
        <v>2078.27938483304</v>
      </c>
      <c r="D264" s="18" t="n">
        <v>263</v>
      </c>
    </row>
    <row r="265" ht="14.399999999999999" customHeight="1">
      <c r="A265" s="10" t="s">
        <v>8314</v>
      </c>
      <c r="B265" s="10" t="s">
        <v>8315</v>
      </c>
      <c r="C265" s="11" t="n">
        <v>2075.61410160155</v>
      </c>
      <c r="D265" s="18" t="n">
        <v>264</v>
      </c>
    </row>
    <row r="266" ht="14.399999999999999" customHeight="1">
      <c r="A266" s="10" t="s">
        <v>344</v>
      </c>
      <c r="B266" s="10" t="s">
        <v>345</v>
      </c>
      <c r="C266" s="11" t="n">
        <v>2074.713554838</v>
      </c>
      <c r="D266" s="18" t="n">
        <v>265</v>
      </c>
    </row>
    <row r="267" ht="14.399999999999999" customHeight="1">
      <c r="A267" s="10" t="s">
        <v>292</v>
      </c>
      <c r="B267" s="10" t="s">
        <v>293</v>
      </c>
      <c r="C267" s="11" t="n">
        <v>2065.54416848692</v>
      </c>
      <c r="D267" s="18" t="n">
        <v>266</v>
      </c>
    </row>
    <row r="268" ht="14.399999999999999" customHeight="1">
      <c r="A268" s="10" t="s">
        <v>8316</v>
      </c>
      <c r="B268" s="10" t="s">
        <v>5244</v>
      </c>
      <c r="C268" s="11" t="n">
        <v>2049.56707893909</v>
      </c>
      <c r="D268" s="18" t="n">
        <v>267</v>
      </c>
    </row>
    <row r="269" ht="14.399999999999999" customHeight="1">
      <c r="A269" s="10" t="s">
        <v>260</v>
      </c>
      <c r="B269" s="10" t="s">
        <v>261</v>
      </c>
      <c r="C269" s="11" t="n">
        <v>2022.35312062772</v>
      </c>
      <c r="D269" s="18" t="n">
        <v>268</v>
      </c>
    </row>
    <row r="270" ht="14.399999999999999" customHeight="1">
      <c r="A270" s="10" t="s">
        <v>288</v>
      </c>
      <c r="B270" s="10" t="s">
        <v>289</v>
      </c>
      <c r="C270" s="11" t="n">
        <v>2013.45382280822</v>
      </c>
      <c r="D270" s="18" t="n">
        <v>269</v>
      </c>
    </row>
    <row r="271" ht="14.399999999999999" customHeight="1">
      <c r="A271" s="10" t="s">
        <v>8317</v>
      </c>
      <c r="B271" s="10" t="s">
        <v>8318</v>
      </c>
      <c r="C271" s="11" t="n">
        <v>2005.38913872339</v>
      </c>
      <c r="D271" s="18" t="n">
        <v>270</v>
      </c>
    </row>
    <row r="272" ht="14.399999999999999" customHeight="1">
      <c r="A272" s="10" t="s">
        <v>8319</v>
      </c>
      <c r="B272" s="10" t="s">
        <v>8320</v>
      </c>
      <c r="C272" s="11" t="n">
        <v>1994.84486720263</v>
      </c>
      <c r="D272" s="18" t="n">
        <v>271</v>
      </c>
    </row>
    <row r="273" ht="14.399999999999999" customHeight="1">
      <c r="A273" s="10" t="s">
        <v>8321</v>
      </c>
      <c r="B273" s="10" t="s">
        <v>8322</v>
      </c>
      <c r="C273" s="11" t="n">
        <v>1976.72701010696</v>
      </c>
      <c r="D273" s="18" t="n">
        <v>272</v>
      </c>
    </row>
    <row r="274" ht="14.399999999999999" customHeight="1">
      <c r="A274" s="10" t="s">
        <v>306</v>
      </c>
      <c r="B274" s="10" t="s">
        <v>2034</v>
      </c>
      <c r="C274" s="11" t="n">
        <v>1976.30914954649</v>
      </c>
      <c r="D274" s="18" t="n">
        <v>273</v>
      </c>
    </row>
    <row r="275" ht="14.399999999999999" customHeight="1">
      <c r="A275" s="10" t="s">
        <v>370</v>
      </c>
      <c r="B275" s="10" t="s">
        <v>371</v>
      </c>
      <c r="C275" s="11" t="n">
        <v>1945.22546072338</v>
      </c>
      <c r="D275" s="18" t="n">
        <v>274</v>
      </c>
    </row>
    <row r="276" ht="14.399999999999999" customHeight="1">
      <c r="A276" s="10" t="s">
        <v>256</v>
      </c>
      <c r="B276" s="10" t="s">
        <v>257</v>
      </c>
      <c r="C276" s="11" t="n">
        <v>1924.10954782267</v>
      </c>
      <c r="D276" s="18" t="n">
        <v>275</v>
      </c>
    </row>
    <row r="277" ht="14.399999999999999" customHeight="1">
      <c r="A277" s="10" t="s">
        <v>8323</v>
      </c>
      <c r="B277" s="10" t="s">
        <v>8324</v>
      </c>
      <c r="C277" s="11" t="n">
        <v>1911.19339552753</v>
      </c>
      <c r="D277" s="18" t="n">
        <v>276</v>
      </c>
    </row>
    <row r="278" ht="14.399999999999999" customHeight="1">
      <c r="A278" s="10" t="s">
        <v>8325</v>
      </c>
      <c r="B278" s="10" t="s">
        <v>8326</v>
      </c>
      <c r="C278" s="11" t="n">
        <v>1858.13471157131</v>
      </c>
      <c r="D278" s="18" t="n">
        <v>277</v>
      </c>
    </row>
    <row r="279" ht="14.399999999999999" customHeight="1">
      <c r="A279" s="10" t="s">
        <v>300</v>
      </c>
      <c r="B279" s="10" t="s">
        <v>8327</v>
      </c>
      <c r="C279" s="11" t="n">
        <v>1858.06507889622</v>
      </c>
      <c r="D279" s="18" t="n">
        <v>278</v>
      </c>
    </row>
    <row r="280" ht="14.399999999999999" customHeight="1">
      <c r="A280" s="10" t="s">
        <v>8328</v>
      </c>
      <c r="B280" s="10" t="s">
        <v>8329</v>
      </c>
      <c r="C280" s="11" t="n">
        <v>1845.3422662807</v>
      </c>
      <c r="D280" s="18" t="n">
        <v>279</v>
      </c>
    </row>
    <row r="281" ht="14.399999999999999" customHeight="1">
      <c r="A281" s="10" t="s">
        <v>1038</v>
      </c>
      <c r="B281" s="10" t="s">
        <v>1039</v>
      </c>
      <c r="C281" s="11" t="n">
        <v>1838.67298296345</v>
      </c>
      <c r="D281" s="18" t="n">
        <v>280</v>
      </c>
    </row>
    <row r="282" ht="14.399999999999999" customHeight="1">
      <c r="A282" s="10" t="s">
        <v>364</v>
      </c>
      <c r="B282" s="10" t="s">
        <v>8330</v>
      </c>
      <c r="C282" s="11" t="n">
        <v>1814.74882183484</v>
      </c>
      <c r="D282" s="18" t="n">
        <v>281</v>
      </c>
    </row>
    <row r="283" ht="14.399999999999999" customHeight="1">
      <c r="A283" s="10" t="s">
        <v>8331</v>
      </c>
      <c r="B283" s="10" t="s">
        <v>8332</v>
      </c>
      <c r="C283" s="11" t="n">
        <v>1803</v>
      </c>
      <c r="D283" s="18" t="n">
        <v>282</v>
      </c>
    </row>
    <row r="284" ht="14.399999999999999" customHeight="1">
      <c r="A284" s="10" t="s">
        <v>382</v>
      </c>
      <c r="B284" s="10" t="s">
        <v>8333</v>
      </c>
      <c r="C284" s="11" t="n">
        <v>1802.26002380732</v>
      </c>
      <c r="D284" s="18" t="n">
        <v>283</v>
      </c>
    </row>
    <row r="285" ht="14.399999999999999" customHeight="1">
      <c r="A285" s="10" t="s">
        <v>8334</v>
      </c>
      <c r="B285" s="10" t="s">
        <v>8335</v>
      </c>
      <c r="C285" s="11" t="n">
        <v>1796.22025887952</v>
      </c>
      <c r="D285" s="18" t="n">
        <v>284</v>
      </c>
    </row>
    <row r="286" ht="14.399999999999999" customHeight="1">
      <c r="A286" s="10" t="s">
        <v>8336</v>
      </c>
      <c r="B286" s="10" t="s">
        <v>8337</v>
      </c>
      <c r="C286" s="11" t="n">
        <v>1783.72776120578</v>
      </c>
      <c r="D286" s="18" t="n">
        <v>285</v>
      </c>
    </row>
    <row r="287" ht="14.399999999999999" customHeight="1">
      <c r="A287" s="10" t="s">
        <v>8338</v>
      </c>
      <c r="B287" s="10" t="s">
        <v>8339</v>
      </c>
      <c r="C287" s="11" t="n">
        <v>1770.69159289035</v>
      </c>
      <c r="D287" s="18" t="n">
        <v>286</v>
      </c>
    </row>
    <row r="288" ht="14.399999999999999" customHeight="1">
      <c r="A288" s="10" t="s">
        <v>8340</v>
      </c>
      <c r="B288" s="10" t="s">
        <v>8341</v>
      </c>
      <c r="C288" s="11" t="n">
        <v>1713.87338297203</v>
      </c>
      <c r="D288" s="18" t="n">
        <v>287</v>
      </c>
    </row>
    <row r="289" ht="14.399999999999999" customHeight="1">
      <c r="A289" s="10" t="s">
        <v>412</v>
      </c>
      <c r="B289" s="10" t="s">
        <v>8342</v>
      </c>
      <c r="C289" s="11" t="n">
        <v>1710.6795367852</v>
      </c>
      <c r="D289" s="18" t="n">
        <v>288</v>
      </c>
    </row>
    <row r="290" ht="14.399999999999999" customHeight="1">
      <c r="A290" s="10" t="s">
        <v>8343</v>
      </c>
      <c r="B290" s="10" t="s">
        <v>8344</v>
      </c>
      <c r="C290" s="11" t="n">
        <v>1700.41295049415</v>
      </c>
      <c r="D290" s="18" t="n">
        <v>289</v>
      </c>
    </row>
    <row r="291" ht="14.399999999999999" customHeight="1">
      <c r="A291" s="10" t="s">
        <v>338</v>
      </c>
      <c r="B291" s="10" t="s">
        <v>339</v>
      </c>
      <c r="C291" s="11" t="n">
        <v>1690.57588605731</v>
      </c>
      <c r="D291" s="18" t="n">
        <v>290</v>
      </c>
    </row>
    <row r="292" ht="14.399999999999999" customHeight="1">
      <c r="A292" s="10" t="s">
        <v>290</v>
      </c>
      <c r="B292" s="10" t="s">
        <v>291</v>
      </c>
      <c r="C292" s="11" t="n">
        <v>1685.28363817239</v>
      </c>
      <c r="D292" s="18" t="n">
        <v>291</v>
      </c>
    </row>
    <row r="293" ht="14.399999999999999" customHeight="1">
      <c r="A293" s="10" t="s">
        <v>468</v>
      </c>
      <c r="B293" s="10" t="s">
        <v>469</v>
      </c>
      <c r="C293" s="11" t="n">
        <v>1681.71140457536</v>
      </c>
      <c r="D293" s="18" t="n">
        <v>292</v>
      </c>
    </row>
    <row r="294" ht="14.399999999999999" customHeight="1">
      <c r="A294" s="10" t="s">
        <v>394</v>
      </c>
      <c r="B294" s="10" t="s">
        <v>8345</v>
      </c>
      <c r="C294" s="11" t="n">
        <v>1673.71935756092</v>
      </c>
      <c r="D294" s="18" t="n">
        <v>293</v>
      </c>
    </row>
    <row r="295" ht="14.399999999999999" customHeight="1">
      <c r="A295" s="10" t="s">
        <v>8346</v>
      </c>
      <c r="B295" s="10" t="s">
        <v>8347</v>
      </c>
      <c r="C295" s="11" t="n">
        <v>1623.46312777167</v>
      </c>
      <c r="D295" s="18" t="n">
        <v>294</v>
      </c>
    </row>
    <row r="296" ht="14.399999999999999" customHeight="1">
      <c r="A296" s="10" t="s">
        <v>332</v>
      </c>
      <c r="B296" s="10" t="s">
        <v>333</v>
      </c>
      <c r="C296" s="11" t="n">
        <v>1594.93136301535</v>
      </c>
      <c r="D296" s="18" t="n">
        <v>295</v>
      </c>
    </row>
    <row r="297" ht="14.399999999999999" customHeight="1">
      <c r="A297" s="10" t="s">
        <v>308</v>
      </c>
      <c r="B297" s="10" t="s">
        <v>8348</v>
      </c>
      <c r="C297" s="11" t="n">
        <v>1590.02868525114</v>
      </c>
      <c r="D297" s="18" t="n">
        <v>296</v>
      </c>
    </row>
    <row r="298" ht="14.399999999999999" customHeight="1">
      <c r="A298" s="10" t="s">
        <v>190</v>
      </c>
      <c r="B298" s="10" t="s">
        <v>191</v>
      </c>
      <c r="C298" s="11" t="n">
        <v>1575.44447065885</v>
      </c>
      <c r="D298" s="18" t="n">
        <v>297</v>
      </c>
    </row>
    <row r="299" ht="14.399999999999999" customHeight="1">
      <c r="A299" s="10" t="s">
        <v>8349</v>
      </c>
      <c r="B299" s="10" t="s">
        <v>8350</v>
      </c>
      <c r="C299" s="11" t="n">
        <v>1564.17118032627</v>
      </c>
      <c r="D299" s="18" t="n">
        <v>298</v>
      </c>
    </row>
    <row r="300" ht="14.399999999999999" customHeight="1">
      <c r="A300" s="10" t="s">
        <v>8351</v>
      </c>
      <c r="B300" s="10" t="s">
        <v>8352</v>
      </c>
      <c r="C300" s="11" t="n">
        <v>1560.713554838</v>
      </c>
      <c r="D300" s="18" t="n">
        <v>299</v>
      </c>
    </row>
    <row r="301" ht="14.399999999999999" customHeight="1">
      <c r="A301" s="10" t="s">
        <v>883</v>
      </c>
      <c r="B301" s="10" t="s">
        <v>8353</v>
      </c>
      <c r="C301" s="11" t="n">
        <v>1555.21420290299</v>
      </c>
      <c r="D301" s="18" t="n">
        <v>300</v>
      </c>
    </row>
    <row r="302" ht="14.399999999999999" customHeight="1">
      <c r="A302" s="10" t="s">
        <v>282</v>
      </c>
      <c r="B302" s="10" t="s">
        <v>283</v>
      </c>
      <c r="C302" s="11" t="n">
        <v>1547.52540834026</v>
      </c>
      <c r="D302" s="18" t="n">
        <v>301</v>
      </c>
    </row>
    <row r="303" ht="14.399999999999999" customHeight="1">
      <c r="A303" s="10" t="s">
        <v>438</v>
      </c>
      <c r="B303" s="10" t="s">
        <v>439</v>
      </c>
      <c r="C303" s="11" t="n">
        <v>1542.7344652473</v>
      </c>
      <c r="D303" s="18" t="n">
        <v>302</v>
      </c>
    </row>
    <row r="304" ht="14.399999999999999" customHeight="1">
      <c r="A304" s="10" t="s">
        <v>8354</v>
      </c>
      <c r="B304" s="10" t="s">
        <v>8355</v>
      </c>
      <c r="C304" s="11" t="n">
        <v>1539.77718738448</v>
      </c>
      <c r="D304" s="18" t="n">
        <v>303</v>
      </c>
    </row>
    <row r="305" ht="14.399999999999999" customHeight="1">
      <c r="A305" s="10" t="s">
        <v>8356</v>
      </c>
      <c r="B305" s="10" t="s">
        <v>8357</v>
      </c>
      <c r="C305" s="11" t="n">
        <v>1530.49259204559</v>
      </c>
      <c r="D305" s="18" t="n">
        <v>304</v>
      </c>
    </row>
    <row r="306" ht="14.399999999999999" customHeight="1">
      <c r="A306" s="10" t="s">
        <v>416</v>
      </c>
      <c r="B306" s="10" t="s">
        <v>8358</v>
      </c>
      <c r="C306" s="11" t="n">
        <v>1525.46262992645</v>
      </c>
      <c r="D306" s="18" t="n">
        <v>305</v>
      </c>
    </row>
    <row r="307" ht="14.399999999999999" customHeight="1">
      <c r="A307" s="10" t="s">
        <v>340</v>
      </c>
      <c r="B307" s="10" t="s">
        <v>341</v>
      </c>
      <c r="C307" s="11" t="n">
        <v>1479.03866620353</v>
      </c>
      <c r="D307" s="18" t="n">
        <v>306</v>
      </c>
    </row>
    <row r="308" ht="14.399999999999999" customHeight="1">
      <c r="A308" s="10" t="s">
        <v>302</v>
      </c>
      <c r="B308" s="10" t="s">
        <v>303</v>
      </c>
      <c r="C308" s="11" t="n">
        <v>1466.76577934432</v>
      </c>
      <c r="D308" s="18" t="n">
        <v>307</v>
      </c>
    </row>
    <row r="309" ht="14.399999999999999" customHeight="1">
      <c r="A309" s="10" t="s">
        <v>274</v>
      </c>
      <c r="B309" s="10" t="s">
        <v>275</v>
      </c>
      <c r="C309" s="11" t="n">
        <v>1465.0020472288</v>
      </c>
      <c r="D309" s="18" t="n">
        <v>308</v>
      </c>
    </row>
    <row r="310" ht="14.399999999999999" customHeight="1">
      <c r="A310" s="10" t="s">
        <v>8359</v>
      </c>
      <c r="B310" s="10" t="s">
        <v>8360</v>
      </c>
      <c r="C310" s="11" t="n">
        <v>1462.20975215795</v>
      </c>
      <c r="D310" s="18" t="n">
        <v>309</v>
      </c>
    </row>
    <row r="311" ht="14.399999999999999" customHeight="1">
      <c r="A311" s="10" t="s">
        <v>546</v>
      </c>
      <c r="B311" s="10" t="s">
        <v>8361</v>
      </c>
      <c r="C311" s="11" t="n">
        <v>1458.11005432988</v>
      </c>
      <c r="D311" s="18" t="n">
        <v>310</v>
      </c>
    </row>
    <row r="312" ht="14.399999999999999" customHeight="1">
      <c r="A312" s="10" t="s">
        <v>8362</v>
      </c>
      <c r="B312" s="10" t="s">
        <v>8363</v>
      </c>
      <c r="C312" s="11" t="n">
        <v>1398.412405463</v>
      </c>
      <c r="D312" s="18" t="n">
        <v>311</v>
      </c>
    </row>
    <row r="313" ht="14.399999999999999" customHeight="1">
      <c r="A313" s="10" t="s">
        <v>430</v>
      </c>
      <c r="B313" s="10" t="s">
        <v>8364</v>
      </c>
      <c r="C313" s="11" t="n">
        <v>1397.85472585921</v>
      </c>
      <c r="D313" s="18" t="n">
        <v>312</v>
      </c>
    </row>
    <row r="314" ht="14.399999999999999" customHeight="1">
      <c r="A314" s="10" t="s">
        <v>690</v>
      </c>
      <c r="B314" s="10" t="s">
        <v>691</v>
      </c>
      <c r="C314" s="11" t="n">
        <v>1336.29869867284</v>
      </c>
      <c r="D314" s="18" t="n">
        <v>313</v>
      </c>
    </row>
    <row r="315" ht="14.399999999999999" customHeight="1">
      <c r="A315" s="10" t="s">
        <v>264</v>
      </c>
      <c r="B315" s="10" t="s">
        <v>265</v>
      </c>
      <c r="C315" s="11" t="n">
        <v>1326.20674776265</v>
      </c>
      <c r="D315" s="18" t="n">
        <v>314</v>
      </c>
    </row>
    <row r="316" ht="14.399999999999999" customHeight="1">
      <c r="A316" s="10" t="s">
        <v>8365</v>
      </c>
      <c r="B316" s="10" t="s">
        <v>8366</v>
      </c>
      <c r="C316" s="11" t="n">
        <v>1314.63556570398</v>
      </c>
      <c r="D316" s="18" t="n">
        <v>315</v>
      </c>
    </row>
    <row r="317" ht="14.399999999999999" customHeight="1">
      <c r="A317" s="10" t="s">
        <v>8367</v>
      </c>
      <c r="B317" s="10" t="s">
        <v>597</v>
      </c>
      <c r="C317" s="11" t="n">
        <v>1301.18179008168</v>
      </c>
      <c r="D317" s="18" t="n">
        <v>316</v>
      </c>
    </row>
    <row r="318" ht="14.399999999999999" customHeight="1">
      <c r="A318" s="10" t="s">
        <v>8368</v>
      </c>
      <c r="B318" s="10" t="s">
        <v>8369</v>
      </c>
      <c r="C318" s="11" t="n">
        <v>1298.55437476896</v>
      </c>
      <c r="D318" s="18" t="n">
        <v>317</v>
      </c>
    </row>
    <row r="319" ht="14.399999999999999" customHeight="1">
      <c r="A319" s="10" t="s">
        <v>8370</v>
      </c>
      <c r="B319" s="10" t="s">
        <v>8371</v>
      </c>
      <c r="C319" s="11" t="n">
        <v>1259.91915669044</v>
      </c>
      <c r="D319" s="18" t="n">
        <v>318</v>
      </c>
    </row>
    <row r="320" ht="14.399999999999999" customHeight="1">
      <c r="A320" s="10" t="s">
        <v>1040</v>
      </c>
      <c r="B320" s="10" t="s">
        <v>305</v>
      </c>
      <c r="C320" s="11" t="n">
        <v>1253.12230784071</v>
      </c>
      <c r="D320" s="18" t="n">
        <v>319</v>
      </c>
    </row>
    <row r="321" ht="14.399999999999999" customHeight="1">
      <c r="A321" s="10" t="s">
        <v>476</v>
      </c>
      <c r="B321" s="10" t="s">
        <v>477</v>
      </c>
      <c r="C321" s="11" t="n">
        <v>1241.68439100361</v>
      </c>
      <c r="D321" s="18" t="n">
        <v>320</v>
      </c>
    </row>
    <row r="322" ht="14.399999999999999" customHeight="1">
      <c r="A322" s="10" t="s">
        <v>8372</v>
      </c>
      <c r="B322" s="10" t="s">
        <v>8373</v>
      </c>
      <c r="C322" s="11" t="n">
        <v>1233.51495746661</v>
      </c>
      <c r="D322" s="18" t="n">
        <v>321</v>
      </c>
    </row>
    <row r="323" ht="14.399999999999999" customHeight="1">
      <c r="A323" s="10" t="s">
        <v>8374</v>
      </c>
      <c r="B323" s="10" t="s">
        <v>8375</v>
      </c>
      <c r="C323" s="11" t="n">
        <v>1232.1795367852</v>
      </c>
      <c r="D323" s="18" t="n">
        <v>322</v>
      </c>
    </row>
    <row r="324" ht="14.399999999999999" customHeight="1">
      <c r="A324" s="10" t="s">
        <v>8376</v>
      </c>
      <c r="B324" s="10" t="s">
        <v>8377</v>
      </c>
      <c r="C324" s="11" t="n">
        <v>1231.06518193006</v>
      </c>
      <c r="D324" s="18" t="n">
        <v>323</v>
      </c>
    </row>
    <row r="325" ht="14.399999999999999" customHeight="1">
      <c r="A325" s="10" t="s">
        <v>8378</v>
      </c>
      <c r="B325" s="10" t="s">
        <v>8379</v>
      </c>
      <c r="C325" s="11" t="n">
        <v>1219.59174484251</v>
      </c>
      <c r="D325" s="18" t="n">
        <v>324</v>
      </c>
    </row>
    <row r="326" ht="14.399999999999999" customHeight="1">
      <c r="A326" s="10" t="s">
        <v>8380</v>
      </c>
      <c r="B326" s="10" t="s">
        <v>8381</v>
      </c>
      <c r="C326" s="11" t="n">
        <v>1219.45637654423</v>
      </c>
      <c r="D326" s="18" t="n">
        <v>325</v>
      </c>
    </row>
    <row r="327" ht="14.399999999999999" customHeight="1">
      <c r="A327" s="10" t="s">
        <v>454</v>
      </c>
      <c r="B327" s="10" t="s">
        <v>455</v>
      </c>
      <c r="C327" s="11" t="n">
        <v>1214.03116387726</v>
      </c>
      <c r="D327" s="18" t="n">
        <v>326</v>
      </c>
    </row>
    <row r="328" ht="14.399999999999999" customHeight="1">
      <c r="A328" s="10" t="s">
        <v>508</v>
      </c>
      <c r="B328" s="10" t="s">
        <v>509</v>
      </c>
      <c r="C328" s="11" t="n">
        <v>1204.92125976715</v>
      </c>
      <c r="D328" s="18" t="n">
        <v>327</v>
      </c>
    </row>
    <row r="329" ht="14.399999999999999" customHeight="1">
      <c r="A329" s="10" t="s">
        <v>5551</v>
      </c>
      <c r="B329" s="10" t="s">
        <v>8382</v>
      </c>
      <c r="C329" s="11" t="n">
        <v>1156.15737743186</v>
      </c>
      <c r="D329" s="18" t="n">
        <v>328</v>
      </c>
    </row>
    <row r="330" ht="14.399999999999999" customHeight="1">
      <c r="A330" s="10" t="s">
        <v>316</v>
      </c>
      <c r="B330" s="10" t="s">
        <v>1041</v>
      </c>
      <c r="C330" s="11" t="n">
        <v>1130.91550423015</v>
      </c>
      <c r="D330" s="18" t="n">
        <v>329</v>
      </c>
    </row>
    <row r="331" ht="14.399999999999999" customHeight="1">
      <c r="A331" s="10" t="s">
        <v>660</v>
      </c>
      <c r="B331" s="10" t="s">
        <v>1542</v>
      </c>
      <c r="C331" s="11" t="n">
        <v>1123.68669148601</v>
      </c>
      <c r="D331" s="18" t="n">
        <v>330</v>
      </c>
    </row>
    <row r="332" ht="14.399999999999999" customHeight="1">
      <c r="A332" s="10" t="s">
        <v>8383</v>
      </c>
      <c r="B332" s="10" t="s">
        <v>8384</v>
      </c>
      <c r="C332" s="11" t="n">
        <v>1097.00054503115</v>
      </c>
      <c r="D332" s="18" t="n">
        <v>331</v>
      </c>
    </row>
    <row r="333" ht="14.399999999999999" customHeight="1">
      <c r="A333" s="10" t="s">
        <v>490</v>
      </c>
      <c r="B333" s="10" t="s">
        <v>8385</v>
      </c>
      <c r="C333" s="11" t="n">
        <v>1073.50369964621</v>
      </c>
      <c r="D333" s="18" t="n">
        <v>332</v>
      </c>
    </row>
    <row r="334" ht="14.399999999999999" customHeight="1">
      <c r="A334" s="10" t="s">
        <v>8386</v>
      </c>
      <c r="B334" s="10" t="s">
        <v>8387</v>
      </c>
      <c r="C334" s="11" t="n">
        <v>1072.15997835379</v>
      </c>
      <c r="D334" s="18" t="n">
        <v>333</v>
      </c>
    </row>
    <row r="335" ht="14.399999999999999" customHeight="1">
      <c r="A335" s="10" t="s">
        <v>8388</v>
      </c>
      <c r="B335" s="10" t="s">
        <v>8389</v>
      </c>
      <c r="C335" s="11" t="n">
        <v>1067.67888872022</v>
      </c>
      <c r="D335" s="18" t="n">
        <v>334</v>
      </c>
    </row>
    <row r="336" ht="14.399999999999999" customHeight="1">
      <c r="A336" s="10" t="s">
        <v>606</v>
      </c>
      <c r="B336" s="10" t="s">
        <v>2105</v>
      </c>
      <c r="C336" s="11" t="n">
        <v>1050.12456113719</v>
      </c>
      <c r="D336" s="18" t="n">
        <v>335</v>
      </c>
    </row>
    <row r="337" ht="14.399999999999999" customHeight="1">
      <c r="A337" s="10" t="s">
        <v>8390</v>
      </c>
      <c r="B337" s="10" t="s">
        <v>8391</v>
      </c>
      <c r="C337" s="11" t="n">
        <v>1045.74652135244</v>
      </c>
      <c r="D337" s="18" t="n">
        <v>336</v>
      </c>
    </row>
    <row r="338" ht="14.399999999999999" customHeight="1">
      <c r="A338" s="10" t="s">
        <v>434</v>
      </c>
      <c r="B338" s="10" t="s">
        <v>435</v>
      </c>
      <c r="C338" s="11" t="n">
        <v>1042.10915301128</v>
      </c>
      <c r="D338" s="18" t="n">
        <v>337</v>
      </c>
    </row>
    <row r="339" ht="14.399999999999999" customHeight="1">
      <c r="A339" s="10" t="s">
        <v>580</v>
      </c>
      <c r="B339" s="10" t="s">
        <v>1054</v>
      </c>
      <c r="C339" s="11" t="n">
        <v>1037.55022446345</v>
      </c>
      <c r="D339" s="18" t="n">
        <v>338</v>
      </c>
    </row>
    <row r="340" ht="14.399999999999999" customHeight="1">
      <c r="A340" s="10" t="s">
        <v>8392</v>
      </c>
      <c r="B340" s="10" t="s">
        <v>8393</v>
      </c>
      <c r="C340" s="11" t="n">
        <v>1036.99039459702</v>
      </c>
      <c r="D340" s="18" t="n">
        <v>339</v>
      </c>
    </row>
    <row r="341" ht="14.399999999999999" customHeight="1">
      <c r="A341" s="10" t="s">
        <v>8394</v>
      </c>
      <c r="B341" s="10" t="s">
        <v>8395</v>
      </c>
      <c r="C341" s="11" t="n">
        <v>1030.48489231363</v>
      </c>
      <c r="D341" s="18" t="n">
        <v>340</v>
      </c>
    </row>
    <row r="342" ht="14.399999999999999" customHeight="1">
      <c r="A342" s="10" t="s">
        <v>408</v>
      </c>
      <c r="B342" s="10" t="s">
        <v>8396</v>
      </c>
      <c r="C342" s="11" t="n">
        <v>1017.72346068051</v>
      </c>
      <c r="D342" s="18" t="n">
        <v>341</v>
      </c>
    </row>
    <row r="343" ht="14.399999999999999" customHeight="1">
      <c r="A343" s="10" t="s">
        <v>384</v>
      </c>
      <c r="B343" s="10" t="s">
        <v>385</v>
      </c>
      <c r="C343" s="11" t="n">
        <v>1013.75537565659</v>
      </c>
      <c r="D343" s="18" t="n">
        <v>342</v>
      </c>
    </row>
    <row r="344" ht="14.399999999999999" customHeight="1">
      <c r="A344" s="10" t="s">
        <v>1372</v>
      </c>
      <c r="B344" s="10" t="s">
        <v>1373</v>
      </c>
      <c r="C344" s="11" t="n">
        <v>997.547670727443</v>
      </c>
      <c r="D344" s="18" t="n">
        <v>343</v>
      </c>
    </row>
    <row r="345" ht="14.399999999999999" customHeight="1">
      <c r="A345" s="10" t="s">
        <v>426</v>
      </c>
      <c r="B345" s="10" t="s">
        <v>2093</v>
      </c>
      <c r="C345" s="11" t="n">
        <v>980.013004609661</v>
      </c>
      <c r="D345" s="18" t="n">
        <v>344</v>
      </c>
    </row>
    <row r="346" ht="14.399999999999999" customHeight="1">
      <c r="A346" s="10" t="s">
        <v>286</v>
      </c>
      <c r="B346" s="10" t="s">
        <v>287</v>
      </c>
      <c r="C346" s="11" t="n">
        <v>976.265478904791</v>
      </c>
      <c r="D346" s="18" t="n">
        <v>345</v>
      </c>
    </row>
    <row r="347" ht="14.399999999999999" customHeight="1">
      <c r="A347" s="10" t="s">
        <v>432</v>
      </c>
      <c r="B347" s="10" t="s">
        <v>433</v>
      </c>
      <c r="C347" s="11" t="n">
        <v>973.918057966157</v>
      </c>
      <c r="D347" s="18" t="n">
        <v>346</v>
      </c>
    </row>
    <row r="348" ht="14.399999999999999" customHeight="1">
      <c r="A348" s="10" t="s">
        <v>8397</v>
      </c>
      <c r="B348" s="10" t="s">
        <v>8398</v>
      </c>
      <c r="C348" s="11" t="n">
        <v>953.350472519861</v>
      </c>
      <c r="D348" s="18" t="n">
        <v>347</v>
      </c>
    </row>
    <row r="349" ht="14.399999999999999" customHeight="1">
      <c r="A349" s="10" t="s">
        <v>334</v>
      </c>
      <c r="B349" s="10" t="s">
        <v>335</v>
      </c>
      <c r="C349" s="11" t="n">
        <v>952.038816423291</v>
      </c>
      <c r="D349" s="18" t="n">
        <v>348</v>
      </c>
    </row>
    <row r="350" ht="14.399999999999999" customHeight="1">
      <c r="A350" s="10" t="s">
        <v>1370</v>
      </c>
      <c r="B350" s="10" t="s">
        <v>1371</v>
      </c>
      <c r="C350" s="11" t="n">
        <v>943.352172123203</v>
      </c>
      <c r="D350" s="18" t="n">
        <v>349</v>
      </c>
    </row>
    <row r="351" ht="14.399999999999999" customHeight="1">
      <c r="A351" s="10" t="s">
        <v>506</v>
      </c>
      <c r="B351" s="10" t="s">
        <v>507</v>
      </c>
      <c r="C351" s="11" t="n">
        <v>920.280088745941</v>
      </c>
      <c r="D351" s="18" t="n">
        <v>350</v>
      </c>
    </row>
    <row r="352" ht="14.399999999999999" customHeight="1">
      <c r="A352" s="10" t="s">
        <v>8399</v>
      </c>
      <c r="B352" s="10" t="s">
        <v>8400</v>
      </c>
      <c r="C352" s="11" t="n">
        <v>910.598599103791</v>
      </c>
      <c r="D352" s="18" t="n">
        <v>351</v>
      </c>
    </row>
    <row r="353" ht="14.399999999999999" customHeight="1">
      <c r="A353" s="10" t="s">
        <v>404</v>
      </c>
      <c r="B353" s="10" t="s">
        <v>405</v>
      </c>
      <c r="C353" s="11" t="n">
        <v>909.36893222699</v>
      </c>
      <c r="D353" s="18" t="n">
        <v>352</v>
      </c>
    </row>
    <row r="354" ht="14.399999999999999" customHeight="1">
      <c r="A354" s="10" t="s">
        <v>8401</v>
      </c>
      <c r="B354" s="10" t="s">
        <v>8402</v>
      </c>
      <c r="C354" s="11" t="n">
        <v>907.977737612818</v>
      </c>
      <c r="D354" s="18" t="n">
        <v>353</v>
      </c>
    </row>
    <row r="355" ht="14.399999999999999" customHeight="1">
      <c r="A355" s="10" t="s">
        <v>8403</v>
      </c>
      <c r="B355" s="10" t="s">
        <v>8404</v>
      </c>
      <c r="C355" s="11" t="n">
        <v>890.118457974732</v>
      </c>
      <c r="D355" s="18" t="n">
        <v>354</v>
      </c>
    </row>
    <row r="356" ht="14.399999999999999" customHeight="1">
      <c r="A356" s="10" t="s">
        <v>8405</v>
      </c>
      <c r="B356" s="10" t="s">
        <v>8406</v>
      </c>
      <c r="C356" s="11" t="n">
        <v>882.334566548738</v>
      </c>
      <c r="D356" s="18" t="n">
        <v>355</v>
      </c>
    </row>
    <row r="357" ht="14.399999999999999" customHeight="1">
      <c r="A357" s="10" t="s">
        <v>8407</v>
      </c>
      <c r="B357" s="10" t="s">
        <v>5289</v>
      </c>
      <c r="C357" s="11" t="n">
        <v>879.813956578972</v>
      </c>
      <c r="D357" s="18" t="n">
        <v>356</v>
      </c>
    </row>
    <row r="358" ht="14.399999999999999" customHeight="1">
      <c r="A358" s="10" t="s">
        <v>8408</v>
      </c>
      <c r="B358" s="10" t="s">
        <v>8409</v>
      </c>
      <c r="C358" s="11" t="n">
        <v>878.9868923565</v>
      </c>
      <c r="D358" s="18" t="n">
        <v>357</v>
      </c>
    </row>
    <row r="359" ht="14.399999999999999" customHeight="1">
      <c r="A359" s="10" t="s">
        <v>8410</v>
      </c>
      <c r="B359" s="10" t="s">
        <v>8411</v>
      </c>
      <c r="C359" s="11" t="n">
        <v>863.17523625993</v>
      </c>
      <c r="D359" s="18" t="n">
        <v>358</v>
      </c>
    </row>
    <row r="360" ht="14.399999999999999" customHeight="1">
      <c r="A360" s="10" t="s">
        <v>8412</v>
      </c>
      <c r="B360" s="10" t="s">
        <v>8413</v>
      </c>
      <c r="C360" s="11" t="n">
        <v>846.8039005167</v>
      </c>
      <c r="D360" s="18" t="n">
        <v>359</v>
      </c>
    </row>
    <row r="361" ht="14.399999999999999" customHeight="1">
      <c r="A361" s="10" t="s">
        <v>8414</v>
      </c>
      <c r="B361" s="10" t="s">
        <v>8415</v>
      </c>
      <c r="C361" s="11" t="n">
        <v>838.284041645759</v>
      </c>
      <c r="D361" s="18" t="n">
        <v>360</v>
      </c>
    </row>
    <row r="362" ht="14.399999999999999" customHeight="1">
      <c r="A362" s="10" t="s">
        <v>5290</v>
      </c>
      <c r="B362" s="10" t="s">
        <v>5291</v>
      </c>
      <c r="C362" s="11" t="n">
        <v>833.896696897566</v>
      </c>
      <c r="D362" s="18" t="n">
        <v>361</v>
      </c>
    </row>
    <row r="363" ht="14.399999999999999" customHeight="1">
      <c r="A363" s="10" t="s">
        <v>456</v>
      </c>
      <c r="B363" s="10" t="s">
        <v>457</v>
      </c>
      <c r="C363" s="11" t="n">
        <v>809.349223575814</v>
      </c>
      <c r="D363" s="18" t="n">
        <v>362</v>
      </c>
    </row>
    <row r="364" ht="14.399999999999999" customHeight="1">
      <c r="A364" s="10" t="s">
        <v>350</v>
      </c>
      <c r="B364" s="10" t="s">
        <v>351</v>
      </c>
      <c r="C364" s="11" t="n">
        <v>801.389692416521</v>
      </c>
      <c r="D364" s="18" t="n">
        <v>363</v>
      </c>
    </row>
    <row r="365" ht="14.399999999999999" customHeight="1">
      <c r="A365" s="10" t="s">
        <v>360</v>
      </c>
      <c r="B365" s="10" t="s">
        <v>361</v>
      </c>
      <c r="C365" s="11" t="n">
        <v>799.557125910655</v>
      </c>
      <c r="D365" s="18" t="n">
        <v>364</v>
      </c>
    </row>
    <row r="366" ht="14.399999999999999" customHeight="1">
      <c r="A366" s="10" t="s">
        <v>586</v>
      </c>
      <c r="B366" s="10" t="s">
        <v>1237</v>
      </c>
      <c r="C366" s="11" t="n">
        <v>785.900847203075</v>
      </c>
      <c r="D366" s="18" t="n">
        <v>365</v>
      </c>
    </row>
    <row r="367" ht="14.399999999999999" customHeight="1">
      <c r="A367" s="10" t="s">
        <v>520</v>
      </c>
      <c r="B367" s="10" t="s">
        <v>521</v>
      </c>
      <c r="C367" s="11" t="n">
        <v>745.439118595218</v>
      </c>
      <c r="D367" s="18" t="n">
        <v>366</v>
      </c>
    </row>
    <row r="368" ht="14.399999999999999" customHeight="1">
      <c r="A368" s="10" t="s">
        <v>8416</v>
      </c>
      <c r="B368" s="10" t="s">
        <v>8417</v>
      </c>
      <c r="C368" s="11" t="n">
        <v>712.388143032944</v>
      </c>
      <c r="D368" s="18" t="n">
        <v>367</v>
      </c>
    </row>
    <row r="369" ht="14.399999999999999" customHeight="1">
      <c r="A369" s="10" t="s">
        <v>8418</v>
      </c>
      <c r="B369" s="10" t="s">
        <v>8419</v>
      </c>
      <c r="C369" s="11" t="n">
        <v>695.663330374551</v>
      </c>
      <c r="D369" s="18" t="n">
        <v>368</v>
      </c>
    </row>
    <row r="370" ht="14.399999999999999" customHeight="1">
      <c r="A370" s="10" t="s">
        <v>388</v>
      </c>
      <c r="B370" s="10" t="s">
        <v>389</v>
      </c>
      <c r="C370" s="11" t="n">
        <v>673.893344876809</v>
      </c>
      <c r="D370" s="18" t="n">
        <v>369</v>
      </c>
    </row>
    <row r="371" ht="14.399999999999999" customHeight="1">
      <c r="A371" s="10" t="s">
        <v>604</v>
      </c>
      <c r="B371" s="10" t="s">
        <v>605</v>
      </c>
      <c r="C371" s="11" t="n">
        <v>655.699498689984</v>
      </c>
      <c r="D371" s="18" t="n">
        <v>370</v>
      </c>
    </row>
    <row r="372" ht="14.399999999999999" customHeight="1">
      <c r="A372" s="10" t="s">
        <v>612</v>
      </c>
      <c r="B372" s="10" t="s">
        <v>8420</v>
      </c>
      <c r="C372" s="11" t="n">
        <v>653.912405462998</v>
      </c>
      <c r="D372" s="18" t="n">
        <v>371</v>
      </c>
    </row>
    <row r="373" ht="14.399999999999999" customHeight="1">
      <c r="A373" s="10" t="s">
        <v>418</v>
      </c>
      <c r="B373" s="10" t="s">
        <v>419</v>
      </c>
      <c r="C373" s="11" t="n">
        <v>639.842970193595</v>
      </c>
      <c r="D373" s="18" t="n">
        <v>372</v>
      </c>
    </row>
    <row r="374" ht="14.399999999999999" customHeight="1">
      <c r="A374" s="10" t="s">
        <v>636</v>
      </c>
      <c r="B374" s="10" t="s">
        <v>1945</v>
      </c>
      <c r="C374" s="11" t="n">
        <v>635.607002748648</v>
      </c>
      <c r="D374" s="18" t="n">
        <v>373</v>
      </c>
    </row>
    <row r="375" ht="14.399999999999999" customHeight="1">
      <c r="A375" s="10" t="s">
        <v>626</v>
      </c>
      <c r="B375" s="10" t="s">
        <v>627</v>
      </c>
      <c r="C375" s="11" t="n">
        <v>628.532215415615</v>
      </c>
      <c r="D375" s="18" t="n">
        <v>374</v>
      </c>
    </row>
    <row r="376" ht="14.399999999999999" customHeight="1">
      <c r="A376" s="10" t="s">
        <v>1943</v>
      </c>
      <c r="B376" s="10" t="s">
        <v>1944</v>
      </c>
      <c r="C376" s="11" t="n">
        <v>627.81135565704</v>
      </c>
      <c r="D376" s="18" t="n">
        <v>375</v>
      </c>
    </row>
    <row r="377" ht="14.399999999999999" customHeight="1">
      <c r="A377" s="10" t="s">
        <v>658</v>
      </c>
      <c r="B377" s="10" t="s">
        <v>1374</v>
      </c>
      <c r="C377" s="11" t="n">
        <v>625.196747548287</v>
      </c>
      <c r="D377" s="18" t="n">
        <v>376</v>
      </c>
    </row>
    <row r="378" ht="14.399999999999999" customHeight="1">
      <c r="A378" s="10" t="s">
        <v>492</v>
      </c>
      <c r="B378" s="10" t="s">
        <v>493</v>
      </c>
      <c r="C378" s="11" t="n">
        <v>589.972986428249</v>
      </c>
      <c r="D378" s="18" t="n">
        <v>377</v>
      </c>
    </row>
    <row r="379" ht="14.399999999999999" customHeight="1">
      <c r="A379" s="10" t="s">
        <v>602</v>
      </c>
      <c r="B379" s="10" t="s">
        <v>1117</v>
      </c>
      <c r="C379" s="11" t="n">
        <v>578.226812701265</v>
      </c>
      <c r="D379" s="18" t="n">
        <v>378</v>
      </c>
    </row>
    <row r="380" ht="14.399999999999999" customHeight="1">
      <c r="A380" s="10" t="s">
        <v>8421</v>
      </c>
      <c r="B380" s="10" t="s">
        <v>8422</v>
      </c>
      <c r="C380" s="11" t="n">
        <v>576.397748435921</v>
      </c>
      <c r="D380" s="18" t="n">
        <v>379</v>
      </c>
    </row>
    <row r="381" ht="14.399999999999999" customHeight="1">
      <c r="A381" s="10" t="s">
        <v>584</v>
      </c>
      <c r="B381" s="10" t="s">
        <v>8423</v>
      </c>
      <c r="C381" s="11" t="n">
        <v>570.903851598376</v>
      </c>
      <c r="D381" s="18" t="n">
        <v>380</v>
      </c>
    </row>
    <row r="382" ht="14.399999999999999" customHeight="1">
      <c r="A382" s="10" t="s">
        <v>424</v>
      </c>
      <c r="B382" s="10" t="s">
        <v>425</v>
      </c>
      <c r="C382" s="11" t="n">
        <v>561.007502326266</v>
      </c>
      <c r="D382" s="18" t="n">
        <v>381</v>
      </c>
    </row>
    <row r="383" ht="14.399999999999999" customHeight="1">
      <c r="A383" s="10" t="s">
        <v>8424</v>
      </c>
      <c r="B383" s="10" t="s">
        <v>5760</v>
      </c>
      <c r="C383" s="11" t="n">
        <v>539.889044351535</v>
      </c>
      <c r="D383" s="18" t="n">
        <v>382</v>
      </c>
    </row>
    <row r="384" ht="14.399999999999999" customHeight="1">
      <c r="A384" s="10" t="s">
        <v>1115</v>
      </c>
      <c r="B384" s="10" t="s">
        <v>1116</v>
      </c>
      <c r="C384" s="11" t="n">
        <v>525.122410874549</v>
      </c>
      <c r="D384" s="18" t="n">
        <v>383</v>
      </c>
    </row>
    <row r="385" ht="14.399999999999999" customHeight="1">
      <c r="A385" s="10" t="s">
        <v>622</v>
      </c>
      <c r="B385" s="10" t="s">
        <v>623</v>
      </c>
      <c r="C385" s="11" t="n">
        <v>511.508253425092</v>
      </c>
      <c r="D385" s="18" t="n">
        <v>384</v>
      </c>
    </row>
    <row r="386" ht="14.399999999999999" customHeight="1">
      <c r="A386" s="10" t="s">
        <v>422</v>
      </c>
      <c r="B386" s="10" t="s">
        <v>423</v>
      </c>
      <c r="C386" s="11" t="n">
        <v>508.289393709388</v>
      </c>
      <c r="D386" s="18" t="n">
        <v>385</v>
      </c>
    </row>
    <row r="387" ht="14.399999999999999" customHeight="1">
      <c r="A387" s="10" t="s">
        <v>1118</v>
      </c>
      <c r="B387" s="10" t="s">
        <v>1119</v>
      </c>
      <c r="C387" s="11" t="n">
        <v>505.110429879288</v>
      </c>
      <c r="D387" s="18" t="n">
        <v>386</v>
      </c>
    </row>
    <row r="388" ht="14.399999999999999" customHeight="1">
      <c r="A388" s="10" t="s">
        <v>2110</v>
      </c>
      <c r="B388" s="10" t="s">
        <v>2111</v>
      </c>
      <c r="C388" s="11" t="n">
        <v>495.047623541517</v>
      </c>
      <c r="D388" s="18" t="n">
        <v>387</v>
      </c>
    </row>
    <row r="389" ht="14.399999999999999" customHeight="1">
      <c r="A389" s="10" t="s">
        <v>226</v>
      </c>
      <c r="B389" s="10" t="s">
        <v>6488</v>
      </c>
      <c r="C389" s="11" t="n">
        <v>481</v>
      </c>
      <c r="D389" s="18" t="n">
        <v>388</v>
      </c>
    </row>
    <row r="390" ht="14.399999999999999" customHeight="1">
      <c r="A390" s="10" t="s">
        <v>372</v>
      </c>
      <c r="B390" s="10" t="s">
        <v>373</v>
      </c>
      <c r="C390" s="11" t="n">
        <v>480.80420095623</v>
      </c>
      <c r="D390" s="18" t="n">
        <v>389</v>
      </c>
    </row>
    <row r="391" ht="14.399999999999999" customHeight="1">
      <c r="A391" s="10" t="s">
        <v>618</v>
      </c>
      <c r="B391" s="10" t="s">
        <v>619</v>
      </c>
      <c r="C391" s="11" t="n">
        <v>455.730014502257</v>
      </c>
      <c r="D391" s="18" t="n">
        <v>390</v>
      </c>
    </row>
    <row r="392" ht="14.399999999999999" customHeight="1">
      <c r="A392" s="10" t="s">
        <v>676</v>
      </c>
      <c r="B392" s="10" t="s">
        <v>8425</v>
      </c>
      <c r="C392" s="11" t="n">
        <v>437.080289616427</v>
      </c>
      <c r="D392" s="18" t="n">
        <v>391</v>
      </c>
    </row>
    <row r="393" ht="14.399999999999999" customHeight="1">
      <c r="A393" s="10" t="s">
        <v>478</v>
      </c>
      <c r="B393" s="10" t="s">
        <v>479</v>
      </c>
      <c r="C393" s="11" t="n">
        <v>415.64852312771</v>
      </c>
      <c r="D393" s="18" t="n">
        <v>392</v>
      </c>
    </row>
    <row r="394" ht="14.399999999999999" customHeight="1">
      <c r="A394" s="10" t="s">
        <v>442</v>
      </c>
      <c r="B394" s="10" t="s">
        <v>443</v>
      </c>
      <c r="C394" s="11" t="n">
        <v>406.703151150272</v>
      </c>
      <c r="D394" s="18" t="n">
        <v>393</v>
      </c>
    </row>
    <row r="395" ht="14.399999999999999" customHeight="1">
      <c r="A395" s="10" t="s">
        <v>410</v>
      </c>
      <c r="B395" s="10" t="s">
        <v>411</v>
      </c>
      <c r="C395" s="11" t="n">
        <v>405.02521093457</v>
      </c>
      <c r="D395" s="18" t="n">
        <v>394</v>
      </c>
    </row>
    <row r="396" ht="14.399999999999999" customHeight="1">
      <c r="A396" s="10" t="s">
        <v>550</v>
      </c>
      <c r="B396" s="10" t="s">
        <v>551</v>
      </c>
      <c r="C396" s="11" t="n">
        <v>384.702550271211</v>
      </c>
      <c r="D396" s="18" t="n">
        <v>395</v>
      </c>
    </row>
    <row r="397" ht="14.399999999999999" customHeight="1">
      <c r="A397" s="10" t="s">
        <v>656</v>
      </c>
      <c r="B397" s="10" t="s">
        <v>657</v>
      </c>
      <c r="C397" s="11" t="n">
        <v>375.235967444947</v>
      </c>
      <c r="D397" s="18" t="n">
        <v>396</v>
      </c>
    </row>
    <row r="398" ht="14.399999999999999" customHeight="1">
      <c r="A398" s="10" t="s">
        <v>8135</v>
      </c>
      <c r="B398" s="10" t="s">
        <v>8136</v>
      </c>
      <c r="C398" s="11" t="n">
        <v>361.242070607402</v>
      </c>
      <c r="D398" s="18" t="n">
        <v>397</v>
      </c>
    </row>
    <row r="399" ht="14.399999999999999" customHeight="1">
      <c r="A399" s="10" t="s">
        <v>538</v>
      </c>
      <c r="B399" s="10" t="s">
        <v>8426</v>
      </c>
      <c r="C399" s="11" t="n">
        <v>360.073886014442</v>
      </c>
      <c r="D399" s="18" t="n">
        <v>398</v>
      </c>
    </row>
    <row r="400" ht="14.399999999999999" customHeight="1">
      <c r="A400" s="10" t="s">
        <v>2642</v>
      </c>
      <c r="B400" s="10" t="s">
        <v>7734</v>
      </c>
      <c r="C400" s="11" t="n">
        <v>352.925062447202</v>
      </c>
      <c r="D400" s="18" t="n">
        <v>399</v>
      </c>
    </row>
    <row r="401" ht="14.399999999999999" customHeight="1">
      <c r="A401" s="10" t="s">
        <v>8427</v>
      </c>
      <c r="B401" s="10" t="s">
        <v>8428</v>
      </c>
      <c r="C401" s="11" t="n">
        <v>352.035567436373</v>
      </c>
      <c r="D401" s="18" t="n">
        <v>400</v>
      </c>
    </row>
    <row r="402" ht="14.399999999999999" customHeight="1">
      <c r="A402" s="10" t="s">
        <v>8429</v>
      </c>
      <c r="B402" s="10" t="s">
        <v>8430</v>
      </c>
      <c r="C402" s="11" t="n">
        <v>342.188193683665</v>
      </c>
      <c r="D402" s="18" t="n">
        <v>401</v>
      </c>
    </row>
    <row r="403" ht="14.399999999999999" customHeight="1">
      <c r="A403" s="10" t="s">
        <v>436</v>
      </c>
      <c r="B403" s="10" t="s">
        <v>437</v>
      </c>
      <c r="C403" s="11" t="n">
        <v>336.60930323105</v>
      </c>
      <c r="D403" s="18" t="n">
        <v>402</v>
      </c>
    </row>
    <row r="404" ht="14.399999999999999" customHeight="1">
      <c r="A404" s="10" t="s">
        <v>266</v>
      </c>
      <c r="B404" s="10" t="s">
        <v>267</v>
      </c>
      <c r="C404" s="11" t="n">
        <v>330.816106841609</v>
      </c>
      <c r="D404" s="18" t="n">
        <v>403</v>
      </c>
    </row>
    <row r="405" ht="14.399999999999999" customHeight="1">
      <c r="A405" s="10" t="s">
        <v>514</v>
      </c>
      <c r="B405" s="10" t="s">
        <v>8431</v>
      </c>
      <c r="C405" s="11" t="n">
        <v>318.166682395309</v>
      </c>
      <c r="D405" s="18" t="n">
        <v>404</v>
      </c>
    </row>
    <row r="406" ht="14.399999999999999" customHeight="1">
      <c r="A406" s="10" t="s">
        <v>560</v>
      </c>
      <c r="B406" s="10" t="s">
        <v>561</v>
      </c>
      <c r="C406" s="11" t="n">
        <v>318.061980129063</v>
      </c>
      <c r="D406" s="18" t="n">
        <v>405</v>
      </c>
    </row>
    <row r="407" ht="14.399999999999999" customHeight="1">
      <c r="A407" s="10" t="s">
        <v>566</v>
      </c>
      <c r="B407" s="10" t="s">
        <v>567</v>
      </c>
      <c r="C407" s="11" t="n">
        <v>318.02611225316</v>
      </c>
      <c r="D407" s="18" t="n">
        <v>406</v>
      </c>
    </row>
    <row r="408" ht="14.399999999999999" customHeight="1">
      <c r="A408" s="10" t="s">
        <v>1009</v>
      </c>
      <c r="B408" s="10" t="s">
        <v>1010</v>
      </c>
      <c r="C408" s="11" t="n">
        <v>316.023511331228</v>
      </c>
      <c r="D408" s="18" t="n">
        <v>407</v>
      </c>
    </row>
    <row r="409" ht="14.399999999999999" customHeight="1">
      <c r="A409" s="10" t="s">
        <v>686</v>
      </c>
      <c r="B409" s="10" t="s">
        <v>1154</v>
      </c>
      <c r="C409" s="11" t="n">
        <v>296.948573778431</v>
      </c>
      <c r="D409" s="18" t="n">
        <v>408</v>
      </c>
    </row>
    <row r="410" ht="14.399999999999999" customHeight="1">
      <c r="A410" s="10" t="s">
        <v>8432</v>
      </c>
      <c r="B410" s="10" t="s">
        <v>8433</v>
      </c>
      <c r="C410" s="11" t="n">
        <v>293.762680577168</v>
      </c>
      <c r="D410" s="18" t="n">
        <v>409</v>
      </c>
    </row>
    <row r="411" ht="14.399999999999999" customHeight="1">
      <c r="A411" s="10" t="s">
        <v>2012</v>
      </c>
      <c r="B411" s="10" t="s">
        <v>2013</v>
      </c>
      <c r="C411" s="11" t="n">
        <v>293.266333037455</v>
      </c>
      <c r="D411" s="18" t="n">
        <v>410</v>
      </c>
    </row>
    <row r="412" ht="14.399999999999999" customHeight="1">
      <c r="A412" s="10" t="s">
        <v>8434</v>
      </c>
      <c r="B412" s="10" t="s">
        <v>8435</v>
      </c>
      <c r="C412" s="11" t="n">
        <v>291.775037121842</v>
      </c>
      <c r="D412" s="18" t="n">
        <v>411</v>
      </c>
    </row>
    <row r="413" ht="14.399999999999999" customHeight="1">
      <c r="A413" s="10" t="s">
        <v>1157</v>
      </c>
      <c r="B413" s="10" t="s">
        <v>1158</v>
      </c>
      <c r="C413" s="11" t="n">
        <v>285.885992770307</v>
      </c>
      <c r="D413" s="18" t="n">
        <v>412</v>
      </c>
    </row>
    <row r="414" ht="14.399999999999999" customHeight="1">
      <c r="A414" s="10" t="s">
        <v>594</v>
      </c>
      <c r="B414" s="10" t="s">
        <v>595</v>
      </c>
      <c r="C414" s="11" t="n">
        <v>284.169884196301</v>
      </c>
      <c r="D414" s="18" t="n">
        <v>413</v>
      </c>
    </row>
    <row r="415" ht="14.399999999999999" customHeight="1">
      <c r="A415" s="10" t="s">
        <v>1155</v>
      </c>
      <c r="B415" s="10" t="s">
        <v>1156</v>
      </c>
      <c r="C415" s="11" t="n">
        <v>281.751075131318</v>
      </c>
      <c r="D415" s="18" t="n">
        <v>414</v>
      </c>
    </row>
    <row r="416" ht="14.399999999999999" customHeight="1">
      <c r="A416" s="10" t="s">
        <v>668</v>
      </c>
      <c r="B416" s="10" t="s">
        <v>669</v>
      </c>
      <c r="C416" s="11" t="n">
        <v>278.466582826264</v>
      </c>
      <c r="D416" s="18" t="n">
        <v>415</v>
      </c>
    </row>
    <row r="417" ht="14.399999999999999" customHeight="1">
      <c r="A417" s="10" t="s">
        <v>5841</v>
      </c>
      <c r="B417" s="10" t="s">
        <v>5842</v>
      </c>
      <c r="C417" s="11" t="n">
        <v>277.939869694044</v>
      </c>
      <c r="D417" s="18" t="n">
        <v>416</v>
      </c>
    </row>
    <row r="418" ht="14.399999999999999" customHeight="1">
      <c r="A418" s="10" t="s">
        <v>666</v>
      </c>
      <c r="B418" s="10" t="s">
        <v>1228</v>
      </c>
      <c r="C418" s="11" t="n">
        <v>274.846622653882</v>
      </c>
      <c r="D418" s="18" t="n">
        <v>417</v>
      </c>
    </row>
    <row r="419" ht="14.399999999999999" customHeight="1">
      <c r="A419" s="10" t="s">
        <v>458</v>
      </c>
      <c r="B419" s="10" t="s">
        <v>1018</v>
      </c>
      <c r="C419" s="11" t="n">
        <v>271.435766574461</v>
      </c>
      <c r="D419" s="18" t="n">
        <v>418</v>
      </c>
    </row>
    <row r="420" ht="14.399999999999999" customHeight="1">
      <c r="A420" s="10" t="s">
        <v>480</v>
      </c>
      <c r="B420" s="10" t="s">
        <v>481</v>
      </c>
      <c r="C420" s="11" t="n">
        <v>269.878988289262</v>
      </c>
      <c r="D420" s="18" t="n">
        <v>419</v>
      </c>
    </row>
    <row r="421" ht="14.399999999999999" customHeight="1">
      <c r="A421" s="10" t="s">
        <v>1016</v>
      </c>
      <c r="B421" s="10" t="s">
        <v>1017</v>
      </c>
      <c r="C421" s="11" t="n">
        <v>265.247422671031</v>
      </c>
      <c r="D421" s="18" t="n">
        <v>420</v>
      </c>
    </row>
    <row r="422" ht="14.399999999999999" customHeight="1">
      <c r="A422" s="10" t="s">
        <v>6450</v>
      </c>
      <c r="B422" s="10" t="s">
        <v>6451</v>
      </c>
      <c r="C422" s="11" t="n">
        <v>264.942771055506</v>
      </c>
      <c r="D422" s="18" t="n">
        <v>421</v>
      </c>
    </row>
    <row r="423" ht="14.399999999999999" customHeight="1">
      <c r="A423" s="10" t="s">
        <v>552</v>
      </c>
      <c r="B423" s="10" t="s">
        <v>1169</v>
      </c>
      <c r="C423" s="11" t="n">
        <v>263.876237147565</v>
      </c>
      <c r="D423" s="18" t="n">
        <v>422</v>
      </c>
    </row>
    <row r="424" ht="14.399999999999999" customHeight="1">
      <c r="A424" s="10" t="s">
        <v>1581</v>
      </c>
      <c r="B424" s="10" t="s">
        <v>1582</v>
      </c>
      <c r="C424" s="11" t="n">
        <v>261.77213576038</v>
      </c>
      <c r="D424" s="18" t="n">
        <v>423</v>
      </c>
    </row>
    <row r="425" ht="14.399999999999999" customHeight="1">
      <c r="A425" s="10" t="s">
        <v>1167</v>
      </c>
      <c r="B425" s="10" t="s">
        <v>1168</v>
      </c>
      <c r="C425" s="11" t="n">
        <v>257.703151150272</v>
      </c>
      <c r="D425" s="18" t="n">
        <v>424</v>
      </c>
    </row>
    <row r="426" ht="14.399999999999999" customHeight="1">
      <c r="A426" s="10" t="s">
        <v>548</v>
      </c>
      <c r="B426" s="10" t="s">
        <v>1621</v>
      </c>
      <c r="C426" s="11" t="n">
        <v>248.756427194948</v>
      </c>
      <c r="D426" s="18" t="n">
        <v>425</v>
      </c>
    </row>
    <row r="427" ht="14.399999999999999" customHeight="1">
      <c r="A427" s="10" t="s">
        <v>1186</v>
      </c>
      <c r="B427" s="10" t="s">
        <v>1187</v>
      </c>
      <c r="C427" s="11" t="n">
        <v>247.634316759929</v>
      </c>
      <c r="D427" s="18" t="n">
        <v>426</v>
      </c>
    </row>
    <row r="428" ht="14.399999999999999" customHeight="1">
      <c r="A428" s="10" t="s">
        <v>486</v>
      </c>
      <c r="B428" s="10" t="s">
        <v>487</v>
      </c>
      <c r="C428" s="11" t="n">
        <v>246.469183748197</v>
      </c>
      <c r="D428" s="18" t="n">
        <v>427</v>
      </c>
    </row>
    <row r="429" ht="14.399999999999999" customHeight="1">
      <c r="A429" s="10" t="s">
        <v>592</v>
      </c>
      <c r="B429" s="10" t="s">
        <v>593</v>
      </c>
      <c r="C429" s="11" t="n">
        <v>240.858678759026</v>
      </c>
      <c r="D429" s="18" t="n">
        <v>428</v>
      </c>
    </row>
    <row r="430" ht="14.399999999999999" customHeight="1">
      <c r="A430" s="10" t="s">
        <v>1603</v>
      </c>
      <c r="B430" s="10" t="s">
        <v>1604</v>
      </c>
      <c r="C430" s="11" t="n">
        <v>239.865082361011</v>
      </c>
      <c r="D430" s="18" t="n">
        <v>429</v>
      </c>
    </row>
    <row r="431" ht="14.399999999999999" customHeight="1">
      <c r="A431" s="10" t="s">
        <v>1601</v>
      </c>
      <c r="B431" s="10" t="s">
        <v>1602</v>
      </c>
      <c r="C431" s="11" t="n">
        <v>237.49939912094</v>
      </c>
      <c r="D431" s="18" t="n">
        <v>430</v>
      </c>
    </row>
    <row r="432" ht="14.399999999999999" customHeight="1">
      <c r="A432" s="10" t="s">
        <v>6486</v>
      </c>
      <c r="B432" s="10" t="s">
        <v>6487</v>
      </c>
      <c r="C432" s="11" t="n">
        <v>236.514657027076</v>
      </c>
      <c r="D432" s="18" t="n">
        <v>431</v>
      </c>
    </row>
    <row r="433" ht="14.399999999999999" customHeight="1">
      <c r="A433" s="10" t="s">
        <v>8436</v>
      </c>
      <c r="B433" s="10" t="s">
        <v>8437</v>
      </c>
      <c r="C433" s="11" t="n">
        <v>235.568083291518</v>
      </c>
      <c r="D433" s="18" t="n">
        <v>432</v>
      </c>
    </row>
    <row r="434" ht="14.399999999999999" customHeight="1">
      <c r="A434" s="10" t="s">
        <v>1336</v>
      </c>
      <c r="B434" s="10" t="s">
        <v>1337</v>
      </c>
      <c r="C434" s="11" t="n">
        <v>231.041069719767</v>
      </c>
      <c r="D434" s="18" t="n">
        <v>433</v>
      </c>
    </row>
    <row r="435" ht="14.399999999999999" customHeight="1">
      <c r="A435" s="10" t="s">
        <v>8438</v>
      </c>
      <c r="B435" s="10" t="s">
        <v>8439</v>
      </c>
      <c r="C435" s="11" t="n">
        <v>228.382790969315</v>
      </c>
      <c r="D435" s="18" t="n">
        <v>434</v>
      </c>
    </row>
    <row r="436" ht="14.399999999999999" customHeight="1">
      <c r="A436" s="10" t="s">
        <v>664</v>
      </c>
      <c r="B436" s="10" t="s">
        <v>8440</v>
      </c>
      <c r="C436" s="11" t="n">
        <v>226.612655251807</v>
      </c>
      <c r="D436" s="18" t="n">
        <v>435</v>
      </c>
    </row>
    <row r="437" ht="14.399999999999999" customHeight="1">
      <c r="A437" s="10" t="s">
        <v>8047</v>
      </c>
      <c r="B437" s="10" t="s">
        <v>8048</v>
      </c>
      <c r="C437" s="11" t="n">
        <v>215.200099569044</v>
      </c>
      <c r="D437" s="18" t="n">
        <v>436</v>
      </c>
    </row>
    <row r="438" ht="14.399999999999999" customHeight="1">
      <c r="A438" s="10" t="s">
        <v>1622</v>
      </c>
      <c r="B438" s="10" t="s">
        <v>1623</v>
      </c>
      <c r="C438" s="11" t="n">
        <v>204.292745730146</v>
      </c>
      <c r="D438" s="18" t="n">
        <v>437</v>
      </c>
    </row>
    <row r="439" ht="14.399999999999999" customHeight="1">
      <c r="A439" s="10" t="s">
        <v>578</v>
      </c>
      <c r="B439" s="10" t="s">
        <v>579</v>
      </c>
      <c r="C439" s="11" t="n">
        <v>197.783440766699</v>
      </c>
      <c r="D439" s="18" t="n">
        <v>438</v>
      </c>
    </row>
    <row r="440" ht="14.399999999999999" customHeight="1">
      <c r="A440" s="10" t="s">
        <v>1218</v>
      </c>
      <c r="B440" s="10" t="s">
        <v>1219</v>
      </c>
      <c r="C440" s="11" t="n">
        <v>197.059829866426</v>
      </c>
      <c r="D440" s="18" t="n">
        <v>439</v>
      </c>
    </row>
    <row r="441" ht="14.399999999999999" customHeight="1">
      <c r="A441" s="10" t="s">
        <v>1805</v>
      </c>
      <c r="B441" s="10" t="s">
        <v>1806</v>
      </c>
      <c r="C441" s="11" t="n">
        <v>194.239319465704</v>
      </c>
      <c r="D441" s="18" t="n">
        <v>440</v>
      </c>
    </row>
    <row r="442" ht="14.399999999999999" customHeight="1">
      <c r="A442" s="10" t="s">
        <v>6403</v>
      </c>
      <c r="B442" s="10" t="s">
        <v>6404</v>
      </c>
      <c r="C442" s="11" t="n">
        <v>190.565482369586</v>
      </c>
      <c r="D442" s="18" t="n">
        <v>441</v>
      </c>
    </row>
    <row r="443" ht="14.399999999999999" customHeight="1">
      <c r="A443" s="10" t="s">
        <v>1184</v>
      </c>
      <c r="B443" s="10" t="s">
        <v>1185</v>
      </c>
      <c r="C443" s="11" t="n">
        <v>190.235667005417</v>
      </c>
      <c r="D443" s="18" t="n">
        <v>442</v>
      </c>
    </row>
    <row r="444" ht="14.399999999999999" customHeight="1">
      <c r="A444" s="10" t="s">
        <v>1180</v>
      </c>
      <c r="B444" s="10" t="s">
        <v>1181</v>
      </c>
      <c r="C444" s="11" t="n">
        <v>185.385542111012</v>
      </c>
      <c r="D444" s="18" t="n">
        <v>443</v>
      </c>
    </row>
    <row r="445" ht="14.399999999999999" customHeight="1">
      <c r="A445" s="10" t="s">
        <v>574</v>
      </c>
      <c r="B445" s="10" t="s">
        <v>8441</v>
      </c>
      <c r="C445" s="11" t="n">
        <v>180.484291434568</v>
      </c>
      <c r="D445" s="18" t="n">
        <v>444</v>
      </c>
    </row>
    <row r="446" ht="14.399999999999999" customHeight="1">
      <c r="A446" s="10" t="s">
        <v>624</v>
      </c>
      <c r="B446" s="10" t="s">
        <v>625</v>
      </c>
      <c r="C446" s="11" t="n">
        <v>177.95452672112</v>
      </c>
      <c r="D446" s="18" t="n">
        <v>445</v>
      </c>
    </row>
    <row r="447" ht="14.399999999999999" customHeight="1">
      <c r="A447" s="10" t="s">
        <v>2414</v>
      </c>
      <c r="B447" s="10" t="s">
        <v>2415</v>
      </c>
      <c r="C447" s="11" t="n">
        <v>174.781290504062</v>
      </c>
      <c r="D447" s="18" t="n">
        <v>446</v>
      </c>
    </row>
    <row r="448" ht="14.399999999999999" customHeight="1">
      <c r="A448" s="10" t="s">
        <v>616</v>
      </c>
      <c r="B448" s="10" t="s">
        <v>617</v>
      </c>
      <c r="C448" s="11" t="n">
        <v>174.675837138991</v>
      </c>
      <c r="D448" s="18" t="n">
        <v>447</v>
      </c>
    </row>
    <row r="449" ht="14.399999999999999" customHeight="1">
      <c r="A449" s="10" t="s">
        <v>2402</v>
      </c>
      <c r="B449" s="10" t="s">
        <v>2403</v>
      </c>
      <c r="C449" s="11" t="n">
        <v>172.559529426896</v>
      </c>
      <c r="D449" s="18" t="n">
        <v>448</v>
      </c>
    </row>
    <row r="450" ht="14.399999999999999" customHeight="1">
      <c r="A450" s="10" t="s">
        <v>510</v>
      </c>
      <c r="B450" s="10" t="s">
        <v>511</v>
      </c>
      <c r="C450" s="11" t="n">
        <v>166.870434424641</v>
      </c>
      <c r="D450" s="18" t="n">
        <v>449</v>
      </c>
    </row>
    <row r="451" ht="14.399999999999999" customHeight="1">
      <c r="A451" s="10" t="s">
        <v>1229</v>
      </c>
      <c r="B451" s="10" t="s">
        <v>1230</v>
      </c>
      <c r="C451" s="11" t="n">
        <v>163.739019026174</v>
      </c>
      <c r="D451" s="18" t="n">
        <v>450</v>
      </c>
    </row>
    <row r="452" ht="14.399999999999999" customHeight="1">
      <c r="A452" s="10" t="s">
        <v>8442</v>
      </c>
      <c r="B452" s="10" t="s">
        <v>8443</v>
      </c>
      <c r="C452" s="11" t="n">
        <v>160.535717656138</v>
      </c>
      <c r="D452" s="18" t="n">
        <v>451</v>
      </c>
    </row>
    <row r="453" ht="14.399999999999999" customHeight="1">
      <c r="A453" s="10" t="s">
        <v>1231</v>
      </c>
      <c r="B453" s="10" t="s">
        <v>1232</v>
      </c>
      <c r="C453" s="11" t="n">
        <v>160.050524902979</v>
      </c>
      <c r="D453" s="18" t="n">
        <v>452</v>
      </c>
    </row>
    <row r="454" ht="14.399999999999999" customHeight="1">
      <c r="A454" s="10" t="s">
        <v>530</v>
      </c>
      <c r="B454" s="10" t="s">
        <v>531</v>
      </c>
      <c r="C454" s="11" t="n">
        <v>157.256727634478</v>
      </c>
      <c r="D454" s="18" t="n">
        <v>453</v>
      </c>
    </row>
    <row r="455" ht="14.399999999999999" customHeight="1">
      <c r="A455" s="10" t="s">
        <v>6101</v>
      </c>
      <c r="B455" s="10" t="s">
        <v>6102</v>
      </c>
      <c r="C455" s="11" t="n">
        <v>157.230164722022</v>
      </c>
      <c r="D455" s="18" t="n">
        <v>454</v>
      </c>
    </row>
    <row r="456" ht="14.399999999999999" customHeight="1">
      <c r="A456" s="10" t="s">
        <v>2276</v>
      </c>
      <c r="B456" s="10" t="s">
        <v>2277</v>
      </c>
      <c r="C456" s="11" t="n">
        <v>156.302200913358</v>
      </c>
      <c r="D456" s="18" t="n">
        <v>455</v>
      </c>
    </row>
    <row r="457" ht="14.399999999999999" customHeight="1">
      <c r="A457" s="10" t="s">
        <v>670</v>
      </c>
      <c r="B457" s="10" t="s">
        <v>671</v>
      </c>
      <c r="C457" s="11" t="n">
        <v>152.166982834839</v>
      </c>
      <c r="D457" s="18" t="n">
        <v>456</v>
      </c>
    </row>
    <row r="458" ht="14.399999999999999" customHeight="1">
      <c r="A458" s="10" t="s">
        <v>8444</v>
      </c>
      <c r="B458" s="10" t="s">
        <v>8445</v>
      </c>
      <c r="C458" s="11" t="n">
        <v>151.936818112816</v>
      </c>
      <c r="D458" s="18" t="n">
        <v>457</v>
      </c>
    </row>
    <row r="459" ht="14.399999999999999" customHeight="1">
      <c r="A459" s="10" t="s">
        <v>8446</v>
      </c>
      <c r="B459" s="10" t="s">
        <v>8447</v>
      </c>
      <c r="C459" s="11" t="n">
        <v>149.335167427798</v>
      </c>
      <c r="D459" s="18" t="n">
        <v>458</v>
      </c>
    </row>
    <row r="460" ht="14.399999999999999" customHeight="1">
      <c r="A460" s="10" t="s">
        <v>1182</v>
      </c>
      <c r="B460" s="10" t="s">
        <v>1183</v>
      </c>
      <c r="C460" s="11" t="n">
        <v>148.795947531138</v>
      </c>
      <c r="D460" s="18" t="n">
        <v>459</v>
      </c>
    </row>
    <row r="461" ht="14.399999999999999" customHeight="1">
      <c r="A461" s="10" t="s">
        <v>6689</v>
      </c>
      <c r="B461" s="10" t="s">
        <v>6690</v>
      </c>
      <c r="C461" s="11" t="n">
        <v>147.754427152076</v>
      </c>
      <c r="D461" s="18" t="n">
        <v>460</v>
      </c>
    </row>
    <row r="462" ht="14.399999999999999" customHeight="1">
      <c r="A462" s="10" t="s">
        <v>5551</v>
      </c>
      <c r="B462" s="10" t="s">
        <v>5552</v>
      </c>
      <c r="C462" s="11" t="n">
        <v>145.771985540615</v>
      </c>
      <c r="D462" s="18" t="n">
        <v>461</v>
      </c>
    </row>
    <row r="463" ht="14.399999999999999" customHeight="1">
      <c r="A463" s="10" t="s">
        <v>1278</v>
      </c>
      <c r="B463" s="10" t="s">
        <v>1279</v>
      </c>
      <c r="C463" s="11" t="n">
        <v>144.679489599278</v>
      </c>
      <c r="D463" s="18" t="n">
        <v>462</v>
      </c>
    </row>
    <row r="464" ht="14.399999999999999" customHeight="1">
      <c r="A464" s="10" t="s">
        <v>5995</v>
      </c>
      <c r="B464" s="10" t="s">
        <v>5996</v>
      </c>
      <c r="C464" s="11" t="n">
        <v>140.904152037906</v>
      </c>
      <c r="D464" s="18" t="n">
        <v>463</v>
      </c>
    </row>
    <row r="465" ht="14.399999999999999" customHeight="1">
      <c r="A465" s="10" t="s">
        <v>6087</v>
      </c>
      <c r="B465" s="10" t="s">
        <v>6088</v>
      </c>
      <c r="C465" s="11" t="n">
        <v>133.942470615976</v>
      </c>
      <c r="D465" s="18" t="n">
        <v>464</v>
      </c>
    </row>
    <row r="466" ht="14.399999999999999" customHeight="1">
      <c r="A466" s="10" t="s">
        <v>8448</v>
      </c>
      <c r="B466" s="10" t="s">
        <v>8449</v>
      </c>
      <c r="C466" s="11" t="n">
        <v>132.541520379062</v>
      </c>
      <c r="D466" s="18" t="n">
        <v>465</v>
      </c>
    </row>
    <row r="467" ht="14.399999999999999" customHeight="1">
      <c r="A467" s="10" t="s">
        <v>1379</v>
      </c>
      <c r="B467" s="10" t="s">
        <v>1380</v>
      </c>
      <c r="C467" s="11" t="n">
        <v>128.514807246841</v>
      </c>
      <c r="D467" s="18" t="n">
        <v>466</v>
      </c>
    </row>
    <row r="468" ht="14.399999999999999" customHeight="1">
      <c r="A468" s="10" t="s">
        <v>5997</v>
      </c>
      <c r="B468" s="10" t="s">
        <v>5998</v>
      </c>
      <c r="C468" s="11" t="n">
        <v>127.697498647112</v>
      </c>
      <c r="D468" s="18" t="n">
        <v>467</v>
      </c>
    </row>
    <row r="469" ht="14.399999999999999" customHeight="1">
      <c r="A469" s="10" t="s">
        <v>8450</v>
      </c>
      <c r="B469" s="10" t="s">
        <v>8451</v>
      </c>
      <c r="C469" s="11" t="n">
        <v>126.834866988268</v>
      </c>
      <c r="D469" s="18" t="n">
        <v>468</v>
      </c>
    </row>
    <row r="470" ht="14.399999999999999" customHeight="1">
      <c r="A470" s="10" t="s">
        <v>682</v>
      </c>
      <c r="B470" s="10" t="s">
        <v>683</v>
      </c>
      <c r="C470" s="11" t="n">
        <v>126.289844368683</v>
      </c>
      <c r="D470" s="18" t="n">
        <v>469</v>
      </c>
    </row>
    <row r="471" ht="14.399999999999999" customHeight="1">
      <c r="A471" s="10" t="s">
        <v>684</v>
      </c>
      <c r="B471" s="10" t="s">
        <v>685</v>
      </c>
      <c r="C471" s="11" t="n">
        <v>124.295947531138</v>
      </c>
      <c r="D471" s="18" t="n">
        <v>470</v>
      </c>
    </row>
    <row r="472" ht="14.399999999999999" customHeight="1">
      <c r="A472" s="10" t="s">
        <v>8452</v>
      </c>
      <c r="B472" s="10" t="s">
        <v>8453</v>
      </c>
      <c r="C472" s="11" t="n">
        <v>124.233366523015</v>
      </c>
      <c r="D472" s="18" t="n">
        <v>471</v>
      </c>
    </row>
    <row r="473" ht="14.399999999999999" customHeight="1">
      <c r="A473" s="10" t="s">
        <v>434</v>
      </c>
      <c r="B473" s="10" t="s">
        <v>8454</v>
      </c>
      <c r="C473" s="11" t="n">
        <v>119.370885083936</v>
      </c>
      <c r="D473" s="18" t="n">
        <v>472</v>
      </c>
    </row>
    <row r="474" ht="14.399999999999999" customHeight="1">
      <c r="A474" s="10" t="s">
        <v>5691</v>
      </c>
      <c r="B474" s="10" t="s">
        <v>5692</v>
      </c>
      <c r="C474" s="11" t="n">
        <v>118.143321283846</v>
      </c>
      <c r="D474" s="18" t="n">
        <v>473</v>
      </c>
    </row>
    <row r="475" ht="14.399999999999999" customHeight="1">
      <c r="A475" s="10" t="s">
        <v>1282</v>
      </c>
      <c r="B475" s="10" t="s">
        <v>1283</v>
      </c>
      <c r="C475" s="11" t="n">
        <v>116.445822636733</v>
      </c>
      <c r="D475" s="18" t="n">
        <v>474</v>
      </c>
    </row>
    <row r="476" ht="14.399999999999999" customHeight="1">
      <c r="A476" s="10" t="s">
        <v>2504</v>
      </c>
      <c r="B476" s="10" t="s">
        <v>2505</v>
      </c>
      <c r="C476" s="11" t="n">
        <v>115.436667893051</v>
      </c>
      <c r="D476" s="18" t="n">
        <v>475</v>
      </c>
    </row>
    <row r="477" ht="14.399999999999999" customHeight="1">
      <c r="A477" s="10" t="s">
        <v>8455</v>
      </c>
      <c r="B477" s="10" t="s">
        <v>8456</v>
      </c>
      <c r="C477" s="11" t="n">
        <v>111.457878741878</v>
      </c>
      <c r="D477" s="18" t="n">
        <v>476</v>
      </c>
    </row>
    <row r="478" ht="14.399999999999999" customHeight="1">
      <c r="A478" s="10" t="s">
        <v>5643</v>
      </c>
      <c r="B478" s="10" t="s">
        <v>5644</v>
      </c>
      <c r="C478" s="11" t="n">
        <v>109.553576484206</v>
      </c>
      <c r="D478" s="18" t="n">
        <v>477</v>
      </c>
    </row>
    <row r="479" ht="14.399999999999999" customHeight="1">
      <c r="A479" s="10" t="s">
        <v>2316</v>
      </c>
      <c r="B479" s="10" t="s">
        <v>2317</v>
      </c>
      <c r="C479" s="11" t="n">
        <v>109.053726703971</v>
      </c>
      <c r="D479" s="18" t="n">
        <v>478</v>
      </c>
    </row>
    <row r="480" ht="14.399999999999999" customHeight="1">
      <c r="A480" s="10" t="s">
        <v>2318</v>
      </c>
      <c r="B480" s="10" t="s">
        <v>2319</v>
      </c>
      <c r="C480" s="11" t="n">
        <v>108.913006342058</v>
      </c>
      <c r="D480" s="18" t="n">
        <v>479</v>
      </c>
    </row>
    <row r="481" ht="14.399999999999999" customHeight="1">
      <c r="A481" s="10" t="s">
        <v>8075</v>
      </c>
      <c r="B481" s="10" t="s">
        <v>8076</v>
      </c>
      <c r="C481" s="11" t="n">
        <v>107.302050693593</v>
      </c>
      <c r="D481" s="18" t="n">
        <v>480</v>
      </c>
    </row>
    <row r="482" ht="14.399999999999999" customHeight="1">
      <c r="A482" s="10" t="s">
        <v>7168</v>
      </c>
      <c r="B482" s="10" t="s">
        <v>8457</v>
      </c>
      <c r="C482" s="11" t="n">
        <v>107.038543907717</v>
      </c>
      <c r="D482" s="18" t="n">
        <v>481</v>
      </c>
    </row>
    <row r="483" ht="14.399999999999999" customHeight="1">
      <c r="A483" s="10" t="s">
        <v>1284</v>
      </c>
      <c r="B483" s="10" t="s">
        <v>1285</v>
      </c>
      <c r="C483" s="11" t="n">
        <v>106.041670598827</v>
      </c>
      <c r="D483" s="18" t="n">
        <v>482</v>
      </c>
    </row>
    <row r="484" ht="14.399999999999999" customHeight="1">
      <c r="A484" s="10" t="s">
        <v>2186</v>
      </c>
      <c r="B484" s="10" t="s">
        <v>2187</v>
      </c>
      <c r="C484" s="11" t="n">
        <v>105.898048875452</v>
      </c>
      <c r="D484" s="18" t="n">
        <v>483</v>
      </c>
    </row>
    <row r="485" ht="14.399999999999999" customHeight="1">
      <c r="A485" s="10" t="s">
        <v>540</v>
      </c>
      <c r="B485" s="10" t="s">
        <v>541</v>
      </c>
      <c r="C485" s="11" t="n">
        <v>105.520459750001</v>
      </c>
      <c r="D485" s="18" t="n">
        <v>484</v>
      </c>
    </row>
    <row r="486" ht="14.399999999999999" customHeight="1">
      <c r="A486" s="10" t="s">
        <v>484</v>
      </c>
      <c r="B486" s="10" t="s">
        <v>485</v>
      </c>
      <c r="C486" s="11" t="n">
        <v>104.715057035651</v>
      </c>
      <c r="D486" s="18" t="n">
        <v>485</v>
      </c>
    </row>
    <row r="487" ht="14.399999999999999" customHeight="1">
      <c r="A487" s="10" t="s">
        <v>1286</v>
      </c>
      <c r="B487" s="10" t="s">
        <v>1287</v>
      </c>
      <c r="C487" s="11" t="n">
        <v>103.892095932762</v>
      </c>
      <c r="D487" s="18" t="n">
        <v>486</v>
      </c>
    </row>
    <row r="488" ht="14.399999999999999" customHeight="1">
      <c r="A488" s="10" t="s">
        <v>8458</v>
      </c>
      <c r="B488" s="10" t="s">
        <v>8459</v>
      </c>
      <c r="C488" s="11" t="n">
        <v>97.8380687892604</v>
      </c>
      <c r="D488" s="18" t="n">
        <v>487</v>
      </c>
    </row>
    <row r="489" ht="14.399999999999999" customHeight="1">
      <c r="A489" s="10" t="s">
        <v>5625</v>
      </c>
      <c r="B489" s="10" t="s">
        <v>5626</v>
      </c>
      <c r="C489" s="11" t="n">
        <v>97.6912452648924</v>
      </c>
      <c r="D489" s="18" t="n">
        <v>488</v>
      </c>
    </row>
    <row r="490" ht="14.399999999999999" customHeight="1">
      <c r="A490" s="10" t="s">
        <v>554</v>
      </c>
      <c r="B490" s="10" t="s">
        <v>555</v>
      </c>
      <c r="C490" s="11" t="n">
        <v>96.9366678930514</v>
      </c>
      <c r="D490" s="18" t="n">
        <v>489</v>
      </c>
    </row>
    <row r="491" ht="14.399999999999999" customHeight="1">
      <c r="A491" s="10" t="s">
        <v>1375</v>
      </c>
      <c r="B491" s="10" t="s">
        <v>1376</v>
      </c>
      <c r="C491" s="11" t="n">
        <v>96.4011004566789</v>
      </c>
      <c r="D491" s="18" t="n">
        <v>490</v>
      </c>
    </row>
    <row r="492" ht="14.399999999999999" customHeight="1">
      <c r="A492" s="10" t="s">
        <v>1320</v>
      </c>
      <c r="B492" s="10" t="s">
        <v>1321</v>
      </c>
      <c r="C492" s="11" t="n">
        <v>96.2034515898017</v>
      </c>
      <c r="D492" s="18" t="n">
        <v>491</v>
      </c>
    </row>
    <row r="493" ht="14.399999999999999" customHeight="1">
      <c r="A493" s="10" t="s">
        <v>1377</v>
      </c>
      <c r="B493" s="10" t="s">
        <v>1378</v>
      </c>
      <c r="C493" s="11" t="n">
        <v>92.2152072554158</v>
      </c>
      <c r="D493" s="18" t="n">
        <v>492</v>
      </c>
    </row>
    <row r="494" ht="14.399999999999999" customHeight="1">
      <c r="A494" s="10" t="s">
        <v>1316</v>
      </c>
      <c r="B494" s="10" t="s">
        <v>7189</v>
      </c>
      <c r="C494" s="11" t="n">
        <v>91.1015004652533</v>
      </c>
      <c r="D494" s="18" t="n">
        <v>493</v>
      </c>
    </row>
    <row r="495" ht="14.399999999999999" customHeight="1">
      <c r="A495" s="10" t="s">
        <v>8460</v>
      </c>
      <c r="B495" s="10" t="s">
        <v>8461</v>
      </c>
      <c r="C495" s="11" t="n">
        <v>86.0119058853792</v>
      </c>
      <c r="D495" s="18" t="n">
        <v>494</v>
      </c>
    </row>
    <row r="496" ht="14.399999999999999" customHeight="1">
      <c r="A496" s="10" t="s">
        <v>6143</v>
      </c>
      <c r="B496" s="10" t="s">
        <v>6144</v>
      </c>
      <c r="C496" s="11" t="n">
        <v>84.9935963980152</v>
      </c>
      <c r="D496" s="18" t="n">
        <v>495</v>
      </c>
    </row>
    <row r="497" ht="14.399999999999999" customHeight="1">
      <c r="A497" s="10" t="s">
        <v>1328</v>
      </c>
      <c r="B497" s="10" t="s">
        <v>1329</v>
      </c>
      <c r="C497" s="11" t="n">
        <v>83.0865429986467</v>
      </c>
      <c r="D497" s="18" t="n">
        <v>496</v>
      </c>
    </row>
    <row r="498" ht="14.399999999999999" customHeight="1">
      <c r="A498" s="10" t="s">
        <v>8462</v>
      </c>
      <c r="B498" s="10" t="s">
        <v>8463</v>
      </c>
      <c r="C498" s="11" t="n">
        <v>81.5895945798741</v>
      </c>
      <c r="D498" s="18" t="n">
        <v>497</v>
      </c>
    </row>
    <row r="499" ht="14.399999999999999" customHeight="1">
      <c r="A499" s="10" t="s">
        <v>8464</v>
      </c>
      <c r="B499" s="10" t="s">
        <v>8465</v>
      </c>
      <c r="C499" s="11" t="n">
        <v>80.1436217233756</v>
      </c>
      <c r="D499" s="18" t="n">
        <v>498</v>
      </c>
    </row>
    <row r="500" ht="14.399999999999999" customHeight="1">
      <c r="A500" s="10" t="s">
        <v>8466</v>
      </c>
      <c r="B500" s="10" t="s">
        <v>8467</v>
      </c>
      <c r="C500" s="11" t="n">
        <v>79.23039005167</v>
      </c>
      <c r="D500" s="18" t="n">
        <v>499</v>
      </c>
    </row>
    <row r="501" ht="14.399999999999999" customHeight="1">
      <c r="A501" s="10" t="s">
        <v>6717</v>
      </c>
      <c r="B501" s="10" t="s">
        <v>6718</v>
      </c>
      <c r="C501" s="11" t="n">
        <v>79.0717357518053</v>
      </c>
      <c r="D501" s="18" t="n">
        <v>500</v>
      </c>
    </row>
    <row r="502" ht="14.399999999999999" customHeight="1">
      <c r="A502" s="10" t="s">
        <v>2188</v>
      </c>
      <c r="B502" s="10" t="s">
        <v>2189</v>
      </c>
      <c r="C502" s="11" t="n">
        <v>78.6254624557767</v>
      </c>
      <c r="D502" s="18" t="n">
        <v>501</v>
      </c>
    </row>
    <row r="503" ht="14.399999999999999" customHeight="1">
      <c r="A503" s="10" t="s">
        <v>5645</v>
      </c>
      <c r="B503" s="10" t="s">
        <v>5646</v>
      </c>
      <c r="C503" s="11" t="n">
        <v>77.7632814562278</v>
      </c>
      <c r="D503" s="18" t="n">
        <v>502</v>
      </c>
    </row>
    <row r="504" ht="14.399999999999999" customHeight="1">
      <c r="A504" s="10" t="s">
        <v>5971</v>
      </c>
      <c r="B504" s="10" t="s">
        <v>5972</v>
      </c>
      <c r="C504" s="11" t="n">
        <v>77.5296144936829</v>
      </c>
      <c r="D504" s="18" t="n">
        <v>503</v>
      </c>
    </row>
    <row r="505" ht="14.399999999999999" customHeight="1">
      <c r="A505" s="10" t="s">
        <v>1332</v>
      </c>
      <c r="B505" s="10" t="s">
        <v>1333</v>
      </c>
      <c r="C505" s="11" t="n">
        <v>77.3290642653435</v>
      </c>
      <c r="D505" s="18" t="n">
        <v>504</v>
      </c>
    </row>
    <row r="506" ht="14.399999999999999" customHeight="1">
      <c r="A506" s="10" t="s">
        <v>6073</v>
      </c>
      <c r="B506" s="10" t="s">
        <v>6074</v>
      </c>
      <c r="C506" s="11" t="n">
        <v>77.2274135803252</v>
      </c>
      <c r="D506" s="18" t="n">
        <v>505</v>
      </c>
    </row>
    <row r="507" ht="14.399999999999999" customHeight="1">
      <c r="A507" s="10" t="s">
        <v>1338</v>
      </c>
      <c r="B507" s="10" t="s">
        <v>1339</v>
      </c>
      <c r="C507" s="11" t="n">
        <v>75.5656325893506</v>
      </c>
      <c r="D507" s="18" t="n">
        <v>506</v>
      </c>
    </row>
    <row r="508" ht="14.399999999999999" customHeight="1">
      <c r="A508" s="10" t="s">
        <v>6121</v>
      </c>
      <c r="B508" s="10" t="s">
        <v>6122</v>
      </c>
      <c r="C508" s="11" t="n">
        <v>74.4009502369138</v>
      </c>
      <c r="D508" s="18" t="n">
        <v>507</v>
      </c>
    </row>
    <row r="509" ht="14.399999999999999" customHeight="1">
      <c r="A509" s="10" t="s">
        <v>5553</v>
      </c>
      <c r="B509" s="10" t="s">
        <v>5554</v>
      </c>
      <c r="C509" s="11" t="n">
        <v>73.990695036553</v>
      </c>
      <c r="D509" s="18" t="n">
        <v>508</v>
      </c>
    </row>
    <row r="510" ht="14.399999999999999" customHeight="1">
      <c r="A510" s="10" t="s">
        <v>6632</v>
      </c>
      <c r="B510" s="10" t="s">
        <v>6633</v>
      </c>
      <c r="C510" s="11" t="n">
        <v>70.745272408394</v>
      </c>
      <c r="D510" s="18" t="n">
        <v>509</v>
      </c>
    </row>
    <row r="511" ht="14.399999999999999" customHeight="1">
      <c r="A511" s="10" t="s">
        <v>1383</v>
      </c>
      <c r="B511" s="10" t="s">
        <v>1384</v>
      </c>
      <c r="C511" s="11" t="n">
        <v>69.7002497888093</v>
      </c>
      <c r="D511" s="18" t="n">
        <v>510</v>
      </c>
    </row>
    <row r="512" ht="14.399999999999999" customHeight="1">
      <c r="A512" s="10" t="s">
        <v>1340</v>
      </c>
      <c r="B512" s="10" t="s">
        <v>1341</v>
      </c>
      <c r="C512" s="11" t="n">
        <v>69.3411203704877</v>
      </c>
      <c r="D512" s="18" t="n">
        <v>511</v>
      </c>
    </row>
    <row r="513" ht="14.399999999999999" customHeight="1">
      <c r="A513" s="10" t="s">
        <v>2228</v>
      </c>
      <c r="B513" s="10" t="s">
        <v>2229</v>
      </c>
      <c r="C513" s="11" t="n">
        <v>68.0895945798741</v>
      </c>
      <c r="D513" s="18" t="n">
        <v>512</v>
      </c>
    </row>
    <row r="514" ht="14.399999999999999" customHeight="1">
      <c r="A514" s="10" t="s">
        <v>2230</v>
      </c>
      <c r="B514" s="10" t="s">
        <v>2231</v>
      </c>
      <c r="C514" s="11" t="n">
        <v>67.9189592847477</v>
      </c>
      <c r="D514" s="18" t="n">
        <v>513</v>
      </c>
    </row>
    <row r="515" ht="14.399999999999999" customHeight="1">
      <c r="A515" s="10" t="s">
        <v>1027</v>
      </c>
      <c r="B515" s="10" t="s">
        <v>1028</v>
      </c>
      <c r="C515" s="11" t="n">
        <v>67.34402173195</v>
      </c>
      <c r="D515" s="18" t="n">
        <v>514</v>
      </c>
    </row>
    <row r="516" ht="14.399999999999999" customHeight="1">
      <c r="A516" s="10" t="s">
        <v>2502</v>
      </c>
      <c r="B516" s="10" t="s">
        <v>2503</v>
      </c>
      <c r="C516" s="11" t="n">
        <v>64.715507694946</v>
      </c>
      <c r="D516" s="18" t="n">
        <v>515</v>
      </c>
    </row>
    <row r="517" ht="14.399999999999999" customHeight="1">
      <c r="A517" s="10" t="s">
        <v>5657</v>
      </c>
      <c r="B517" s="10" t="s">
        <v>5658</v>
      </c>
      <c r="C517" s="11" t="n">
        <v>63.6167583713899</v>
      </c>
      <c r="D517" s="18" t="n">
        <v>516</v>
      </c>
    </row>
    <row r="518" ht="14.399999999999999" customHeight="1">
      <c r="A518" s="10" t="s">
        <v>1348</v>
      </c>
      <c r="B518" s="10" t="s">
        <v>1349</v>
      </c>
      <c r="C518" s="11" t="n">
        <v>63.3891945712997</v>
      </c>
      <c r="D518" s="18" t="n">
        <v>517</v>
      </c>
    </row>
    <row r="519" ht="14.399999999999999" customHeight="1">
      <c r="A519" s="10" t="s">
        <v>8468</v>
      </c>
      <c r="B519" s="10" t="s">
        <v>8469</v>
      </c>
      <c r="C519" s="11" t="n">
        <v>62.451925799188</v>
      </c>
      <c r="D519" s="18" t="n">
        <v>518</v>
      </c>
    </row>
    <row r="520" ht="14.399999999999999" customHeight="1">
      <c r="A520" s="10" t="s">
        <v>1360</v>
      </c>
      <c r="B520" s="10" t="s">
        <v>1361</v>
      </c>
      <c r="C520" s="11" t="n">
        <v>60.3321158465708</v>
      </c>
      <c r="D520" s="18" t="n">
        <v>519</v>
      </c>
    </row>
    <row r="521" ht="14.399999999999999" customHeight="1">
      <c r="A521" s="10" t="s">
        <v>2508</v>
      </c>
      <c r="B521" s="10" t="s">
        <v>2509</v>
      </c>
      <c r="C521" s="11" t="n">
        <v>59.1196597328522</v>
      </c>
      <c r="D521" s="18" t="n">
        <v>520</v>
      </c>
    </row>
    <row r="522" ht="14.399999999999999" customHeight="1">
      <c r="A522" s="10" t="s">
        <v>5635</v>
      </c>
      <c r="B522" s="10" t="s">
        <v>5636</v>
      </c>
      <c r="C522" s="11" t="n">
        <v>57.1016506850183</v>
      </c>
      <c r="D522" s="18" t="n">
        <v>521</v>
      </c>
    </row>
    <row r="523" ht="14.399999999999999" customHeight="1">
      <c r="A523" s="10" t="s">
        <v>1561</v>
      </c>
      <c r="B523" s="10" t="s">
        <v>1562</v>
      </c>
      <c r="C523" s="11" t="n">
        <v>56.568684170578</v>
      </c>
      <c r="D523" s="18" t="n">
        <v>522</v>
      </c>
    </row>
    <row r="524" ht="14.399999999999999" customHeight="1">
      <c r="A524" s="10" t="s">
        <v>8470</v>
      </c>
      <c r="B524" s="10" t="s">
        <v>8471</v>
      </c>
      <c r="C524" s="11" t="n">
        <v>56.5088543041519</v>
      </c>
      <c r="D524" s="18" t="n">
        <v>523</v>
      </c>
    </row>
    <row r="525" ht="14.399999999999999" customHeight="1">
      <c r="A525" s="10" t="s">
        <v>5853</v>
      </c>
      <c r="B525" s="10" t="s">
        <v>5854</v>
      </c>
      <c r="C525" s="11" t="n">
        <v>56.4877936750907</v>
      </c>
      <c r="D525" s="18" t="n">
        <v>524</v>
      </c>
    </row>
    <row r="526" ht="14.399999999999999" customHeight="1">
      <c r="A526" s="10" t="s">
        <v>8472</v>
      </c>
      <c r="B526" s="10" t="s">
        <v>8473</v>
      </c>
      <c r="C526" s="11" t="n">
        <v>55.2753375613721</v>
      </c>
      <c r="D526" s="18" t="n">
        <v>525</v>
      </c>
    </row>
    <row r="527" ht="14.399999999999999" customHeight="1">
      <c r="A527" s="10" t="s">
        <v>2506</v>
      </c>
      <c r="B527" s="10" t="s">
        <v>2507</v>
      </c>
      <c r="C527" s="11" t="n">
        <v>54.6405701421483</v>
      </c>
      <c r="D527" s="18" t="n">
        <v>526</v>
      </c>
    </row>
    <row r="528" ht="14.399999999999999" customHeight="1">
      <c r="A528" s="10" t="s">
        <v>1362</v>
      </c>
      <c r="B528" s="10" t="s">
        <v>1363</v>
      </c>
      <c r="C528" s="11" t="n">
        <v>53.8022009133578</v>
      </c>
      <c r="D528" s="18" t="n">
        <v>527</v>
      </c>
    </row>
    <row r="529" ht="14.399999999999999" customHeight="1">
      <c r="A529" s="10" t="s">
        <v>1465</v>
      </c>
      <c r="B529" s="10" t="s">
        <v>1466</v>
      </c>
      <c r="C529" s="11" t="n">
        <v>52.883091408845</v>
      </c>
      <c r="D529" s="18" t="n">
        <v>528</v>
      </c>
    </row>
    <row r="530" ht="14.399999999999999" customHeight="1">
      <c r="A530" s="10" t="s">
        <v>6085</v>
      </c>
      <c r="B530" s="10" t="s">
        <v>6086</v>
      </c>
      <c r="C530" s="11" t="n">
        <v>47.7542769323109</v>
      </c>
      <c r="D530" s="18" t="n">
        <v>529</v>
      </c>
    </row>
    <row r="531" ht="14.399999999999999" customHeight="1">
      <c r="A531" s="10" t="s">
        <v>1577</v>
      </c>
      <c r="B531" s="10" t="s">
        <v>1578</v>
      </c>
      <c r="C531" s="11" t="n">
        <v>45.8322660663359</v>
      </c>
      <c r="D531" s="18" t="n">
        <v>530</v>
      </c>
    </row>
    <row r="532" ht="14.399999999999999" customHeight="1">
      <c r="A532" s="10" t="s">
        <v>6053</v>
      </c>
      <c r="B532" s="10" t="s">
        <v>6054</v>
      </c>
      <c r="C532" s="11" t="n">
        <v>45.8263131236463</v>
      </c>
      <c r="D532" s="18" t="n">
        <v>531</v>
      </c>
    </row>
    <row r="533" ht="14.399999999999999" customHeight="1">
      <c r="A533" s="10" t="s">
        <v>1549</v>
      </c>
      <c r="B533" s="10" t="s">
        <v>1550</v>
      </c>
      <c r="C533" s="11" t="n">
        <v>45.3560778370943</v>
      </c>
      <c r="D533" s="18" t="n">
        <v>532</v>
      </c>
    </row>
    <row r="534" ht="14.399999999999999" customHeight="1">
      <c r="A534" s="10" t="s">
        <v>1555</v>
      </c>
      <c r="B534" s="10" t="s">
        <v>1556</v>
      </c>
      <c r="C534" s="11" t="n">
        <v>44.5746371132676</v>
      </c>
      <c r="D534" s="18" t="n">
        <v>533</v>
      </c>
    </row>
    <row r="535" ht="14.399999999999999" customHeight="1">
      <c r="A535" s="10" t="s">
        <v>1579</v>
      </c>
      <c r="B535" s="10" t="s">
        <v>1580</v>
      </c>
      <c r="C535" s="11" t="n">
        <v>44.0029013614623</v>
      </c>
      <c r="D535" s="18" t="n">
        <v>534</v>
      </c>
    </row>
    <row r="536" ht="14.399999999999999" customHeight="1">
      <c r="A536" s="10" t="s">
        <v>1631</v>
      </c>
      <c r="B536" s="10" t="s">
        <v>1632</v>
      </c>
      <c r="C536" s="11" t="n">
        <v>43.8023511331228</v>
      </c>
      <c r="D536" s="18" t="n">
        <v>535</v>
      </c>
    </row>
    <row r="537" ht="14.399999999999999" customHeight="1">
      <c r="A537" s="10" t="s">
        <v>1647</v>
      </c>
      <c r="B537" s="10" t="s">
        <v>1648</v>
      </c>
      <c r="C537" s="11" t="n">
        <v>42.7423710469317</v>
      </c>
      <c r="D537" s="18" t="n">
        <v>536</v>
      </c>
    </row>
    <row r="538" ht="14.399999999999999" customHeight="1">
      <c r="A538" s="10" t="s">
        <v>1633</v>
      </c>
      <c r="B538" s="10" t="s">
        <v>1634</v>
      </c>
      <c r="C538" s="11" t="n">
        <v>42.1675837138991</v>
      </c>
      <c r="D538" s="18" t="n">
        <v>537</v>
      </c>
    </row>
    <row r="539" ht="14.399999999999999" customHeight="1">
      <c r="A539" s="10" t="s">
        <v>8474</v>
      </c>
      <c r="B539" s="10" t="s">
        <v>8475</v>
      </c>
      <c r="C539" s="11" t="n">
        <v>41.8502751141697</v>
      </c>
      <c r="D539" s="18" t="n">
        <v>538</v>
      </c>
    </row>
    <row r="540" ht="14.399999999999999" customHeight="1">
      <c r="A540" s="10" t="s">
        <v>1645</v>
      </c>
      <c r="B540" s="10" t="s">
        <v>7626</v>
      </c>
      <c r="C540" s="11" t="n">
        <v>41.715507694946</v>
      </c>
      <c r="D540" s="18" t="n">
        <v>539</v>
      </c>
    </row>
    <row r="541" ht="14.399999999999999" customHeight="1">
      <c r="A541" s="10" t="s">
        <v>1637</v>
      </c>
      <c r="B541" s="10" t="s">
        <v>1638</v>
      </c>
      <c r="C541" s="11" t="n">
        <v>41.3621809995489</v>
      </c>
      <c r="D541" s="18" t="n">
        <v>540</v>
      </c>
    </row>
    <row r="542" ht="14.399999999999999" customHeight="1">
      <c r="A542" s="10" t="s">
        <v>6600</v>
      </c>
      <c r="B542" s="10" t="s">
        <v>6601</v>
      </c>
      <c r="C542" s="11" t="n">
        <v>41.1435466134931</v>
      </c>
      <c r="D542" s="18" t="n">
        <v>541</v>
      </c>
    </row>
    <row r="543" ht="14.399999999999999" customHeight="1">
      <c r="A543" s="10" t="s">
        <v>1669</v>
      </c>
      <c r="B543" s="10" t="s">
        <v>7547</v>
      </c>
      <c r="C543" s="11" t="n">
        <v>39.0837918569495</v>
      </c>
      <c r="D543" s="18" t="n">
        <v>542</v>
      </c>
    </row>
    <row r="544" ht="14.399999999999999" customHeight="1">
      <c r="A544" s="10" t="s">
        <v>1639</v>
      </c>
      <c r="B544" s="10" t="s">
        <v>1640</v>
      </c>
      <c r="C544" s="11" t="n">
        <v>39.0387692373649</v>
      </c>
      <c r="D544" s="18" t="n">
        <v>543</v>
      </c>
    </row>
    <row r="545" ht="14.399999999999999" customHeight="1">
      <c r="A545" s="10" t="s">
        <v>1671</v>
      </c>
      <c r="B545" s="10" t="s">
        <v>1672</v>
      </c>
      <c r="C545" s="11" t="n">
        <v>38.6945972856498</v>
      </c>
      <c r="D545" s="18" t="n">
        <v>544</v>
      </c>
    </row>
    <row r="546" ht="14.399999999999999" customHeight="1">
      <c r="A546" s="10" t="s">
        <v>1659</v>
      </c>
      <c r="B546" s="10" t="s">
        <v>1660</v>
      </c>
      <c r="C546" s="11" t="n">
        <v>38.2753375613721</v>
      </c>
      <c r="D546" s="18" t="n">
        <v>545</v>
      </c>
    </row>
    <row r="547" ht="14.399999999999999" customHeight="1">
      <c r="A547" s="10" t="s">
        <v>1651</v>
      </c>
      <c r="B547" s="10" t="s">
        <v>1652</v>
      </c>
      <c r="C547" s="11" t="n">
        <v>37.7812905040617</v>
      </c>
      <c r="D547" s="18" t="n">
        <v>546</v>
      </c>
    </row>
    <row r="548" ht="14.399999999999999" customHeight="1">
      <c r="A548" s="10" t="s">
        <v>6644</v>
      </c>
      <c r="B548" s="10" t="s">
        <v>6645</v>
      </c>
      <c r="C548" s="11" t="n">
        <v>37.6675837138991</v>
      </c>
      <c r="D548" s="18" t="n">
        <v>547</v>
      </c>
    </row>
    <row r="549" ht="14.399999999999999" customHeight="1">
      <c r="A549" s="10" t="s">
        <v>1653</v>
      </c>
      <c r="B549" s="10" t="s">
        <v>1654</v>
      </c>
      <c r="C549" s="11" t="n">
        <v>37.5387692373649</v>
      </c>
      <c r="D549" s="18" t="n">
        <v>548</v>
      </c>
    </row>
    <row r="550" ht="14.399999999999999" customHeight="1">
      <c r="A550" s="10" t="s">
        <v>5689</v>
      </c>
      <c r="B550" s="10" t="s">
        <v>5690</v>
      </c>
      <c r="C550" s="11" t="n">
        <v>36.7663330374551</v>
      </c>
      <c r="D550" s="18" t="n">
        <v>549</v>
      </c>
    </row>
    <row r="551" ht="14.399999999999999" customHeight="1">
      <c r="A551" s="10" t="s">
        <v>1391</v>
      </c>
      <c r="B551" s="10" t="s">
        <v>1392</v>
      </c>
      <c r="C551" s="11" t="n">
        <v>34.5627312278884</v>
      </c>
      <c r="D551" s="18" t="n">
        <v>550</v>
      </c>
    </row>
    <row r="552" ht="14.399999999999999" customHeight="1">
      <c r="A552" s="10" t="s">
        <v>1488</v>
      </c>
      <c r="B552" s="10" t="s">
        <v>1489</v>
      </c>
      <c r="C552" s="11" t="n">
        <v>33.814257018502</v>
      </c>
      <c r="D552" s="18" t="n">
        <v>551</v>
      </c>
    </row>
    <row r="553" ht="14.399999999999999" customHeight="1">
      <c r="A553" s="10" t="s">
        <v>1685</v>
      </c>
      <c r="B553" s="10" t="s">
        <v>1686</v>
      </c>
      <c r="C553" s="11" t="n">
        <v>33.5567782851988</v>
      </c>
      <c r="D553" s="18" t="n">
        <v>552</v>
      </c>
    </row>
    <row r="554" ht="14.399999999999999" customHeight="1">
      <c r="A554" s="10" t="s">
        <v>1697</v>
      </c>
      <c r="B554" s="10" t="s">
        <v>1698</v>
      </c>
      <c r="C554" s="11" t="n">
        <v>32.8023511331228</v>
      </c>
      <c r="D554" s="18" t="n">
        <v>553</v>
      </c>
    </row>
    <row r="555" ht="14.399999999999999" customHeight="1">
      <c r="A555" s="10" t="s">
        <v>1721</v>
      </c>
      <c r="B555" s="10" t="s">
        <v>1722</v>
      </c>
      <c r="C555" s="11" t="n">
        <v>31.3801900473828</v>
      </c>
      <c r="D555" s="18" t="n">
        <v>554</v>
      </c>
    </row>
    <row r="556" ht="14.399999999999999" customHeight="1">
      <c r="A556" s="10" t="s">
        <v>1711</v>
      </c>
      <c r="B556" s="10" t="s">
        <v>1712</v>
      </c>
      <c r="C556" s="11" t="n">
        <v>29.0508253425092</v>
      </c>
      <c r="D556" s="18" t="n">
        <v>555</v>
      </c>
    </row>
    <row r="557" ht="14.399999999999999" customHeight="1">
      <c r="A557" s="10" t="s">
        <v>1705</v>
      </c>
      <c r="B557" s="10" t="s">
        <v>1706</v>
      </c>
      <c r="C557" s="11" t="n">
        <v>29.0328162946753</v>
      </c>
      <c r="D557" s="18" t="n">
        <v>556</v>
      </c>
    </row>
    <row r="558" ht="14.399999999999999" customHeight="1">
      <c r="A558" s="10" t="s">
        <v>1699</v>
      </c>
      <c r="B558" s="10" t="s">
        <v>1700</v>
      </c>
      <c r="C558" s="11" t="n">
        <v>28.922010865975</v>
      </c>
      <c r="D558" s="18" t="n">
        <v>557</v>
      </c>
    </row>
    <row r="559" ht="14.399999999999999" customHeight="1">
      <c r="A559" s="10" t="s">
        <v>1851</v>
      </c>
      <c r="B559" s="10" t="s">
        <v>1852</v>
      </c>
      <c r="C559" s="11" t="n">
        <v>28.8292144851085</v>
      </c>
      <c r="D559" s="18" t="n">
        <v>558</v>
      </c>
    </row>
    <row r="560" ht="14.399999999999999" customHeight="1">
      <c r="A560" s="10" t="s">
        <v>1389</v>
      </c>
      <c r="B560" s="10" t="s">
        <v>1390</v>
      </c>
      <c r="C560" s="11" t="n">
        <v>27.7873936665163</v>
      </c>
      <c r="D560" s="18" t="n">
        <v>559</v>
      </c>
    </row>
    <row r="561" ht="14.399999999999999" customHeight="1">
      <c r="A561" s="10" t="s">
        <v>1713</v>
      </c>
      <c r="B561" s="10" t="s">
        <v>1714</v>
      </c>
      <c r="C561" s="11" t="n">
        <v>27.4549773804154</v>
      </c>
      <c r="D561" s="18" t="n">
        <v>560</v>
      </c>
    </row>
    <row r="562" ht="14.399999999999999" customHeight="1">
      <c r="A562" s="10" t="s">
        <v>1745</v>
      </c>
      <c r="B562" s="10" t="s">
        <v>1746</v>
      </c>
      <c r="C562" s="11" t="n">
        <v>25.7245122188629</v>
      </c>
      <c r="D562" s="18" t="n">
        <v>561</v>
      </c>
    </row>
    <row r="563" ht="14.399999999999999" customHeight="1">
      <c r="A563" s="10" t="s">
        <v>350</v>
      </c>
      <c r="B563" s="10" t="s">
        <v>8476</v>
      </c>
      <c r="C563" s="11" t="n">
        <v>25.1495746660652</v>
      </c>
      <c r="D563" s="18" t="n">
        <v>562</v>
      </c>
    </row>
    <row r="564" ht="14.399999999999999" customHeight="1">
      <c r="A564" s="10" t="s">
        <v>1753</v>
      </c>
      <c r="B564" s="10" t="s">
        <v>1754</v>
      </c>
      <c r="C564" s="11" t="n">
        <v>24.9041520379062</v>
      </c>
      <c r="D564" s="18" t="n">
        <v>563</v>
      </c>
    </row>
    <row r="565" ht="14.399999999999999" customHeight="1">
      <c r="A565" s="10" t="s">
        <v>1797</v>
      </c>
      <c r="B565" s="10" t="s">
        <v>1798</v>
      </c>
      <c r="C565" s="11" t="n">
        <v>22.0927963808665</v>
      </c>
      <c r="D565" s="18" t="n">
        <v>564</v>
      </c>
    </row>
    <row r="566" ht="14.399999999999999" customHeight="1">
      <c r="A566" s="10" t="s">
        <v>1779</v>
      </c>
      <c r="B566" s="10" t="s">
        <v>1780</v>
      </c>
      <c r="C566" s="11" t="n">
        <v>21.7394696854694</v>
      </c>
      <c r="D566" s="18" t="n">
        <v>565</v>
      </c>
    </row>
    <row r="567" ht="14.399999999999999" customHeight="1">
      <c r="A567" s="10" t="s">
        <v>1524</v>
      </c>
      <c r="B567" s="10" t="s">
        <v>1525</v>
      </c>
      <c r="C567" s="11" t="n">
        <v>18.9969484187727</v>
      </c>
      <c r="D567" s="18" t="n">
        <v>566</v>
      </c>
    </row>
    <row r="568" ht="14.399999999999999" customHeight="1">
      <c r="A568" s="10" t="s">
        <v>1833</v>
      </c>
      <c r="B568" s="10" t="s">
        <v>1834</v>
      </c>
      <c r="C568" s="11" t="n">
        <v>18.9430714950362</v>
      </c>
      <c r="D568" s="18" t="n">
        <v>567</v>
      </c>
    </row>
    <row r="569" ht="14.399999999999999" customHeight="1">
      <c r="A569" s="10" t="s">
        <v>1831</v>
      </c>
      <c r="B569" s="10" t="s">
        <v>1832</v>
      </c>
      <c r="C569" s="11" t="n">
        <v>18.3562280568593</v>
      </c>
      <c r="D569" s="18" t="n">
        <v>568</v>
      </c>
    </row>
    <row r="570" ht="14.399999999999999" customHeight="1">
      <c r="A570" s="10" t="s">
        <v>1839</v>
      </c>
      <c r="B570" s="10" t="s">
        <v>1840</v>
      </c>
      <c r="C570" s="11" t="n">
        <v>18.3173085997294</v>
      </c>
      <c r="D570" s="18" t="n">
        <v>569</v>
      </c>
    </row>
    <row r="571" ht="14.399999999999999" customHeight="1">
      <c r="A571" s="10" t="s">
        <v>1431</v>
      </c>
      <c r="B571" s="10" t="s">
        <v>1432</v>
      </c>
      <c r="C571" s="11" t="n">
        <v>18.137668780686</v>
      </c>
      <c r="D571" s="18" t="n">
        <v>570</v>
      </c>
    </row>
    <row r="572" ht="14.399999999999999" customHeight="1">
      <c r="A572" s="10" t="s">
        <v>1885</v>
      </c>
      <c r="B572" s="10" t="s">
        <v>1886</v>
      </c>
      <c r="C572" s="11" t="n">
        <v>17.107753847473</v>
      </c>
      <c r="D572" s="18" t="n">
        <v>571</v>
      </c>
    </row>
    <row r="573" ht="14.399999999999999" customHeight="1">
      <c r="A573" s="10" t="s">
        <v>8477</v>
      </c>
      <c r="B573" s="10" t="s">
        <v>8478</v>
      </c>
      <c r="C573" s="11" t="n">
        <v>16.4490244377258</v>
      </c>
      <c r="D573" s="18" t="n">
        <v>572</v>
      </c>
    </row>
    <row r="574" ht="14.399999999999999" customHeight="1">
      <c r="A574" s="10" t="s">
        <v>1897</v>
      </c>
      <c r="B574" s="10" t="s">
        <v>1898</v>
      </c>
      <c r="C574" s="11" t="n">
        <v>16.3891945712997</v>
      </c>
      <c r="D574" s="18" t="n">
        <v>573</v>
      </c>
    </row>
    <row r="575" ht="14.399999999999999" customHeight="1">
      <c r="A575" s="10" t="s">
        <v>1899</v>
      </c>
      <c r="B575" s="10" t="s">
        <v>7605</v>
      </c>
      <c r="C575" s="11" t="n">
        <v>16.3502751141697</v>
      </c>
      <c r="D575" s="18" t="n">
        <v>574</v>
      </c>
    </row>
    <row r="576" ht="14.399999999999999" customHeight="1">
      <c r="A576" s="10" t="s">
        <v>1883</v>
      </c>
      <c r="B576" s="10" t="s">
        <v>1884</v>
      </c>
      <c r="C576" s="11" t="n">
        <v>16.0358678759026</v>
      </c>
      <c r="D576" s="18" t="n">
        <v>575</v>
      </c>
    </row>
    <row r="577" ht="14.399999999999999" customHeight="1">
      <c r="A577" s="10" t="s">
        <v>1486</v>
      </c>
      <c r="B577" s="10" t="s">
        <v>1487</v>
      </c>
      <c r="C577" s="11" t="n">
        <v>15.6286642567691</v>
      </c>
      <c r="D577" s="18" t="n">
        <v>576</v>
      </c>
    </row>
    <row r="578" ht="14.399999999999999" customHeight="1">
      <c r="A578" s="10" t="s">
        <v>1921</v>
      </c>
      <c r="B578" s="10" t="s">
        <v>1922</v>
      </c>
      <c r="C578" s="11" t="n">
        <v>14.568834390343</v>
      </c>
      <c r="D578" s="18" t="n">
        <v>577</v>
      </c>
    </row>
    <row r="579" ht="14.399999999999999" customHeight="1">
      <c r="A579" s="10" t="s">
        <v>1917</v>
      </c>
      <c r="B579" s="10" t="s">
        <v>7440</v>
      </c>
      <c r="C579" s="11" t="n">
        <v>13.9041520379062</v>
      </c>
      <c r="D579" s="18" t="n">
        <v>578</v>
      </c>
    </row>
    <row r="580" ht="14.399999999999999" customHeight="1">
      <c r="A580" s="10" t="s">
        <v>2024</v>
      </c>
      <c r="B580" s="10" t="s">
        <v>2025</v>
      </c>
      <c r="C580" s="11" t="n">
        <v>11.8562280568593</v>
      </c>
      <c r="D580" s="18" t="n">
        <v>579</v>
      </c>
    </row>
    <row r="581" ht="14.399999999999999" customHeight="1">
      <c r="A581" s="10" t="s">
        <v>8479</v>
      </c>
      <c r="B581" s="10" t="s">
        <v>8480</v>
      </c>
      <c r="C581" s="11" t="n">
        <v>11.5209104092961</v>
      </c>
      <c r="D581" s="18" t="n">
        <v>580</v>
      </c>
    </row>
    <row r="582" ht="14.399999999999999" customHeight="1">
      <c r="A582" s="10" t="s">
        <v>8481</v>
      </c>
      <c r="B582" s="10" t="s">
        <v>8482</v>
      </c>
      <c r="C582" s="11" t="n">
        <v>9.35927963808665</v>
      </c>
      <c r="D582" s="18" t="n">
        <v>581</v>
      </c>
    </row>
    <row r="583" ht="14.399999999999999" customHeight="1">
      <c r="A583" s="10" t="s">
        <v>1595</v>
      </c>
      <c r="B583" s="10" t="s">
        <v>1596</v>
      </c>
      <c r="C583" s="11" t="n">
        <v>9.28739366651631</v>
      </c>
      <c r="D583" s="18" t="n">
        <v>582</v>
      </c>
    </row>
    <row r="584" ht="14.399999999999999" customHeight="1">
      <c r="A584" s="10" t="s">
        <v>1593</v>
      </c>
      <c r="B584" s="10" t="s">
        <v>1594</v>
      </c>
      <c r="C584" s="11" t="n">
        <v>7.90415203790621</v>
      </c>
      <c r="D584" s="18" t="n">
        <v>583</v>
      </c>
    </row>
    <row r="585" ht="14.399999999999999" customHeight="1">
      <c r="A585" s="10" t="s">
        <v>6103</v>
      </c>
      <c r="B585" s="10" t="s">
        <v>6104</v>
      </c>
      <c r="C585" s="11" t="n">
        <v>7.69459728564985</v>
      </c>
      <c r="D585" s="18" t="n">
        <v>584</v>
      </c>
    </row>
    <row r="586" ht="14.399999999999999" customHeight="1">
      <c r="A586" s="10" t="s">
        <v>8483</v>
      </c>
      <c r="B586" s="10" t="s">
        <v>8484</v>
      </c>
      <c r="C586" s="11" t="n">
        <v>7.43711855234658</v>
      </c>
      <c r="D586" s="18" t="n">
        <v>585</v>
      </c>
    </row>
    <row r="587" ht="14.399999999999999" customHeight="1">
      <c r="A587" s="10" t="s">
        <v>6677</v>
      </c>
      <c r="B587" s="10" t="s">
        <v>6678</v>
      </c>
      <c r="C587" s="11" t="n">
        <v>7.3353176475632</v>
      </c>
      <c r="D587" s="18" t="n">
        <v>586</v>
      </c>
    </row>
    <row r="588" ht="14.399999999999999" customHeight="1">
      <c r="A588" s="10" t="s">
        <v>1597</v>
      </c>
      <c r="B588" s="10" t="s">
        <v>7685</v>
      </c>
      <c r="C588" s="11" t="n">
        <v>6.38919457129969</v>
      </c>
      <c r="D588" s="18" t="n">
        <v>587</v>
      </c>
    </row>
    <row r="589" ht="14.399999999999999" customHeight="1">
      <c r="A589" s="10" t="s">
        <v>1393</v>
      </c>
      <c r="B589" s="10" t="s">
        <v>7593</v>
      </c>
      <c r="C589" s="11" t="n">
        <v>5.43711855234658</v>
      </c>
      <c r="D589" s="18" t="n">
        <v>588</v>
      </c>
    </row>
    <row r="590" ht="14.399999999999999" customHeight="1">
      <c r="A590" s="10" t="s">
        <v>8485</v>
      </c>
      <c r="B590" s="10" t="s">
        <v>8486</v>
      </c>
      <c r="C590" s="11" t="n">
        <v>3.95207601895311</v>
      </c>
      <c r="D590" s="18" t="n">
        <v>589</v>
      </c>
    </row>
    <row r="591" ht="14.399999999999999" customHeight="1">
      <c r="A591" s="10" t="s">
        <v>8487</v>
      </c>
      <c r="B591" s="10" t="s">
        <v>8488</v>
      </c>
      <c r="C591" s="11" t="n">
        <v>2.15567782851988</v>
      </c>
      <c r="D591" s="18" t="n">
        <v>590</v>
      </c>
    </row>
    <row r="592" ht="14.399999999999999" customHeight="1">
      <c r="A592" s="10" t="s">
        <v>8489</v>
      </c>
      <c r="B592" s="10" t="s">
        <v>8490</v>
      </c>
      <c r="C592" s="11" t="n">
        <v>0.718559276173292</v>
      </c>
      <c r="D592" s="18" t="n">
        <v>591</v>
      </c>
    </row>
    <row r="593" ht="14.399999999999999" customHeight="1">
      <c r="A593" s="10" t="s">
        <v>1413</v>
      </c>
      <c r="B593" s="10" t="s">
        <v>1414</v>
      </c>
      <c r="C593" s="11" t="n">
        <v>0.359279638086646</v>
      </c>
      <c r="D593" s="18" t="n">
        <v>592</v>
      </c>
    </row>
    <row r="594" ht="14.399999999999999" customHeight="1">
      <c r="A594" s="10" t="s">
        <v>6598</v>
      </c>
      <c r="B594" s="10" t="s">
        <v>6599</v>
      </c>
      <c r="C594" s="11" t="n">
        <v>0.179639819043323</v>
      </c>
      <c r="D594" s="18" t="n">
        <v>593</v>
      </c>
    </row>
    <row r="595" ht="14.399999999999999" customHeight="1">
      <c r="A595" s="10" t="s">
        <v>8491</v>
      </c>
      <c r="B595" s="10" t="s">
        <v>8492</v>
      </c>
      <c r="C595" s="11" t="n">
        <v>0.179639819043323</v>
      </c>
      <c r="D595" s="18" t="n">
        <v>594</v>
      </c>
    </row>
    <row r="596" ht="14.399999999999999" customHeight="1">
      <c r="A596" s="10" t="s">
        <v>8493</v>
      </c>
      <c r="B596" s="10" t="s">
        <v>8494</v>
      </c>
      <c r="C596" s="11" t="n">
        <v>0</v>
      </c>
      <c r="D596" s="18" t="n">
        <v>595</v>
      </c>
    </row>
    <row r="597" ht="14.399999999999999" customHeight="1">
      <c r="A597" s="18" t="s">
        <v>7598</v>
      </c>
      <c r="B597" s="18" t="s">
        <v>8495</v>
      </c>
      <c r="C597" s="11" t="n">
        <v>0</v>
      </c>
      <c r="D597" s="18" t="n">
        <v>596</v>
      </c>
    </row>
    <row r="598" ht="14.399999999999999" customHeight="1">
      <c r="A598" s="10" t="s">
        <v>6711</v>
      </c>
      <c r="B598" s="10" t="s">
        <v>6712</v>
      </c>
      <c r="C598" s="11" t="n">
        <v>0</v>
      </c>
      <c r="D598" s="18" t="n">
        <v>597</v>
      </c>
    </row>
    <row r="599" ht="14.399999999999999" customHeight="1">
      <c r="A599" s="10" t="s">
        <v>518</v>
      </c>
      <c r="B599" s="10" t="s">
        <v>519</v>
      </c>
      <c r="C599" s="11" t="n">
        <v>0</v>
      </c>
      <c r="D599" s="18" t="n">
        <v>598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399999999999999" customHeight="1"/>
  <cols>
    <col min="2" max="2" width="22.998046875" customWidth="1" style="18"/>
    <col min="3" max="3" width="25.5" customWidth="1" style="18"/>
    <col min="4" max="5" width="12.498046875" customWidth="1" style="18"/>
    <col min="6" max="6" width="19.6640625" customWidth="1" style="6"/>
    <col min="7" max="8" width="12.498046875" customWidth="1" style="18"/>
    <col min="9" max="9" width="14.8330078125" customWidth="1" style="6"/>
    <col min="10" max="10" width="14.1650390625" customWidth="1" style="7"/>
    <col min="11" max="11" width="16.166015625" customWidth="1" style="18"/>
    <col min="12" max="12" width="10.166015625" customWidth="1" style="18"/>
    <col min="14" max="14" width="12.83203125" style="18"/>
  </cols>
  <sheetData>
    <row r="1" ht="14.399999999999999" customHeight="1">
      <c r="B1" s="8" t="s">
        <v>0</v>
      </c>
      <c r="C1" s="8" t="s">
        <v>1</v>
      </c>
      <c r="D1" s="8" t="s">
        <v>8496</v>
      </c>
      <c r="E1" s="8" t="s">
        <v>8497</v>
      </c>
      <c r="F1" s="9" t="s">
        <v>5526</v>
      </c>
      <c r="G1" s="8" t="s">
        <v>5527</v>
      </c>
      <c r="H1" s="8" t="s">
        <v>5528</v>
      </c>
      <c r="I1" s="9" t="s">
        <v>5529</v>
      </c>
      <c r="J1" s="15" t="s">
        <v>8172</v>
      </c>
      <c r="K1" s="8" t="s">
        <v>8173</v>
      </c>
      <c r="L1" s="8" t="s">
        <v>8498</v>
      </c>
    </row>
    <row r="2" ht="14.399999999999999" customHeight="1">
      <c r="A2" s="10" t="n">
        <v>255</v>
      </c>
      <c r="B2" s="10" t="s">
        <v>2</v>
      </c>
      <c r="C2" s="10" t="s">
        <v>3</v>
      </c>
      <c r="D2" s="10" t="n">
        <f t="array" ref="D2">INDEX('原始数据'!C$2:C$3689,MATCH($C2,'原始数据'!$B$2:$B$3689,0))</f>
        <v>0</v>
      </c>
      <c r="E2" s="10" t="n">
        <f t="array" ref="E2">INDEX('原始数据'!D$2:D$3689,MATCH($C2,'原始数据'!$B$2:$B$3689,0))</f>
        <v>0</v>
      </c>
      <c r="F2" s="11" t="n">
        <f t="array" ref="F2">INDEX('原始数据'!E$2:E$3689,MATCH($C2,'原始数据'!$B$2:$B$3689,0))</f>
        <v>0</v>
      </c>
      <c r="G2" s="10" t="n">
        <f t="array" ref="G2">INDEX('原始数据'!F$2:F$3689,MATCH($C2,'原始数据'!$B$2:$B$3689,0))</f>
        <v>119665456</v>
      </c>
      <c r="H2" s="10" t="n">
        <f t="array" ref="H2">INDEX('原始数据'!G$2:G$3689,MATCH($C2,'原始数据'!$B$2:$B$3689,0))</f>
        <v>177051487</v>
      </c>
      <c r="I2" s="11" t="n">
        <f t="array" ref="I2">INDEX('原始数据'!H$2:H$3689,MATCH($C2,'原始数据'!$B$2:$B$3689,0))</f>
        <v>148358471.5</v>
      </c>
      <c r="J2" s="16" t="n">
        <f>IF(F2=0,I2*2,F2/$N$603+I2)</f>
        <v>296716943</v>
      </c>
      <c r="K2" s="18" t="n">
        <f>ROW(K2)-1</f>
        <v>1</v>
      </c>
      <c r="L2" s="18" t="n">
        <f t="array" ref="L2">INDEX(TOP3277!#REF!,MATCH(C2,TOP3277!$B$501:$B$3035,0))</f>
        <v>1</v>
      </c>
    </row>
    <row r="3" ht="14.399999999999999" customHeight="1">
      <c r="A3" s="10" t="n">
        <v>331</v>
      </c>
      <c r="B3" s="10" t="s">
        <v>196</v>
      </c>
      <c r="C3" s="10" t="s">
        <v>197</v>
      </c>
      <c r="D3" s="10" t="n">
        <f t="array" ref="D3">INDEX('原始数据'!C$2:C$3689,MATCH($C3,'原始数据'!$B$2:$B$3689,0))</f>
        <v>0</v>
      </c>
      <c r="E3" s="10" t="n">
        <f t="array" ref="E3">INDEX('原始数据'!D$2:D$3689,MATCH($C3,'原始数据'!$B$2:$B$3689,0))</f>
        <v>0</v>
      </c>
      <c r="F3" s="11" t="n">
        <f t="array" ref="F3">INDEX('原始数据'!E$2:E$3689,MATCH($C3,'原始数据'!$B$2:$B$3689,0))</f>
        <v>0</v>
      </c>
      <c r="G3" s="10" t="n">
        <f t="array" ref="G3">INDEX('原始数据'!F$2:F$3689,MATCH($C3,'原始数据'!$B$2:$B$3689,0))</f>
        <v>27483221</v>
      </c>
      <c r="H3" s="10" t="n">
        <f t="array" ref="H3">INDEX('原始数据'!G$2:G$3689,MATCH($C3,'原始数据'!$B$2:$B$3689,0))</f>
        <v>32825411</v>
      </c>
      <c r="I3" s="11" t="n">
        <f t="array" ref="I3">INDEX('原始数据'!H$2:H$3689,MATCH($C3,'原始数据'!$B$2:$B$3689,0))</f>
        <v>30154316</v>
      </c>
      <c r="J3" s="16" t="n">
        <f>IF(F3=0,I3*2,F3/$N$603+I3)</f>
        <v>60308632</v>
      </c>
      <c r="K3" s="18" t="n">
        <f>ROW(K3)-1</f>
        <v>2</v>
      </c>
      <c r="L3" s="18" t="n">
        <f t="array" ref="L3">INDEX(TOP3277!#REF!,MATCH(C3,TOP3277!$B$501:$B$3035,0))</f>
        <v>2</v>
      </c>
    </row>
    <row r="4" ht="14.399999999999999" customHeight="1">
      <c r="A4" s="10" t="n">
        <v>335</v>
      </c>
      <c r="B4" s="10" t="s">
        <v>8133</v>
      </c>
      <c r="C4" s="10" t="s">
        <v>8134</v>
      </c>
      <c r="D4" s="10"/>
      <c r="E4" s="10"/>
      <c r="F4" s="11" t="n">
        <f>SUM(D4+E4)/2</f>
        <v>0</v>
      </c>
      <c r="G4" s="12" t="n">
        <v>10027430</v>
      </c>
      <c r="H4" s="12" t="n">
        <v>15150163</v>
      </c>
      <c r="I4" s="11" t="n">
        <f>SUM(G4+H4)/2</f>
        <v>12588796.5</v>
      </c>
      <c r="J4" s="16" t="n">
        <f>IF(F4=0,I4*2,F4/$N$603+I4)</f>
        <v>25177593</v>
      </c>
      <c r="K4" s="18" t="n">
        <f>ROW(K4)-1</f>
        <v>3</v>
      </c>
      <c r="L4" s="18" t="e">
        <f t="array" ref="L4">INDEX(TOP3277!#REF!,MATCH(C4,TOP3277!$B$501:$B$3035,0))</f>
        <v>#N/A</v>
      </c>
    </row>
    <row r="5" ht="14.399999999999999" customHeight="1">
      <c r="A5" s="10" t="n">
        <v>268</v>
      </c>
      <c r="B5" s="10" t="s">
        <v>8499</v>
      </c>
      <c r="C5" s="10" t="s">
        <v>5880</v>
      </c>
      <c r="D5" s="10"/>
      <c r="E5" s="10"/>
      <c r="F5" s="11" t="n">
        <f>SUM(D5+E5)/2</f>
        <v>0</v>
      </c>
      <c r="G5" s="12" t="n">
        <v>11178249</v>
      </c>
      <c r="H5" s="12" t="n">
        <v>12547041</v>
      </c>
      <c r="I5" s="11" t="n">
        <f>SUM(G5+H5)/2</f>
        <v>11862645</v>
      </c>
      <c r="J5" s="16" t="n">
        <f>IF(F5=0,I5*2,F5/$N$603+I5)</f>
        <v>23725290</v>
      </c>
      <c r="K5" s="18" t="n">
        <f>ROW(K5)-1</f>
        <v>4</v>
      </c>
      <c r="L5" s="18" t="e">
        <f t="array" ref="L5">INDEX(TOP3277!#REF!,MATCH(C5,TOP3277!$B$501:$B$3035,0))</f>
        <v>#N/A</v>
      </c>
    </row>
    <row r="6" ht="14.399999999999999" customHeight="1">
      <c r="A6" s="10" t="n">
        <v>264</v>
      </c>
      <c r="B6" s="10" t="s">
        <v>4</v>
      </c>
      <c r="C6" s="10" t="s">
        <v>5</v>
      </c>
      <c r="D6" s="10" t="n">
        <f t="array" ref="D6">INDEX('原始数据'!C$2:C$3689,MATCH($C6,'原始数据'!$B$2:$B$3689,0))</f>
        <v>48517487</v>
      </c>
      <c r="E6" s="10" t="n">
        <f t="array" ref="E6">INDEX('原始数据'!D$2:D$3689,MATCH($C6,'原始数据'!$B$2:$B$3689,0))</f>
        <v>77501959</v>
      </c>
      <c r="F6" s="11" t="n">
        <f t="array" ref="F6">INDEX('原始数据'!E$2:E$3689,MATCH($C6,'原始数据'!$B$2:$B$3689,0))</f>
        <v>63009723</v>
      </c>
      <c r="G6" s="10" t="n">
        <f t="array" ref="G6">INDEX('原始数据'!F$2:F$3689,MATCH($C6,'原始数据'!$B$2:$B$3689,0))</f>
        <v>4251443</v>
      </c>
      <c r="H6" s="10" t="n">
        <f t="array" ref="H6">INDEX('原始数据'!G$2:G$3689,MATCH($C6,'原始数据'!$B$2:$B$3689,0))</f>
        <v>6013991</v>
      </c>
      <c r="I6" s="11" t="n">
        <f t="array" ref="I6">INDEX('原始数据'!H$2:H$3689,MATCH($C6,'原始数据'!$B$2:$B$3689,0))</f>
        <v>5132717</v>
      </c>
      <c r="J6" s="16" t="n">
        <f>IF(F6=0,I6*2,F6/$N$603+I6)</f>
        <v>16451772.2376899</v>
      </c>
      <c r="K6" s="18" t="n">
        <f>ROW(K6)-1</f>
        <v>5</v>
      </c>
      <c r="L6" s="18" t="n">
        <f t="array" ref="L6">INDEX(TOP3277!#REF!,MATCH(C6,TOP3277!$B$501:$B$3035,0))</f>
        <v>4</v>
      </c>
    </row>
    <row r="7" ht="14.399999999999999" customHeight="1">
      <c r="A7" s="10" t="n">
        <v>256</v>
      </c>
      <c r="B7" s="10" t="s">
        <v>6</v>
      </c>
      <c r="C7" s="10" t="s">
        <v>7</v>
      </c>
      <c r="D7" s="10" t="n">
        <f t="array" ref="D7">INDEX('原始数据'!C$2:C$3689,MATCH($C7,'原始数据'!$B$2:$B$3689,0))</f>
        <v>24644366</v>
      </c>
      <c r="E7" s="10" t="n">
        <f t="array" ref="E7">INDEX('原始数据'!D$2:D$3689,MATCH($C7,'原始数据'!$B$2:$B$3689,0))</f>
        <v>39366974</v>
      </c>
      <c r="F7" s="11" t="n">
        <f t="array" ref="F7">INDEX('原始数据'!E$2:E$3689,MATCH($C7,'原始数据'!$B$2:$B$3689,0))</f>
        <v>32005670</v>
      </c>
      <c r="G7" s="10" t="n">
        <f t="array" ref="G7">INDEX('原始数据'!F$2:F$3689,MATCH($C7,'原始数据'!$B$2:$B$3689,0))</f>
        <v>5875170</v>
      </c>
      <c r="H7" s="10" t="n">
        <f t="array" ref="H7">INDEX('原始数据'!G$2:G$3689,MATCH($C7,'原始数据'!$B$2:$B$3689,0))</f>
        <v>7936716</v>
      </c>
      <c r="I7" s="11" t="n">
        <f t="array" ref="I7">INDEX('原始数据'!H$2:H$3689,MATCH($C7,'原始数据'!$B$2:$B$3689,0))</f>
        <v>6905943</v>
      </c>
      <c r="J7" s="16" t="n">
        <f>IF(F7=0,I7*2,F7/$N$603+I7)</f>
        <v>12655435.7671603</v>
      </c>
      <c r="K7" s="18" t="n">
        <f>ROW(K7)-1</f>
        <v>6</v>
      </c>
      <c r="L7" s="18" t="n">
        <f t="array" ref="L7">INDEX(TOP3277!#REF!,MATCH(C7,TOP3277!$B$501:$B$3035,0))</f>
        <v>5</v>
      </c>
    </row>
    <row r="8" ht="14.399999999999999" customHeight="1">
      <c r="A8" s="10" t="n">
        <v>261</v>
      </c>
      <c r="B8" s="10" t="s">
        <v>5669</v>
      </c>
      <c r="C8" s="10" t="s">
        <v>11</v>
      </c>
      <c r="D8" s="13" t="n">
        <v>12367232</v>
      </c>
      <c r="E8" s="13" t="n">
        <v>19755448</v>
      </c>
      <c r="F8" s="11" t="n">
        <f>SUM(D8+E8)/2</f>
        <v>16061340</v>
      </c>
      <c r="G8" s="12" t="n">
        <v>6536051</v>
      </c>
      <c r="H8" s="12" t="n">
        <v>9172120</v>
      </c>
      <c r="I8" s="11" t="n">
        <f>SUM(G8+H8)/2</f>
        <v>7854085.5</v>
      </c>
      <c r="J8" s="16" t="n">
        <f>IF(F8=0,I8*2,F8/$N$603+I8)</f>
        <v>10739341.7111933</v>
      </c>
      <c r="K8" s="18" t="n">
        <f>ROW(K8)-1</f>
        <v>7</v>
      </c>
      <c r="L8" s="18" t="n">
        <f t="array" ref="L8">INDEX(TOP3277!#REF!,MATCH(C8,TOP3277!$B$501:$B$3035,0))</f>
        <v>8</v>
      </c>
    </row>
    <row r="9" ht="14.399999999999999" customHeight="1">
      <c r="A9" s="10" t="n">
        <v>257</v>
      </c>
      <c r="B9" s="10" t="s">
        <v>8</v>
      </c>
      <c r="C9" s="10" t="s">
        <v>9</v>
      </c>
      <c r="D9" s="10" t="n">
        <f t="array" ref="D9">INDEX('原始数据'!C$2:C$3689,MATCH($C9,'原始数据'!$B$2:$B$3689,0))</f>
        <v>20313897</v>
      </c>
      <c r="E9" s="10" t="n">
        <f t="array" ref="E9">INDEX('原始数据'!D$2:D$3689,MATCH($C9,'原始数据'!$B$2:$B$3689,0))</f>
        <v>32449471</v>
      </c>
      <c r="F9" s="11" t="n">
        <f t="array" ref="F9">INDEX('原始数据'!E$2:E$3689,MATCH($C9,'原始数据'!$B$2:$B$3689,0))</f>
        <v>26381684</v>
      </c>
      <c r="G9" s="10" t="n">
        <f t="array" ref="G9">INDEX('原始数据'!F$2:F$3689,MATCH($C9,'原始数据'!$B$2:$B$3689,0))</f>
        <v>5056295</v>
      </c>
      <c r="H9" s="10" t="n">
        <f t="array" ref="H9">INDEX('原始数据'!G$2:G$3689,MATCH($C9,'原始数据'!$B$2:$B$3689,0))</f>
        <v>6526100</v>
      </c>
      <c r="I9" s="11" t="n">
        <f t="array" ref="I9">INDEX('原始数据'!H$2:H$3689,MATCH($C9,'原始数据'!$B$2:$B$3689,0))</f>
        <v>5791197.5</v>
      </c>
      <c r="J9" s="16" t="n">
        <f>IF(F9=0,I9*2,F9/$N$603+I9)</f>
        <v>10530398.4398181</v>
      </c>
      <c r="K9" s="18" t="n">
        <f>ROW(K9)-1</f>
        <v>8</v>
      </c>
      <c r="L9" s="18" t="n">
        <f t="array" ref="L9">INDEX(TOP3277!#REF!,MATCH(C9,TOP3277!$B$501:$B$3035,0))</f>
        <v>6</v>
      </c>
    </row>
    <row r="10" ht="14.399999999999999" customHeight="1">
      <c r="A10" s="10" t="n">
        <v>330</v>
      </c>
      <c r="B10" s="10" t="s">
        <v>4535</v>
      </c>
      <c r="C10" s="10" t="s">
        <v>201</v>
      </c>
      <c r="D10" s="10" t="n">
        <f t="array" ref="D10">INDEX('原始数据'!C$2:C$3689,MATCH($C10,'原始数据'!$B$2:$B$3689,0))</f>
        <v>0</v>
      </c>
      <c r="E10" s="10" t="n">
        <f t="array" ref="E10">INDEX('原始数据'!D$2:D$3689,MATCH($C10,'原始数据'!$B$2:$B$3689,0))</f>
        <v>0</v>
      </c>
      <c r="F10" s="11" t="n">
        <f t="array" ref="F10">INDEX('原始数据'!E$2:E$3689,MATCH($C10,'原始数据'!$B$2:$B$3689,0))</f>
        <v>0</v>
      </c>
      <c r="G10" s="10" t="n">
        <f t="array" ref="G10">INDEX('原始数据'!F$2:F$3689,MATCH($C10,'原始数据'!$B$2:$B$3689,0))</f>
        <v>4305895</v>
      </c>
      <c r="H10" s="10" t="n">
        <f t="array" ref="H10">INDEX('原始数据'!G$2:G$3689,MATCH($C10,'原始数据'!$B$2:$B$3689,0))</f>
        <v>5887551</v>
      </c>
      <c r="I10" s="11" t="n">
        <f t="array" ref="I10">INDEX('原始数据'!H$2:H$3689,MATCH($C10,'原始数据'!$B$2:$B$3689,0))</f>
        <v>5096723</v>
      </c>
      <c r="J10" s="16" t="n">
        <f>IF(F10=0,I10*2,F10/$N$603+I10)</f>
        <v>10193446</v>
      </c>
      <c r="K10" s="18" t="n">
        <f>ROW(K10)-1</f>
        <v>9</v>
      </c>
      <c r="L10" s="18" t="n">
        <f t="array" ref="L10">INDEX(TOP3277!#REF!,MATCH(C10,TOP3277!$B$501:$B$3035,0))</f>
        <v>7</v>
      </c>
    </row>
    <row r="11" ht="14.399999999999999" customHeight="1">
      <c r="A11" s="14" t="n">
        <v>13</v>
      </c>
      <c r="B11" s="10" t="s">
        <v>12</v>
      </c>
      <c r="C11" s="10" t="s">
        <v>13</v>
      </c>
      <c r="D11" s="10" t="n">
        <f t="array" ref="D11">INDEX('原始数据'!C$2:C$3689,MATCH($C11,'原始数据'!$B$2:$B$3689,0))</f>
        <v>10588890</v>
      </c>
      <c r="E11" s="10" t="n">
        <f t="array" ref="E11">INDEX('原始数据'!D$2:D$3689,MATCH($C11,'原始数据'!$B$2:$B$3689,0))</f>
        <v>16914722</v>
      </c>
      <c r="F11" s="11" t="n">
        <f t="array" ref="F11">INDEX('原始数据'!E$2:E$3689,MATCH($C11,'原始数据'!$B$2:$B$3689,0))</f>
        <v>13751806</v>
      </c>
      <c r="G11" s="10" t="n">
        <f t="array" ref="G11">INDEX('原始数据'!F$2:F$3689,MATCH($C11,'原始数据'!$B$2:$B$3689,0))</f>
        <v>3513687</v>
      </c>
      <c r="H11" s="10" t="n">
        <f t="array" ref="H11">INDEX('原始数据'!G$2:G$3689,MATCH($C11,'原始数据'!$B$2:$B$3689,0))</f>
        <v>6908837</v>
      </c>
      <c r="I11" s="11" t="n">
        <f t="array" ref="I11">INDEX('原始数据'!H$2:H$3689,MATCH($C11,'原始数据'!$B$2:$B$3689,0))</f>
        <v>5211262</v>
      </c>
      <c r="J11" s="16" t="n">
        <f>IF(F11=0,I11*2,F11/$N$603+I11)</f>
        <v>7681633.94135889</v>
      </c>
      <c r="K11" s="18" t="n">
        <f>ROW(K11)-1</f>
        <v>10</v>
      </c>
      <c r="L11" s="18" t="n">
        <f t="array" ref="L11">INDEX(TOP3277!#REF!,MATCH(C11,TOP3277!$B$501:$B$3035,0))</f>
        <v>9</v>
      </c>
    </row>
    <row r="12" ht="14.399999999999999" customHeight="1">
      <c r="A12" s="10" t="n">
        <v>259</v>
      </c>
      <c r="B12" s="10" t="s">
        <v>14</v>
      </c>
      <c r="C12" s="10" t="s">
        <v>15</v>
      </c>
      <c r="D12" s="10" t="n">
        <f t="array" ref="D12">INDEX('原始数据'!C$2:C$3689,MATCH($C12,'原始数据'!$B$2:$B$3689,0))</f>
        <v>25568836</v>
      </c>
      <c r="E12" s="10" t="n">
        <f t="array" ref="E12">INDEX('原始数据'!D$2:D$3689,MATCH($C12,'原始数据'!$B$2:$B$3689,0))</f>
        <v>40843726</v>
      </c>
      <c r="F12" s="11" t="n">
        <f t="array" ref="F12">INDEX('原始数据'!E$2:E$3689,MATCH($C12,'原始数据'!$B$2:$B$3689,0))</f>
        <v>33206281</v>
      </c>
      <c r="G12" s="10" t="n">
        <f t="array" ref="G12">INDEX('原始数据'!F$2:F$3689,MATCH($C12,'原始数据'!$B$2:$B$3689,0))</f>
        <v>759504</v>
      </c>
      <c r="H12" s="10" t="n">
        <f t="array" ref="H12">INDEX('原始数据'!G$2:G$3689,MATCH($C12,'原始数据'!$B$2:$B$3689,0))</f>
        <v>1283304</v>
      </c>
      <c r="I12" s="11" t="n">
        <f t="array" ref="I12">INDEX('原始数据'!H$2:H$3689,MATCH($C12,'原始数据'!$B$2:$B$3689,0))</f>
        <v>1021404</v>
      </c>
      <c r="J12" s="16" t="n">
        <f>IF(F12=0,I12*2,F12/$N$603+I12)</f>
        <v>6986574.30994174</v>
      </c>
      <c r="K12" s="18" t="n">
        <f>ROW(K12)-1</f>
        <v>11</v>
      </c>
      <c r="L12" s="18" t="n">
        <f t="array" ref="L12">INDEX(TOP3277!#REF!,MATCH(C12,TOP3277!$B$501:$B$3035,0))</f>
        <v>10</v>
      </c>
    </row>
    <row r="13" ht="14.399999999999999" customHeight="1">
      <c r="A13" s="10" t="n">
        <v>332</v>
      </c>
      <c r="B13" s="10" t="s">
        <v>6021</v>
      </c>
      <c r="C13" s="10" t="s">
        <v>6022</v>
      </c>
      <c r="D13" s="10"/>
      <c r="E13" s="10"/>
      <c r="F13" s="11" t="n">
        <f>SUM(D13+E13)/2</f>
        <v>0</v>
      </c>
      <c r="G13" s="12" t="n">
        <v>2795541</v>
      </c>
      <c r="H13" s="12" t="n">
        <v>3599846</v>
      </c>
      <c r="I13" s="11" t="n">
        <f>SUM(G13+H13)/2</f>
        <v>3197693.5</v>
      </c>
      <c r="J13" s="16" t="n">
        <f>IF(F13=0,I13*2,F13/$N$603+I13)</f>
        <v>6395387</v>
      </c>
      <c r="K13" s="18" t="n">
        <f>ROW(K13)-1</f>
        <v>12</v>
      </c>
      <c r="L13" s="18" t="e">
        <f t="array" ref="L13">INDEX(TOP3277!#REF!,MATCH(C13,TOP3277!$B$501:$B$3035,0))</f>
        <v>#N/A</v>
      </c>
    </row>
    <row r="14" ht="14.399999999999999" customHeight="1">
      <c r="A14" s="10" t="n">
        <v>333</v>
      </c>
      <c r="B14" s="10" t="s">
        <v>999</v>
      </c>
      <c r="C14" s="10" t="s">
        <v>1000</v>
      </c>
      <c r="D14" s="10" t="n">
        <f t="array" ref="D14">INDEX('原始数据'!C$2:C$3689,MATCH($C14,'原始数据'!$B$2:$B$3689,0))</f>
        <v>0</v>
      </c>
      <c r="E14" s="10" t="n">
        <f t="array" ref="E14">INDEX('原始数据'!D$2:D$3689,MATCH($C14,'原始数据'!$B$2:$B$3689,0))</f>
        <v>0</v>
      </c>
      <c r="F14" s="11" t="n">
        <f t="array" ref="F14">INDEX('原始数据'!E$2:E$3689,MATCH($C14,'原始数据'!$B$2:$B$3689,0))</f>
        <v>0</v>
      </c>
      <c r="G14" s="10" t="n">
        <f t="array" ref="G14">INDEX('原始数据'!F$2:F$3689,MATCH($C14,'原始数据'!$B$2:$B$3689,0))</f>
        <v>2226174</v>
      </c>
      <c r="H14" s="10" t="n">
        <f t="array" ref="H14">INDEX('原始数据'!G$2:G$3689,MATCH($C14,'原始数据'!$B$2:$B$3689,0))</f>
        <v>2831794</v>
      </c>
      <c r="I14" s="11" t="n">
        <f t="array" ref="I14">INDEX('原始数据'!H$2:H$3689,MATCH($C14,'原始数据'!$B$2:$B$3689,0))</f>
        <v>2528984</v>
      </c>
      <c r="J14" s="16" t="n">
        <f>IF(F14=0,I14*2,F14/$N$603+I14)</f>
        <v>5057968</v>
      </c>
      <c r="K14" s="18" t="n">
        <f>ROW(K14)-1</f>
        <v>13</v>
      </c>
      <c r="L14" s="18" t="n">
        <f t="array" ref="L14">INDEX(TOP3277!#REF!,MATCH(C14,TOP3277!$B$501:$B$3035,0))</f>
        <v>14</v>
      </c>
    </row>
    <row r="15" ht="14.399999999999999" customHeight="1">
      <c r="A15" s="14" t="n">
        <v>201</v>
      </c>
      <c r="B15" s="10" t="s">
        <v>7875</v>
      </c>
      <c r="C15" s="10" t="s">
        <v>23</v>
      </c>
      <c r="D15" s="10" t="n">
        <f t="array" ref="D15">INDEX('原始数据'!C$2:C$3689,MATCH($C15,'原始数据'!$B$2:$B$3689,0))</f>
        <v>5615978</v>
      </c>
      <c r="E15" s="10" t="n">
        <f t="array" ref="E15">INDEX('原始数据'!D$2:D$3689,MATCH($C15,'原始数据'!$B$2:$B$3689,0))</f>
        <v>8970979</v>
      </c>
      <c r="F15" s="11" t="n">
        <f t="array" ref="F15">INDEX('原始数据'!E$2:E$3689,MATCH($C15,'原始数据'!$B$2:$B$3689,0))</f>
        <v>7293478.5</v>
      </c>
      <c r="G15" s="10" t="n">
        <f t="array" ref="G15">INDEX('原始数据'!F$2:F$3689,MATCH($C15,'原始数据'!$B$2:$B$3689,0))</f>
        <v>1664072</v>
      </c>
      <c r="H15" s="10" t="n">
        <f t="array" ref="H15">INDEX('原始数据'!G$2:G$3689,MATCH($C15,'原始数据'!$B$2:$B$3689,0))</f>
        <v>2489094</v>
      </c>
      <c r="I15" s="11" t="n">
        <f t="array" ref="I15">INDEX('原始数据'!H$2:H$3689,MATCH($C15,'原始数据'!$B$2:$B$3689,0))</f>
        <v>2076583</v>
      </c>
      <c r="J15" s="16" t="n">
        <f>IF(F15=0,I15*2,F15/$N$603+I15)</f>
        <v>3386782.15793637</v>
      </c>
      <c r="K15" s="18" t="n">
        <f>ROW(K15)-1</f>
        <v>14</v>
      </c>
      <c r="L15" s="18" t="n">
        <f t="array" ref="L15">INDEX(TOP3277!#REF!,MATCH(C15,TOP3277!$B$501:$B$3035,0))</f>
        <v>17</v>
      </c>
    </row>
    <row r="16" ht="14.399999999999999" customHeight="1">
      <c r="A16" s="10" t="n">
        <v>338</v>
      </c>
      <c r="B16" s="10" t="s">
        <v>6379</v>
      </c>
      <c r="C16" s="10" t="s">
        <v>6380</v>
      </c>
      <c r="D16" s="10"/>
      <c r="E16" s="10"/>
      <c r="F16" s="11" t="n">
        <f>SUM(D16+E16)/2</f>
        <v>0</v>
      </c>
      <c r="G16" s="12" t="n">
        <v>1365205</v>
      </c>
      <c r="H16" s="12" t="n">
        <v>1653163</v>
      </c>
      <c r="I16" s="11" t="n">
        <f>SUM(G16+H16)/2</f>
        <v>1509184</v>
      </c>
      <c r="J16" s="16" t="n">
        <f>IF(F16=0,I16*2,F16/$N$603+I16)</f>
        <v>3018368</v>
      </c>
      <c r="K16" s="18" t="n">
        <f>ROW(K16)-1</f>
        <v>15</v>
      </c>
      <c r="L16" s="18" t="e">
        <f t="array" ref="L16">INDEX(TOP3277!#REF!,MATCH(C16,TOP3277!$B$501:$B$3035,0))</f>
        <v>#N/A</v>
      </c>
    </row>
    <row r="17" ht="14.399999999999999" customHeight="1">
      <c r="A17" s="10" t="n">
        <v>258</v>
      </c>
      <c r="B17" s="10" t="s">
        <v>30</v>
      </c>
      <c r="C17" s="10" t="s">
        <v>31</v>
      </c>
      <c r="D17" s="10" t="n">
        <f t="array" ref="D17">INDEX('原始数据'!C$2:C$3689,MATCH($C17,'原始数据'!$B$2:$B$3689,0))</f>
        <v>5237766</v>
      </c>
      <c r="E17" s="10" t="n">
        <f t="array" ref="E17">INDEX('原始数据'!D$2:D$3689,MATCH($C17,'原始数据'!$B$2:$B$3689,0))</f>
        <v>8366818</v>
      </c>
      <c r="F17" s="11" t="n">
        <f t="array" ref="F17">INDEX('原始数据'!E$2:E$3689,MATCH($C17,'原始数据'!$B$2:$B$3689,0))</f>
        <v>6802292</v>
      </c>
      <c r="G17" s="10" t="n">
        <f t="array" ref="G17">INDEX('原始数据'!F$2:F$3689,MATCH($C17,'原始数据'!$B$2:$B$3689,0))</f>
        <v>1354640</v>
      </c>
      <c r="H17" s="10" t="n">
        <f t="array" ref="H17">INDEX('原始数据'!G$2:G$3689,MATCH($C17,'原始数据'!$B$2:$B$3689,0))</f>
        <v>1895503</v>
      </c>
      <c r="I17" s="11" t="n">
        <f t="array" ref="I17">INDEX('原始数据'!H$2:H$3689,MATCH($C17,'原始数据'!$B$2:$B$3689,0))</f>
        <v>1625071.5</v>
      </c>
      <c r="J17" s="16" t="n">
        <f>IF(F17=0,I17*2,F17/$N$603+I17)</f>
        <v>2847034.00395984</v>
      </c>
      <c r="K17" s="18" t="n">
        <f>ROW(K17)-1</f>
        <v>16</v>
      </c>
      <c r="L17" s="18" t="n">
        <f t="array" ref="L17">INDEX(TOP3277!#REF!,MATCH(C17,TOP3277!$B$501:$B$3035,0))</f>
        <v>21</v>
      </c>
    </row>
    <row r="18" ht="14.399999999999999" customHeight="1">
      <c r="A18" s="10" t="n">
        <v>260</v>
      </c>
      <c r="B18" s="10" t="s">
        <v>26</v>
      </c>
      <c r="C18" s="10" t="s">
        <v>27</v>
      </c>
      <c r="D18" s="10" t="n">
        <f t="array" ref="D18">INDEX('原始数据'!C$2:C$3689,MATCH($C18,'原始数据'!$B$2:$B$3689,0))</f>
        <v>10447085</v>
      </c>
      <c r="E18" s="10" t="n">
        <f t="array" ref="E18">INDEX('原始数据'!D$2:D$3689,MATCH($C18,'原始数据'!$B$2:$B$3689,0))</f>
        <v>16688201</v>
      </c>
      <c r="F18" s="11" t="n">
        <f t="array" ref="F18">INDEX('原始数据'!E$2:E$3689,MATCH($C18,'原始数据'!$B$2:$B$3689,0))</f>
        <v>13567643</v>
      </c>
      <c r="G18" s="10" t="n">
        <f t="array" ref="G18">INDEX('原始数据'!F$2:F$3689,MATCH($C18,'原始数据'!$B$2:$B$3689,0))</f>
        <v>223668</v>
      </c>
      <c r="H18" s="10" t="n">
        <f t="array" ref="H18">INDEX('原始数据'!G$2:G$3689,MATCH($C18,'原始数据'!$B$2:$B$3689,0))</f>
        <v>318745</v>
      </c>
      <c r="I18" s="11" t="n">
        <f t="array" ref="I18">INDEX('原始数据'!H$2:H$3689,MATCH($C18,'原始数据'!$B$2:$B$3689,0))</f>
        <v>271206.5</v>
      </c>
      <c r="J18" s="16" t="n">
        <f>IF(F18=0,I18*2,F18/$N$603+I18)</f>
        <v>2708495.43336441</v>
      </c>
      <c r="K18" s="18" t="n">
        <f>ROW(K18)-1</f>
        <v>17</v>
      </c>
      <c r="L18" s="18" t="n">
        <f t="array" ref="L18">INDEX(TOP3277!#REF!,MATCH(C18,TOP3277!$B$501:$B$3035,0))</f>
        <v>19</v>
      </c>
    </row>
    <row r="19" ht="14.399999999999999" customHeight="1">
      <c r="A19" s="10" t="n">
        <v>267</v>
      </c>
      <c r="B19" s="10" t="s">
        <v>36</v>
      </c>
      <c r="C19" s="10" t="s">
        <v>37</v>
      </c>
      <c r="D19" s="10" t="n">
        <f t="array" ref="D19">INDEX('原始数据'!C$2:C$3689,MATCH($C19,'原始数据'!$B$2:$B$3689,0))</f>
        <v>3712087</v>
      </c>
      <c r="E19" s="10" t="n">
        <f t="array" ref="E19">INDEX('原始数据'!D$2:D$3689,MATCH($C19,'原始数据'!$B$2:$B$3689,0))</f>
        <v>5929697</v>
      </c>
      <c r="F19" s="11" t="n">
        <f t="array" ref="F19">INDEX('原始数据'!E$2:E$3689,MATCH($C19,'原始数据'!$B$2:$B$3689,0))</f>
        <v>4820892</v>
      </c>
      <c r="G19" s="10" t="n">
        <f t="array" ref="G19">INDEX('原始数据'!F$2:F$3689,MATCH($C19,'原始数据'!$B$2:$B$3689,0))</f>
        <v>1106643</v>
      </c>
      <c r="H19" s="10" t="n">
        <f t="array" ref="H19">INDEX('原始数据'!G$2:G$3689,MATCH($C19,'原始数据'!$B$2:$B$3689,0))</f>
        <v>1605421</v>
      </c>
      <c r="I19" s="11" t="n">
        <f t="array" ref="I19">INDEX('原始数据'!H$2:H$3689,MATCH($C19,'原始数据'!$B$2:$B$3689,0))</f>
        <v>1356032</v>
      </c>
      <c r="J19" s="16" t="n">
        <f>IF(F19=0,I19*2,F19/$N$603+I19)</f>
        <v>2222056.1665074</v>
      </c>
      <c r="K19" s="18" t="n">
        <f>ROW(K19)-1</f>
        <v>18</v>
      </c>
      <c r="L19" s="18" t="n">
        <f t="array" ref="L19">INDEX(TOP3277!#REF!,MATCH(C19,TOP3277!$B$501:$B$3035,0))</f>
        <v>24</v>
      </c>
    </row>
    <row r="20" ht="14.399999999999999" customHeight="1">
      <c r="A20" s="10" t="n">
        <v>263</v>
      </c>
      <c r="B20" s="10" t="s">
        <v>7382</v>
      </c>
      <c r="C20" s="10" t="s">
        <v>41</v>
      </c>
      <c r="D20" s="10" t="n">
        <f t="array" ref="D20">INDEX('原始数据'!C$2:C$3689,MATCH($C20,'原始数据'!$B$2:$B$3689,0))</f>
        <v>3648432</v>
      </c>
      <c r="E20" s="10" t="n">
        <f t="array" ref="E20">INDEX('原始数据'!D$2:D$3689,MATCH($C20,'原始数据'!$B$2:$B$3689,0))</f>
        <v>5828016</v>
      </c>
      <c r="F20" s="11" t="n">
        <f t="array" ref="F20">INDEX('原始数据'!E$2:E$3689,MATCH($C20,'原始数据'!$B$2:$B$3689,0))</f>
        <v>4738224</v>
      </c>
      <c r="G20" s="10" t="n">
        <f t="array" ref="G20">INDEX('原始数据'!F$2:F$3689,MATCH($C20,'原始数据'!$B$2:$B$3689,0))</f>
        <v>1117228</v>
      </c>
      <c r="H20" s="10" t="n">
        <f t="array" ref="H20">INDEX('原始数据'!G$2:G$3689,MATCH($C20,'原始数据'!$B$2:$B$3689,0))</f>
        <v>1588080</v>
      </c>
      <c r="I20" s="11" t="n">
        <f t="array" ref="I20">INDEX('原始数据'!H$2:H$3689,MATCH($C20,'原始数据'!$B$2:$B$3689,0))</f>
        <v>1352654</v>
      </c>
      <c r="J20" s="16" t="n">
        <f>IF(F20=0,I20*2,F20/$N$603+I20)</f>
        <v>2203827.70194673</v>
      </c>
      <c r="K20" s="18" t="n">
        <f>ROW(K20)-1</f>
        <v>19</v>
      </c>
      <c r="L20" s="18" t="n">
        <f t="array" ref="L20">INDEX(TOP3277!#REF!,MATCH(C20,TOP3277!$B$501:$B$3035,0))</f>
        <v>25</v>
      </c>
    </row>
    <row r="21" ht="14.399999999999999" customHeight="1">
      <c r="A21" s="14" t="n">
        <v>27</v>
      </c>
      <c r="B21" s="10" t="s">
        <v>46</v>
      </c>
      <c r="C21" s="10" t="s">
        <v>47</v>
      </c>
      <c r="D21" s="10" t="n">
        <f t="array" ref="D21">INDEX('原始数据'!C$2:C$3689,MATCH($C21,'原始数据'!$B$2:$B$3689,0))</f>
        <v>2439370</v>
      </c>
      <c r="E21" s="10" t="n">
        <f t="array" ref="E21">INDEX('原始数据'!D$2:D$3689,MATCH($C21,'原始数据'!$B$2:$B$3689,0))</f>
        <v>3896658</v>
      </c>
      <c r="F21" s="11" t="n">
        <f t="array" ref="F21">INDEX('原始数据'!E$2:E$3689,MATCH($C21,'原始数据'!$B$2:$B$3689,0))</f>
        <v>3168014</v>
      </c>
      <c r="G21" s="10" t="n">
        <f t="array" ref="G21">INDEX('原始数据'!F$2:F$3689,MATCH($C21,'原始数据'!$B$2:$B$3689,0))</f>
        <v>1197520</v>
      </c>
      <c r="H21" s="10" t="n">
        <f t="array" ref="H21">INDEX('原始数据'!G$2:G$3689,MATCH($C21,'原始数据'!$B$2:$B$3689,0))</f>
        <v>1741906</v>
      </c>
      <c r="I21" s="11" t="n">
        <f t="array" ref="I21">INDEX('原始数据'!H$2:H$3689,MATCH($C21,'原始数据'!$B$2:$B$3689,0))</f>
        <v>1469713</v>
      </c>
      <c r="J21" s="16" t="n">
        <f>IF(F21=0,I21*2,F21/$N$603+I21)</f>
        <v>2038814.46168671</v>
      </c>
      <c r="K21" s="18" t="n">
        <f>ROW(K21)-1</f>
        <v>20</v>
      </c>
      <c r="L21" s="18" t="n">
        <f t="array" ref="L21">INDEX(TOP3277!#REF!,MATCH(C21,TOP3277!$B$501:$B$3035,0))</f>
        <v>28</v>
      </c>
    </row>
    <row r="22" ht="14.399999999999999" customHeight="1">
      <c r="A22" s="10" t="n">
        <v>334</v>
      </c>
      <c r="B22" s="10" t="s">
        <v>6059</v>
      </c>
      <c r="C22" s="10" t="s">
        <v>6060</v>
      </c>
      <c r="D22" s="10"/>
      <c r="E22" s="10"/>
      <c r="F22" s="11" t="n">
        <f>SUM(D22+E22)/2</f>
        <v>0</v>
      </c>
      <c r="G22" s="12" t="n">
        <v>818986</v>
      </c>
      <c r="H22" s="12" t="n">
        <v>1058383</v>
      </c>
      <c r="I22" s="11" t="n">
        <f>SUM(G22+H22)/2</f>
        <v>938684.5</v>
      </c>
      <c r="J22" s="16" t="n">
        <f>IF(F22=0,I22*2,F22/$N$603+I22)</f>
        <v>1877369</v>
      </c>
      <c r="K22" s="18" t="n">
        <f>ROW(K22)-1</f>
        <v>21</v>
      </c>
      <c r="L22" s="18" t="e">
        <f t="array" ref="L22">INDEX(TOP3277!#REF!,MATCH(C22,TOP3277!$B$501:$B$3035,0))</f>
        <v>#N/A</v>
      </c>
    </row>
    <row r="23" ht="14.399999999999999" customHeight="1">
      <c r="A23" s="14" t="n">
        <v>45</v>
      </c>
      <c r="B23" s="10" t="s">
        <v>48</v>
      </c>
      <c r="C23" s="10" t="s">
        <v>49</v>
      </c>
      <c r="D23" s="10" t="n">
        <f t="array" ref="D23">INDEX('原始数据'!C$2:C$3689,MATCH($C23,'原始数据'!$B$2:$B$3689,0))</f>
        <v>4039682</v>
      </c>
      <c r="E23" s="10" t="n">
        <f t="array" ref="E23">INDEX('原始数据'!D$2:D$3689,MATCH($C23,'原始数据'!$B$2:$B$3689,0))</f>
        <v>6452998</v>
      </c>
      <c r="F23" s="11" t="n">
        <f t="array" ref="F23">INDEX('原始数据'!E$2:E$3689,MATCH($C23,'原始数据'!$B$2:$B$3689,0))</f>
        <v>5246340</v>
      </c>
      <c r="G23" s="10" t="n">
        <f t="array" ref="G23">INDEX('原始数据'!F$2:F$3689,MATCH($C23,'原始数据'!$B$2:$B$3689,0))</f>
        <v>672050</v>
      </c>
      <c r="H23" s="10" t="n">
        <f t="array" ref="H23">INDEX('原始数据'!G$2:G$3689,MATCH($C23,'原始数据'!$B$2:$B$3689,0))</f>
        <v>1008281</v>
      </c>
      <c r="I23" s="11" t="n">
        <f t="array" ref="I23">INDEX('原始数据'!H$2:H$3689,MATCH($C23,'原始数据'!$B$2:$B$3689,0))</f>
        <v>840165.5</v>
      </c>
      <c r="J23" s="16" t="n">
        <f>IF(F23=0,I23*2,F23/$N$603+I23)</f>
        <v>1782617.06823975</v>
      </c>
      <c r="K23" s="18" t="n">
        <f>ROW(K23)-1</f>
        <v>22</v>
      </c>
      <c r="L23" s="18" t="n">
        <f t="array" ref="L23">INDEX(TOP3277!#REF!,MATCH(C23,TOP3277!$B$501:$B$3035,0))</f>
        <v>29</v>
      </c>
    </row>
    <row r="24" ht="14.399999999999999" customHeight="1">
      <c r="A24" s="10" t="n">
        <v>262</v>
      </c>
      <c r="B24" s="10" t="s">
        <v>710</v>
      </c>
      <c r="C24" s="10" t="s">
        <v>711</v>
      </c>
      <c r="D24" s="10" t="n">
        <f t="array" ref="D24">INDEX('原始数据'!C$2:C$3689,MATCH($C24,'原始数据'!$B$2:$B$3689,0))</f>
        <v>2490481</v>
      </c>
      <c r="E24" s="10" t="n">
        <f t="array" ref="E24">INDEX('原始数据'!D$2:D$3689,MATCH($C24,'原始数据'!$B$2:$B$3689,0))</f>
        <v>3978298</v>
      </c>
      <c r="F24" s="11" t="n">
        <f t="array" ref="F24">INDEX('原始数据'!E$2:E$3689,MATCH($C24,'原始数据'!$B$2:$B$3689,0))</f>
        <v>3234389.5</v>
      </c>
      <c r="G24" s="10" t="n">
        <f t="array" ref="G24">INDEX('原始数据'!F$2:F$3689,MATCH($C24,'原始数据'!$B$2:$B$3689,0))</f>
        <v>474227</v>
      </c>
      <c r="H24" s="10" t="n">
        <f t="array" ref="H24">INDEX('原始数据'!G$2:G$3689,MATCH($C24,'原始数据'!$B$2:$B$3689,0))</f>
        <v>693151</v>
      </c>
      <c r="I24" s="11" t="n">
        <f t="array" ref="I24">INDEX('原始数据'!H$2:H$3689,MATCH($C24,'原始数据'!$B$2:$B$3689,0))</f>
        <v>583689</v>
      </c>
      <c r="J24" s="16" t="n">
        <f>IF(F24=0,I24*2,F24/$N$603+I24)</f>
        <v>1164714.14449562</v>
      </c>
      <c r="K24" s="18" t="n">
        <f>ROW(K24)-1</f>
        <v>23</v>
      </c>
      <c r="L24" s="18" t="n">
        <f t="array" ref="L24">INDEX(TOP3277!#REF!,MATCH(C24,TOP3277!$B$501:$B$3035,0))</f>
        <v>47</v>
      </c>
    </row>
    <row r="25" ht="14.399999999999999" customHeight="1">
      <c r="A25" s="14" t="n">
        <v>56</v>
      </c>
      <c r="B25" s="10" t="s">
        <v>736</v>
      </c>
      <c r="C25" s="10" t="s">
        <v>737</v>
      </c>
      <c r="D25" s="10" t="n">
        <f t="array" ref="D25">INDEX('原始数据'!C$2:C$3689,MATCH($C25,'原始数据'!$B$2:$B$3689,0))</f>
        <v>1270511</v>
      </c>
      <c r="E25" s="10" t="n">
        <f t="array" ref="E25">INDEX('原始数据'!D$2:D$3689,MATCH($C25,'原始数据'!$B$2:$B$3689,0))</f>
        <v>2029517</v>
      </c>
      <c r="F25" s="11" t="n">
        <f t="array" ref="F25">INDEX('原始数据'!E$2:E$3689,MATCH($C25,'原始数据'!$B$2:$B$3689,0))</f>
        <v>1650014</v>
      </c>
      <c r="G25" s="10" t="n">
        <f t="array" ref="G25">INDEX('原始数据'!F$2:F$3689,MATCH($C25,'原始数据'!$B$2:$B$3689,0))</f>
        <v>542177</v>
      </c>
      <c r="H25" s="10" t="n">
        <f t="array" ref="H25">INDEX('原始数据'!G$2:G$3689,MATCH($C25,'原始数据'!$B$2:$B$3689,0))</f>
        <v>765275</v>
      </c>
      <c r="I25" s="11" t="n">
        <f t="array" ref="I25">INDEX('原始数据'!H$2:H$3689,MATCH($C25,'原始数据'!$B$2:$B$3689,0))</f>
        <v>653726</v>
      </c>
      <c r="J25" s="16" t="n">
        <f>IF(F25=0,I25*2,F25/$N$603+I25)</f>
        <v>950134.21637895</v>
      </c>
      <c r="K25" s="18" t="n">
        <f>ROW(K25)-1</f>
        <v>24</v>
      </c>
      <c r="L25" s="18" t="n">
        <f t="array" ref="L25">INDEX(TOP3277!#REF!,MATCH(C25,TOP3277!$B$501:$B$3035,0))</f>
        <v>60</v>
      </c>
    </row>
    <row r="26" ht="14.399999999999999" customHeight="1">
      <c r="A26" s="14" t="n">
        <v>177</v>
      </c>
      <c r="B26" s="10" t="s">
        <v>734</v>
      </c>
      <c r="C26" s="10" t="s">
        <v>735</v>
      </c>
      <c r="D26" s="10" t="n">
        <f t="array" ref="D26">INDEX('原始数据'!C$2:C$3689,MATCH($C26,'原始数据'!$B$2:$B$3689,0))</f>
        <v>3190060</v>
      </c>
      <c r="E26" s="10" t="n">
        <f t="array" ref="E26">INDEX('原始数据'!D$2:D$3689,MATCH($C26,'原始数据'!$B$2:$B$3689,0))</f>
        <v>5095812</v>
      </c>
      <c r="F26" s="11" t="n">
        <f t="array" ref="F26">INDEX('原始数据'!E$2:E$3689,MATCH($C26,'原始数据'!$B$2:$B$3689,0))</f>
        <v>4142936</v>
      </c>
      <c r="G26" s="10" t="n">
        <f t="array" ref="G26">INDEX('原始数据'!F$2:F$3689,MATCH($C26,'原始数据'!$B$2:$B$3689,0))</f>
        <v>158977</v>
      </c>
      <c r="H26" s="10" t="n">
        <f t="array" ref="H26">INDEX('原始数据'!G$2:G$3689,MATCH($C26,'原始数据'!$B$2:$B$3689,0))</f>
        <v>224514</v>
      </c>
      <c r="I26" s="11" t="n">
        <f t="array" ref="I26">INDEX('原始数据'!H$2:H$3689,MATCH($C26,'原始数据'!$B$2:$B$3689,0))</f>
        <v>191745.5</v>
      </c>
      <c r="J26" s="16" t="n">
        <f>IF(F26=0,I26*2,F26/$N$603+I26)</f>
        <v>935981.773348069</v>
      </c>
      <c r="K26" s="18" t="n">
        <f>ROW(K26)-1</f>
        <v>25</v>
      </c>
      <c r="L26" s="18" t="n">
        <f t="array" ref="L26">INDEX(TOP3277!#REF!,MATCH(C26,TOP3277!$B$501:$B$3035,0))</f>
        <v>59</v>
      </c>
    </row>
    <row r="27" ht="14.399999999999999" customHeight="1">
      <c r="A27" s="10" t="n">
        <v>269</v>
      </c>
      <c r="B27" s="10" t="s">
        <v>1498</v>
      </c>
      <c r="C27" s="10" t="s">
        <v>39</v>
      </c>
      <c r="D27" s="10" t="n">
        <f t="array" ref="D27">INDEX('原始数据'!C$2:C$3689,MATCH($C27,'原始数据'!$B$2:$B$3689,0))</f>
        <v>1506113</v>
      </c>
      <c r="E27" s="10" t="n">
        <f t="array" ref="E27">INDEX('原始数据'!D$2:D$3689,MATCH($C27,'原始数据'!$B$2:$B$3689,0))</f>
        <v>2405869</v>
      </c>
      <c r="F27" s="11" t="n">
        <f t="array" ref="F27">INDEX('原始数据'!E$2:E$3689,MATCH($C27,'原始数据'!$B$2:$B$3689,0))</f>
        <v>1955991</v>
      </c>
      <c r="G27" s="10" t="n">
        <f t="array" ref="G27">INDEX('原始数据'!F$2:F$3689,MATCH($C27,'原始数据'!$B$2:$B$3689,0))</f>
        <v>244241</v>
      </c>
      <c r="H27" s="10" t="n">
        <f t="array" ref="H27">INDEX('原始数据'!G$2:G$3689,MATCH($C27,'原始数据'!$B$2:$B$3689,0))</f>
        <v>326689</v>
      </c>
      <c r="I27" s="11" t="n">
        <f t="array" ref="I27">INDEX('原始数据'!H$2:H$3689,MATCH($C27,'原始数据'!$B$2:$B$3689,0))</f>
        <v>285465</v>
      </c>
      <c r="J27" s="16" t="n">
        <f>IF(F27=0,I27*2,F27/$N$603+I27)</f>
        <v>636838.869290369</v>
      </c>
      <c r="K27" s="18" t="n">
        <f>ROW(K27)-1</f>
        <v>26</v>
      </c>
      <c r="L27" s="18" t="n">
        <f t="array" ref="L27">INDEX(TOP3277!#REF!,MATCH(C27,TOP3277!$B$501:$B$3035,0))</f>
        <v>79</v>
      </c>
    </row>
    <row r="28" ht="14.399999999999999" customHeight="1">
      <c r="A28" s="10" t="n">
        <v>266</v>
      </c>
      <c r="B28" s="10" t="s">
        <v>794</v>
      </c>
      <c r="C28" s="10" t="s">
        <v>795</v>
      </c>
      <c r="D28" s="10" t="n">
        <f t="array" ref="D28">INDEX('原始数据'!C$2:C$3689,MATCH($C28,'原始数据'!$B$2:$B$3689,0))</f>
        <v>1099934</v>
      </c>
      <c r="E28" s="10" t="n">
        <f t="array" ref="E28">INDEX('原始数据'!D$2:D$3689,MATCH($C28,'原始数据'!$B$2:$B$3689,0))</f>
        <v>1757040</v>
      </c>
      <c r="F28" s="11" t="n">
        <f t="array" ref="F28">INDEX('原始数据'!E$2:E$3689,MATCH($C28,'原始数据'!$B$2:$B$3689,0))</f>
        <v>1428487</v>
      </c>
      <c r="G28" s="10" t="n">
        <f t="array" ref="G28">INDEX('原始数据'!F$2:F$3689,MATCH($C28,'原始数据'!$B$2:$B$3689,0))</f>
        <v>313834</v>
      </c>
      <c r="H28" s="10" t="n">
        <f t="array" ref="H28">INDEX('原始数据'!G$2:G$3689,MATCH($C28,'原始数据'!$B$2:$B$3689,0))</f>
        <v>422381</v>
      </c>
      <c r="I28" s="11" t="n">
        <f t="array" ref="I28">INDEX('原始数据'!H$2:H$3689,MATCH($C28,'原始数据'!$B$2:$B$3689,0))</f>
        <v>368107.5</v>
      </c>
      <c r="J28" s="16" t="n">
        <f>IF(F28=0,I28*2,F28/$N$603+I28)</f>
        <v>624720.64618574</v>
      </c>
      <c r="K28" s="18" t="n">
        <f>ROW(K28)-1</f>
        <v>27</v>
      </c>
      <c r="L28" s="18" t="n">
        <f t="array" ref="L28">INDEX(TOP3277!#REF!,MATCH(C28,TOP3277!$B$501:$B$3035,0))</f>
        <v>91</v>
      </c>
    </row>
    <row r="29" ht="14.399999999999999" customHeight="1">
      <c r="A29" s="14" t="n">
        <v>332</v>
      </c>
      <c r="B29" s="10" t="s">
        <v>70</v>
      </c>
      <c r="C29" s="10" t="s">
        <v>71</v>
      </c>
      <c r="D29" s="10" t="n">
        <f t="array" ref="D29">INDEX('原始数据'!C$2:C$3689,MATCH($C29,'原始数据'!$B$2:$B$3689,0))</f>
        <v>785075</v>
      </c>
      <c r="E29" s="10" t="n">
        <f t="array" ref="E29">INDEX('原始数据'!D$2:D$3689,MATCH($C29,'原始数据'!$B$2:$B$3689,0))</f>
        <v>1254083</v>
      </c>
      <c r="F29" s="11" t="n">
        <f t="array" ref="F29">INDEX('原始数据'!E$2:E$3689,MATCH($C29,'原始数据'!$B$2:$B$3689,0))</f>
        <v>1019579</v>
      </c>
      <c r="G29" s="10" t="n">
        <f t="array" ref="G29">INDEX('原始数据'!F$2:F$3689,MATCH($C29,'原始数据'!$B$2:$B$3689,0))</f>
        <v>266015</v>
      </c>
      <c r="H29" s="10" t="n">
        <f t="array" ref="H29">INDEX('原始数据'!G$2:G$3689,MATCH($C29,'原始数据'!$B$2:$B$3689,0))</f>
        <v>415010</v>
      </c>
      <c r="I29" s="11" t="n">
        <f t="array" ref="I29">INDEX('原始数据'!H$2:H$3689,MATCH($C29,'原始数据'!$B$2:$B$3689,0))</f>
        <v>340512.5</v>
      </c>
      <c r="J29" s="16" t="n">
        <f>IF(F29=0,I29*2,F29/$N$603+I29)</f>
        <v>523669.487060372</v>
      </c>
      <c r="K29" s="18" t="n">
        <f>ROW(K29)-1</f>
        <v>28</v>
      </c>
      <c r="L29" s="18" t="n">
        <f t="array" ref="L29">INDEX(TOP3277!#REF!,MATCH(C29,TOP3277!$B$501:$B$3035,0))</f>
        <v>104</v>
      </c>
    </row>
    <row r="30" ht="14.399999999999999" customHeight="1">
      <c r="A30" s="10" t="n">
        <v>352</v>
      </c>
      <c r="B30" s="10" t="s">
        <v>6428</v>
      </c>
      <c r="C30" s="10" t="s">
        <v>6429</v>
      </c>
      <c r="D30" s="10"/>
      <c r="E30" s="10"/>
      <c r="F30" s="11" t="n">
        <f>SUM(D30+E30)/2</f>
        <v>0</v>
      </c>
      <c r="G30" s="12" t="n">
        <v>195025</v>
      </c>
      <c r="H30" s="12" t="n">
        <v>257305</v>
      </c>
      <c r="I30" s="11" t="n">
        <f>SUM(G30+H30)/2</f>
        <v>226165</v>
      </c>
      <c r="J30" s="16" t="n">
        <f>IF(F30=0,I30*2,F30/$N$603+I30)</f>
        <v>452330</v>
      </c>
      <c r="K30" s="18" t="n">
        <f>ROW(K30)-1</f>
        <v>29</v>
      </c>
      <c r="L30" s="18" t="e">
        <f t="array" ref="L30">INDEX(TOP3277!#REF!,MATCH(C30,TOP3277!$B$501:$B$3035,0))</f>
        <v>#N/A</v>
      </c>
    </row>
    <row r="31" ht="14.399999999999999" customHeight="1">
      <c r="A31" s="10" t="n">
        <v>265</v>
      </c>
      <c r="B31" s="10" t="s">
        <v>1081</v>
      </c>
      <c r="C31" s="10" t="s">
        <v>1082</v>
      </c>
      <c r="D31" s="13" t="n">
        <v>1319047</v>
      </c>
      <c r="E31" s="13" t="n">
        <v>2107051</v>
      </c>
      <c r="F31" s="11" t="n">
        <f>SUM(D31+E31)/2</f>
        <v>1713049</v>
      </c>
      <c r="G31" s="12" t="n">
        <v>80532</v>
      </c>
      <c r="H31" s="12" t="n">
        <v>135094</v>
      </c>
      <c r="I31" s="11" t="n">
        <f>SUM(G31+H31)/2</f>
        <v>107813</v>
      </c>
      <c r="J31" s="16" t="n">
        <f>IF(F31=0,I31*2,F31/$N$603+I31)</f>
        <v>415544.812372346</v>
      </c>
      <c r="K31" s="18" t="n">
        <f>ROW(K31)-1</f>
        <v>30</v>
      </c>
      <c r="L31" s="18" t="n">
        <f t="array" ref="L31">INDEX(TOP3277!#REF!,MATCH(C31,TOP3277!$B$501:$B$3035,0))</f>
        <v>229</v>
      </c>
    </row>
    <row r="32" ht="14.399999999999999" customHeight="1">
      <c r="A32" s="10" t="n">
        <v>324</v>
      </c>
      <c r="B32" s="10" t="s">
        <v>895</v>
      </c>
      <c r="C32" s="10" t="s">
        <v>896</v>
      </c>
      <c r="D32" s="10" t="n">
        <f t="array" ref="D32">INDEX('原始数据'!C$2:C$3689,MATCH($C32,'原始数据'!$B$2:$B$3689,0))</f>
        <v>0</v>
      </c>
      <c r="E32" s="10" t="n">
        <f t="array" ref="E32">INDEX('原始数据'!D$2:D$3689,MATCH($C32,'原始数据'!$B$2:$B$3689,0))</f>
        <v>0</v>
      </c>
      <c r="F32" s="11" t="n">
        <f t="array" ref="F32">INDEX('原始数据'!E$2:E$3689,MATCH($C32,'原始数据'!$B$2:$B$3689,0))</f>
        <v>0</v>
      </c>
      <c r="G32" s="10" t="n">
        <f t="array" ref="G32">INDEX('原始数据'!F$2:F$3689,MATCH($C32,'原始数据'!$B$2:$B$3689,0))</f>
        <v>134333</v>
      </c>
      <c r="H32" s="10" t="n">
        <f t="array" ref="H32">INDEX('原始数据'!G$2:G$3689,MATCH($C32,'原始数据'!$B$2:$B$3689,0))</f>
        <v>252167</v>
      </c>
      <c r="I32" s="11" t="n">
        <f t="array" ref="I32">INDEX('原始数据'!H$2:H$3689,MATCH($C32,'原始数据'!$B$2:$B$3689,0))</f>
        <v>193250</v>
      </c>
      <c r="J32" s="16" t="n">
        <f>IF(F32=0,I32*2,F32/$N$603+I32)</f>
        <v>386500</v>
      </c>
      <c r="K32" s="18" t="n">
        <f>ROW(K32)-1</f>
        <v>31</v>
      </c>
      <c r="L32" s="18" t="n">
        <f t="array" ref="L32">INDEX(TOP3277!#REF!,MATCH(C32,TOP3277!$B$501:$B$3035,0))</f>
        <v>142</v>
      </c>
    </row>
    <row r="33" ht="14.399999999999999" customHeight="1">
      <c r="A33" s="14" t="n">
        <v>187</v>
      </c>
      <c r="B33" s="10" t="s">
        <v>877</v>
      </c>
      <c r="C33" s="10" t="s">
        <v>878</v>
      </c>
      <c r="D33" s="10" t="n">
        <f t="array" ref="D33">INDEX('原始数据'!C$2:C$3689,MATCH($C33,'原始数据'!$B$2:$B$3689,0))</f>
        <v>824261</v>
      </c>
      <c r="E33" s="10" t="n">
        <f t="array" ref="E33">INDEX('原始数据'!D$2:D$3689,MATCH($C33,'原始数据'!$B$2:$B$3689,0))</f>
        <v>1316673</v>
      </c>
      <c r="F33" s="11" t="n">
        <f t="array" ref="F33">INDEX('原始数据'!E$2:E$3689,MATCH($C33,'原始数据'!$B$2:$B$3689,0))</f>
        <v>1070467</v>
      </c>
      <c r="G33" s="10" t="n">
        <f t="array" ref="G33">INDEX('原始数据'!F$2:F$3689,MATCH($C33,'原始数据'!$B$2:$B$3689,0))</f>
        <v>155751</v>
      </c>
      <c r="H33" s="10" t="n">
        <f t="array" ref="H33">INDEX('原始数据'!G$2:G$3689,MATCH($C33,'原始数据'!$B$2:$B$3689,0))</f>
        <v>224229</v>
      </c>
      <c r="I33" s="11" t="n">
        <f t="array" ref="I33">INDEX('原始数据'!H$2:H$3689,MATCH($C33,'原始数据'!$B$2:$B$3689,0))</f>
        <v>189990</v>
      </c>
      <c r="J33" s="16" t="n">
        <f>IF(F33=0,I33*2,F33/$N$603+I33)</f>
        <v>382288.498171849</v>
      </c>
      <c r="K33" s="18" t="n">
        <f>ROW(K33)-1</f>
        <v>32</v>
      </c>
      <c r="L33" s="18" t="n">
        <f t="array" ref="L33">INDEX(TOP3277!#REF!,MATCH(C33,TOP3277!$B$501:$B$3035,0))</f>
        <v>133</v>
      </c>
    </row>
    <row r="34" ht="14.399999999999999" customHeight="1">
      <c r="A34" s="10" t="n">
        <v>270</v>
      </c>
      <c r="B34" s="10" t="s">
        <v>905</v>
      </c>
      <c r="C34" s="10" t="s">
        <v>906</v>
      </c>
      <c r="D34" s="10" t="n">
        <f t="array" ref="D34">INDEX('原始数据'!C$2:C$3689,MATCH($C34,'原始数据'!$B$2:$B$3689,0))</f>
        <v>659045</v>
      </c>
      <c r="E34" s="10" t="n">
        <f t="array" ref="E34">INDEX('原始数据'!D$2:D$3689,MATCH($C34,'原始数据'!$B$2:$B$3689,0))</f>
        <v>1052763</v>
      </c>
      <c r="F34" s="11" t="n">
        <f t="array" ref="F34">INDEX('原始数据'!E$2:E$3689,MATCH($C34,'原始数据'!$B$2:$B$3689,0))</f>
        <v>855904</v>
      </c>
      <c r="G34" s="10" t="n">
        <f t="array" ref="G34">INDEX('原始数据'!F$2:F$3689,MATCH($C34,'原始数据'!$B$2:$B$3689,0))</f>
        <v>161946</v>
      </c>
      <c r="H34" s="10" t="n">
        <f t="array" ref="H34">INDEX('原始数据'!G$2:G$3689,MATCH($C34,'原始数据'!$B$2:$B$3689,0))</f>
        <v>217036</v>
      </c>
      <c r="I34" s="11" t="n">
        <f t="array" ref="I34">INDEX('原始数据'!H$2:H$3689,MATCH($C34,'原始数据'!$B$2:$B$3689,0))</f>
        <v>189491</v>
      </c>
      <c r="J34" s="16" t="n">
        <f>IF(F34=0,I34*2,F34/$N$603+I34)</f>
        <v>343245.439678456</v>
      </c>
      <c r="K34" s="18" t="n">
        <f>ROW(K34)-1</f>
        <v>33</v>
      </c>
      <c r="L34" s="18" t="n">
        <f t="array" ref="L34">INDEX(TOP3277!#REF!,MATCH(C34,TOP3277!$B$501:$B$3035,0))</f>
        <v>147</v>
      </c>
    </row>
    <row r="35" ht="14.399999999999999" customHeight="1">
      <c r="A35" s="14" t="n">
        <v>203</v>
      </c>
      <c r="B35" s="10" t="s">
        <v>72</v>
      </c>
      <c r="C35" s="10" t="s">
        <v>73</v>
      </c>
      <c r="D35" s="10" t="n">
        <f t="array" ref="D35">INDEX('原始数据'!C$2:C$3689,MATCH($C35,'原始数据'!$B$2:$B$3689,0))</f>
        <v>659174</v>
      </c>
      <c r="E35" s="10" t="n">
        <f t="array" ref="E35">INDEX('原始数据'!D$2:D$3689,MATCH($C35,'原始数据'!$B$2:$B$3689,0))</f>
        <v>1052964</v>
      </c>
      <c r="F35" s="11" t="n">
        <f t="array" ref="F35">INDEX('原始数据'!E$2:E$3689,MATCH($C35,'原始数据'!$B$2:$B$3689,0))</f>
        <v>856069</v>
      </c>
      <c r="G35" s="10" t="n">
        <f t="array" ref="G35">INDEX('原始数据'!F$2:F$3689,MATCH($C35,'原始数据'!$B$2:$B$3689,0))</f>
        <v>160533</v>
      </c>
      <c r="H35" s="10" t="n">
        <f t="array" ref="H35">INDEX('原始数据'!G$2:G$3689,MATCH($C35,'原始数据'!$B$2:$B$3689,0))</f>
        <v>204778</v>
      </c>
      <c r="I35" s="11" t="n">
        <f t="array" ref="I35">INDEX('原始数据'!H$2:H$3689,MATCH($C35,'原始数据'!$B$2:$B$3689,0))</f>
        <v>182655.5</v>
      </c>
      <c r="J35" s="16" t="n">
        <f>IF(F35=0,I35*2,F35/$N$603+I35)</f>
        <v>336439.580248599</v>
      </c>
      <c r="K35" s="18" t="n">
        <f>ROW(K35)-1</f>
        <v>34</v>
      </c>
      <c r="L35" s="18" t="n">
        <f t="array" ref="L35">INDEX(TOP3277!#REF!,MATCH(C35,TOP3277!$B$501:$B$3035,0))</f>
        <v>149</v>
      </c>
    </row>
    <row r="36" ht="14.399999999999999" customHeight="1">
      <c r="A36" s="14" t="n">
        <v>191</v>
      </c>
      <c r="B36" s="10" t="s">
        <v>967</v>
      </c>
      <c r="C36" s="10" t="s">
        <v>968</v>
      </c>
      <c r="D36" s="10" t="n">
        <f t="array" ref="D36">INDEX('原始数据'!C$2:C$3689,MATCH($C36,'原始数据'!$B$2:$B$3689,0))</f>
        <v>415205</v>
      </c>
      <c r="E36" s="10" t="n">
        <f t="array" ref="E36">INDEX('原始数据'!D$2:D$3689,MATCH($C36,'原始数据'!$B$2:$B$3689,0))</f>
        <v>663251</v>
      </c>
      <c r="F36" s="11" t="n">
        <f t="array" ref="F36">INDEX('原始数据'!E$2:E$3689,MATCH($C36,'原始数据'!$B$2:$B$3689,0))</f>
        <v>539228</v>
      </c>
      <c r="G36" s="10" t="n">
        <f t="array" ref="G36">INDEX('原始数据'!F$2:F$3689,MATCH($C36,'原始数据'!$B$2:$B$3689,0))</f>
        <v>139294</v>
      </c>
      <c r="H36" s="10" t="n">
        <f t="array" ref="H36">INDEX('原始数据'!G$2:G$3689,MATCH($C36,'原始数据'!$B$2:$B$3689,0))</f>
        <v>201917</v>
      </c>
      <c r="I36" s="11" t="n">
        <f t="array" ref="I36">INDEX('原始数据'!H$2:H$3689,MATCH($C36,'原始数据'!$B$2:$B$3689,0))</f>
        <v>170605.5</v>
      </c>
      <c r="J36" s="16" t="n">
        <f>IF(F36=0,I36*2,F36/$N$603+I36)</f>
        <v>267472.320343093</v>
      </c>
      <c r="K36" s="18" t="n">
        <f>ROW(K36)-1</f>
        <v>35</v>
      </c>
      <c r="L36" s="18" t="n">
        <f t="array" ref="L36">INDEX(TOP3277!#REF!,MATCH(C36,TOP3277!$B$501:$B$3035,0))</f>
        <v>180</v>
      </c>
    </row>
    <row r="37" ht="14.399999999999999" customHeight="1">
      <c r="A37" s="14" t="n">
        <v>413</v>
      </c>
      <c r="B37" s="10" t="s">
        <v>997</v>
      </c>
      <c r="C37" s="10" t="s">
        <v>998</v>
      </c>
      <c r="D37" s="10" t="n">
        <f t="array" ref="D37">INDEX('原始数据'!C$2:C$3689,MATCH($C37,'原始数据'!$B$2:$B$3689,0))</f>
        <v>310438</v>
      </c>
      <c r="E37" s="10" t="n">
        <f t="array" ref="E37">INDEX('原始数据'!D$2:D$3689,MATCH($C37,'原始数据'!$B$2:$B$3689,0))</f>
        <v>495896</v>
      </c>
      <c r="F37" s="11" t="n">
        <f t="array" ref="F37">INDEX('原始数据'!E$2:E$3689,MATCH($C37,'原始数据'!$B$2:$B$3689,0))</f>
        <v>403167</v>
      </c>
      <c r="G37" s="10" t="n">
        <f t="array" ref="G37">INDEX('原始数据'!F$2:F$3689,MATCH($C37,'原始数据'!$B$2:$B$3689,0))</f>
        <v>137714</v>
      </c>
      <c r="H37" s="10" t="n">
        <f t="array" ref="H37">INDEX('原始数据'!G$2:G$3689,MATCH($C37,'原始数据'!$B$2:$B$3689,0))</f>
        <v>202143</v>
      </c>
      <c r="I37" s="11" t="n">
        <f t="array" ref="I37">INDEX('原始数据'!H$2:H$3689,MATCH($C37,'原始数据'!$B$2:$B$3689,0))</f>
        <v>169928.5</v>
      </c>
      <c r="J37" s="16" t="n">
        <f>IF(F37=0,I37*2,F37/$N$603+I37)</f>
        <v>242353.346924239</v>
      </c>
      <c r="K37" s="18" t="n">
        <f>ROW(K37)-1</f>
        <v>36</v>
      </c>
      <c r="L37" s="18" t="n">
        <f t="array" ref="L37">INDEX(TOP3277!#REF!,MATCH(C37,TOP3277!$B$501:$B$3035,0))</f>
        <v>194</v>
      </c>
    </row>
    <row r="38" ht="14.399999999999999" customHeight="1">
      <c r="A38" s="14" t="n">
        <v>339</v>
      </c>
      <c r="B38" s="10" t="s">
        <v>76</v>
      </c>
      <c r="C38" s="10" t="s">
        <v>77</v>
      </c>
      <c r="D38" s="10" t="n">
        <f t="array" ref="D38">INDEX('原始数据'!C$2:C$3689,MATCH($C38,'原始数据'!$B$2:$B$3689,0))</f>
        <v>502376</v>
      </c>
      <c r="E38" s="10" t="n">
        <f t="array" ref="E38">INDEX('原始数据'!D$2:D$3689,MATCH($C38,'原始数据'!$B$2:$B$3689,0))</f>
        <v>802496</v>
      </c>
      <c r="F38" s="11" t="n">
        <f t="array" ref="F38">INDEX('原始数据'!E$2:E$3689,MATCH($C38,'原始数据'!$B$2:$B$3689,0))</f>
        <v>652436</v>
      </c>
      <c r="G38" s="10" t="n">
        <f t="array" ref="G38">INDEX('原始数据'!F$2:F$3689,MATCH($C38,'原始数据'!$B$2:$B$3689,0))</f>
        <v>73012</v>
      </c>
      <c r="H38" s="10" t="n">
        <f t="array" ref="H38">INDEX('原始数据'!G$2:G$3689,MATCH($C38,'原始数据'!$B$2:$B$3689,0))</f>
        <v>104658</v>
      </c>
      <c r="I38" s="11" t="n">
        <f t="array" ref="I38">INDEX('原始数据'!H$2:H$3689,MATCH($C38,'原始数据'!$B$2:$B$3689,0))</f>
        <v>88835</v>
      </c>
      <c r="J38" s="16" t="n">
        <f>IF(F38=0,I38*2,F38/$N$603+I38)</f>
        <v>206038.48497735</v>
      </c>
      <c r="K38" s="18" t="n">
        <f>ROW(K38)-1</f>
        <v>37</v>
      </c>
      <c r="L38" s="18" t="n">
        <f t="array" ref="L38">INDEX(TOP3277!#REF!,MATCH(C38,TOP3277!$B$501:$B$3035,0))</f>
        <v>214</v>
      </c>
    </row>
    <row r="39" ht="14.399999999999999" customHeight="1">
      <c r="A39" s="14" t="n">
        <v>1267</v>
      </c>
      <c r="B39" s="10" t="s">
        <v>5273</v>
      </c>
      <c r="C39" s="10" t="s">
        <v>75</v>
      </c>
      <c r="D39" s="10" t="n">
        <f t="array" ref="D39">INDEX('原始数据'!C$2:C$3689,MATCH($C39,'原始数据'!$B$2:$B$3689,0))</f>
        <v>816360</v>
      </c>
      <c r="E39" s="10" t="n">
        <f t="array" ref="E39">INDEX('原始数据'!D$2:D$3689,MATCH($C39,'原始数据'!$B$2:$B$3689,0))</f>
        <v>1304054</v>
      </c>
      <c r="F39" s="11" t="n">
        <f t="array" ref="F39">INDEX('原始数据'!E$2:E$3689,MATCH($C39,'原始数据'!$B$2:$B$3689,0))</f>
        <v>1060207</v>
      </c>
      <c r="G39" s="10" t="n">
        <f t="array" ref="G39">INDEX('原始数据'!F$2:F$3689,MATCH($C39,'原始数据'!$B$2:$B$3689,0))</f>
        <v>8607</v>
      </c>
      <c r="H39" s="10" t="n">
        <f t="array" ref="H39">INDEX('原始数据'!G$2:G$3689,MATCH($C39,'原始数据'!$B$2:$B$3689,0))</f>
        <v>13770</v>
      </c>
      <c r="I39" s="11" t="n">
        <f t="array" ref="I39">INDEX('原始数据'!H$2:H$3689,MATCH($C39,'原始数据'!$B$2:$B$3689,0))</f>
        <v>11188.5</v>
      </c>
      <c r="J39" s="16" t="n">
        <f>IF(F39=0,I39*2,F39/$N$603+I39)</f>
        <v>201643.893628464</v>
      </c>
      <c r="K39" s="18" t="n">
        <f>ROW(K39)-1</f>
        <v>38</v>
      </c>
      <c r="L39" s="18" t="n">
        <f t="array" ref="L39">INDEX(TOP3277!#REF!,MATCH(C39,TOP3277!$B$501:$B$3035,0))</f>
        <v>203</v>
      </c>
    </row>
    <row r="40" ht="14.399999999999999" customHeight="1">
      <c r="A40" s="10" t="n">
        <v>274</v>
      </c>
      <c r="B40" s="10" t="s">
        <v>78</v>
      </c>
      <c r="C40" s="10" t="s">
        <v>79</v>
      </c>
      <c r="D40" s="10" t="n">
        <f t="array" ref="D40">INDEX('原始数据'!C$2:C$3689,MATCH($C40,'原始数据'!$B$2:$B$3689,0))</f>
        <v>179190</v>
      </c>
      <c r="E40" s="10" t="n">
        <f t="array" ref="E40">INDEX('原始数据'!D$2:D$3689,MATCH($C40,'原始数据'!$B$2:$B$3689,0))</f>
        <v>286238</v>
      </c>
      <c r="F40" s="11" t="n">
        <f t="array" ref="F40">INDEX('原始数据'!E$2:E$3689,MATCH($C40,'原始数据'!$B$2:$B$3689,0))</f>
        <v>232714</v>
      </c>
      <c r="G40" s="10" t="n">
        <f t="array" ref="G40">INDEX('原始数据'!F$2:F$3689,MATCH($C40,'原始数据'!$B$2:$B$3689,0))</f>
        <v>123588</v>
      </c>
      <c r="H40" s="10" t="n">
        <f t="array" ref="H40">INDEX('原始数据'!G$2:G$3689,MATCH($C40,'原始数据'!$B$2:$B$3689,0))</f>
        <v>187468</v>
      </c>
      <c r="I40" s="11" t="n">
        <f t="array" ref="I40">INDEX('原始数据'!H$2:H$3689,MATCH($C40,'原始数据'!$B$2:$B$3689,0))</f>
        <v>155528</v>
      </c>
      <c r="J40" s="16" t="n">
        <f>IF(F40=0,I40*2,F40/$N$603+I40)</f>
        <v>197332.700848848</v>
      </c>
      <c r="K40" s="18" t="n">
        <f>ROW(K40)-1</f>
        <v>39</v>
      </c>
      <c r="L40" s="18" t="n">
        <f t="array" ref="L40">INDEX(TOP3277!#REF!,MATCH(C40,TOP3277!$B$501:$B$3035,0))</f>
        <v>225</v>
      </c>
    </row>
    <row r="41" ht="14.399999999999999" customHeight="1">
      <c r="A41" s="14" t="n">
        <v>596</v>
      </c>
      <c r="B41" s="10" t="s">
        <v>6495</v>
      </c>
      <c r="C41" s="10" t="s">
        <v>6496</v>
      </c>
      <c r="D41" s="10" t="n">
        <f t="array" ref="D41">INDEX('原始数据'!C$2:C$3689,MATCH($C41,'原始数据'!$B$2:$B$3689,0))</f>
        <v>0</v>
      </c>
      <c r="E41" s="10" t="n">
        <f t="array" ref="E41">INDEX('原始数据'!D$2:D$3689,MATCH($C41,'原始数据'!$B$2:$B$3689,0))</f>
        <v>0</v>
      </c>
      <c r="F41" s="11" t="n">
        <f t="array" ref="F41">INDEX('原始数据'!E$2:E$3689,MATCH($C41,'原始数据'!$B$2:$B$3689,0))</f>
        <v>0</v>
      </c>
      <c r="G41" s="12" t="n">
        <v>75323</v>
      </c>
      <c r="H41" s="12" t="n">
        <v>85492</v>
      </c>
      <c r="I41" s="11" t="n">
        <f t="array" ref="I41">INDEX('原始数据'!H$2:H$3689,MATCH($C41,'原始数据'!$B$2:$B$3689,0))</f>
        <v>79963</v>
      </c>
      <c r="J41" s="16" t="n">
        <f>IF(F41=0,I41*2,F41/$N$603+I41)</f>
        <v>159926</v>
      </c>
      <c r="K41" s="18" t="n">
        <f>ROW(K41)-1</f>
        <v>40</v>
      </c>
      <c r="L41" s="18" t="e">
        <f t="array" ref="L41">INDEX(TOP3277!#REF!,MATCH(C41,TOP3277!$B$501:$B$3035,0))</f>
        <v>#N/A</v>
      </c>
    </row>
    <row r="42" ht="14.399999999999999" customHeight="1">
      <c r="A42" s="14" t="n">
        <v>287</v>
      </c>
      <c r="B42" s="10" t="s">
        <v>80</v>
      </c>
      <c r="C42" s="10" t="s">
        <v>81</v>
      </c>
      <c r="D42" s="10" t="n">
        <f t="array" ref="D42">INDEX('原始数据'!C$2:C$3689,MATCH($C42,'原始数据'!$B$2:$B$3689,0))</f>
        <v>172264</v>
      </c>
      <c r="E42" s="10" t="n">
        <f t="array" ref="E42">INDEX('原始数据'!D$2:D$3689,MATCH($C42,'原始数据'!$B$2:$B$3689,0))</f>
        <v>275176</v>
      </c>
      <c r="F42" s="11" t="n">
        <f t="array" ref="F42">INDEX('原始数据'!E$2:E$3689,MATCH($C42,'原始数据'!$B$2:$B$3689,0))</f>
        <v>223720</v>
      </c>
      <c r="G42" s="10" t="n">
        <f t="array" ref="G42">INDEX('原始数据'!F$2:F$3689,MATCH($C42,'原始数据'!$B$2:$B$3689,0))</f>
        <v>100970</v>
      </c>
      <c r="H42" s="10" t="n">
        <f t="array" ref="H42">INDEX('原始数据'!G$2:G$3689,MATCH($C42,'原始数据'!$B$2:$B$3689,0))</f>
        <v>138309</v>
      </c>
      <c r="I42" s="11" t="n">
        <f t="array" ref="I42">INDEX('原始数据'!H$2:H$3689,MATCH($C42,'原始数据'!$B$2:$B$3689,0))</f>
        <v>119639.5</v>
      </c>
      <c r="J42" s="16" t="n">
        <f>IF(F42=0,I42*2,F42/$N$603+I42)</f>
        <v>159828.520316372</v>
      </c>
      <c r="K42" s="18" t="n">
        <f>ROW(K42)-1</f>
        <v>41</v>
      </c>
      <c r="L42" s="18" t="n">
        <f t="array" ref="L42">INDEX(TOP3277!#REF!,MATCH(C42,TOP3277!$B$501:$B$3035,0))</f>
        <v>269</v>
      </c>
    </row>
    <row r="43" ht="14.399999999999999" customHeight="1">
      <c r="A43" s="14" t="n">
        <v>249</v>
      </c>
      <c r="B43" s="10" t="s">
        <v>2278</v>
      </c>
      <c r="C43" s="10" t="s">
        <v>2279</v>
      </c>
      <c r="D43" s="10" t="n">
        <f t="array" ref="D43">INDEX('原始数据'!C$2:C$3689,MATCH($C43,'原始数据'!$B$2:$B$3689,0))</f>
        <v>94933</v>
      </c>
      <c r="E43" s="10" t="n">
        <f t="array" ref="E43">INDEX('原始数据'!D$2:D$3689,MATCH($C43,'原始数据'!$B$2:$B$3689,0))</f>
        <v>151647</v>
      </c>
      <c r="F43" s="11" t="n">
        <f t="array" ref="F43">INDEX('原始数据'!E$2:E$3689,MATCH($C43,'原始数据'!$B$2:$B$3689,0))</f>
        <v>123290</v>
      </c>
      <c r="G43" s="10" t="n">
        <f t="array" ref="G43">INDEX('原始数据'!F$2:F$3689,MATCH($C43,'原始数据'!$B$2:$B$3689,0))</f>
        <v>98090</v>
      </c>
      <c r="H43" s="10" t="n">
        <f t="array" ref="H43">INDEX('原始数据'!G$2:G$3689,MATCH($C43,'原始数据'!$B$2:$B$3689,0))</f>
        <v>152658</v>
      </c>
      <c r="I43" s="11" t="n">
        <f t="array" ref="I43">INDEX('原始数据'!H$2:H$3689,MATCH($C43,'原始数据'!$B$2:$B$3689,0))</f>
        <v>125374</v>
      </c>
      <c r="J43" s="16" t="n">
        <f>IF(F43=0,I43*2,F43/$N$603+I43)</f>
        <v>147521.793289851</v>
      </c>
      <c r="K43" s="18" t="n">
        <f>ROW(K43)-1</f>
        <v>42</v>
      </c>
      <c r="L43" s="18" t="n">
        <f t="array" ref="L43">INDEX(TOP3277!#REF!,MATCH(C43,TOP3277!$B$501:$B$3035,0))</f>
        <v>283</v>
      </c>
    </row>
    <row r="44" ht="14.399999999999999" customHeight="1">
      <c r="A44" s="14" t="n">
        <v>425</v>
      </c>
      <c r="B44" s="10" t="s">
        <v>1499</v>
      </c>
      <c r="C44" s="10" t="s">
        <v>1500</v>
      </c>
      <c r="D44" s="10" t="n">
        <f t="array" ref="D44">INDEX('原始数据'!C$2:C$3689,MATCH($C44,'原始数据'!$B$2:$B$3689,0))</f>
        <v>254367</v>
      </c>
      <c r="E44" s="10" t="n">
        <f t="array" ref="E44">INDEX('原始数据'!D$2:D$3689,MATCH($C44,'原始数据'!$B$2:$B$3689,0))</f>
        <v>406327</v>
      </c>
      <c r="F44" s="11" t="n">
        <f t="array" ref="F44">INDEX('原始数据'!E$2:E$3689,MATCH($C44,'原始数据'!$B$2:$B$3689,0))</f>
        <v>330347</v>
      </c>
      <c r="G44" s="10" t="n">
        <f t="array" ref="G44">INDEX('原始数据'!F$2:F$3689,MATCH($C44,'原始数据'!$B$2:$B$3689,0))</f>
        <v>60539</v>
      </c>
      <c r="H44" s="10" t="n">
        <f t="array" ref="H44">INDEX('原始数据'!G$2:G$3689,MATCH($C44,'原始数据'!$B$2:$B$3689,0))</f>
        <v>87903</v>
      </c>
      <c r="I44" s="11" t="n">
        <f t="array" ref="I44">INDEX('原始数据'!H$2:H$3689,MATCH($C44,'原始数据'!$B$2:$B$3689,0))</f>
        <v>74221</v>
      </c>
      <c r="J44" s="16" t="n">
        <f>IF(F44=0,I44*2,F44/$N$603+I44)</f>
        <v>133564.475301505</v>
      </c>
      <c r="K44" s="18" t="n">
        <f>ROW(K44)-1</f>
        <v>43</v>
      </c>
      <c r="L44" s="18" t="n">
        <f t="array" ref="L44">INDEX(TOP3277!#REF!,MATCH(C44,TOP3277!$B$501:$B$3035,0))</f>
        <v>296</v>
      </c>
    </row>
    <row r="45" ht="14.399999999999999" customHeight="1">
      <c r="A45" s="14" t="n">
        <v>574</v>
      </c>
      <c r="B45" s="10" t="s">
        <v>1511</v>
      </c>
      <c r="C45" s="10" t="s">
        <v>1512</v>
      </c>
      <c r="D45" s="10" t="n">
        <f t="array" ref="D45">INDEX('原始数据'!C$2:C$3689,MATCH($C45,'原始数据'!$B$2:$B$3689,0))</f>
        <v>227209</v>
      </c>
      <c r="E45" s="10" t="n">
        <f t="array" ref="E45">INDEX('原始数据'!D$2:D$3689,MATCH($C45,'原始数据'!$B$2:$B$3689,0))</f>
        <v>362943</v>
      </c>
      <c r="F45" s="11" t="n">
        <f t="array" ref="F45">INDEX('原始数据'!E$2:E$3689,MATCH($C45,'原始数据'!$B$2:$B$3689,0))</f>
        <v>295076</v>
      </c>
      <c r="G45" s="10" t="n">
        <f t="array" ref="G45">INDEX('原始数据'!F$2:F$3689,MATCH($C45,'原始数据'!$B$2:$B$3689,0))</f>
        <v>66495</v>
      </c>
      <c r="H45" s="10" t="n">
        <f t="array" ref="H45">INDEX('原始数据'!G$2:G$3689,MATCH($C45,'原始数据'!$B$2:$B$3689,0))</f>
        <v>91818</v>
      </c>
      <c r="I45" s="11" t="n">
        <f t="array" ref="I45">INDEX('原始数据'!H$2:H$3689,MATCH($C45,'原始数据'!$B$2:$B$3689,0))</f>
        <v>79156.5</v>
      </c>
      <c r="J45" s="16" t="n">
        <f>IF(F45=0,I45*2,F45/$N$603+I45)</f>
        <v>132163.899244028</v>
      </c>
      <c r="K45" s="18" t="n">
        <f>ROW(K45)-1</f>
        <v>44</v>
      </c>
      <c r="L45" s="18" t="n">
        <f t="array" ref="L45">INDEX(TOP3277!#REF!,MATCH(C45,TOP3277!$B$501:$B$3035,0))</f>
        <v>300</v>
      </c>
    </row>
    <row r="46" ht="14.399999999999999" customHeight="1">
      <c r="A46" s="14" t="n">
        <v>830</v>
      </c>
      <c r="B46" s="10" t="s">
        <v>1159</v>
      </c>
      <c r="C46" s="10" t="s">
        <v>1160</v>
      </c>
      <c r="D46" s="10" t="n">
        <f t="array" ref="D46">INDEX('原始数据'!C$2:C$3689,MATCH($C46,'原始数据'!$B$2:$B$3689,0))</f>
        <v>181856</v>
      </c>
      <c r="E46" s="10" t="n">
        <f t="array" ref="E46">INDEX('原始数据'!D$2:D$3689,MATCH($C46,'原始数据'!$B$2:$B$3689,0))</f>
        <v>290496</v>
      </c>
      <c r="F46" s="11" t="n">
        <f t="array" ref="F46">INDEX('原始数据'!E$2:E$3689,MATCH($C46,'原始数据'!$B$2:$B$3689,0))</f>
        <v>236176</v>
      </c>
      <c r="G46" s="10" t="n">
        <f t="array" ref="G46">INDEX('原始数据'!F$2:F$3689,MATCH($C46,'原始数据'!$B$2:$B$3689,0))</f>
        <v>72897</v>
      </c>
      <c r="H46" s="10" t="n">
        <f t="array" ref="H46">INDEX('原始数据'!G$2:G$3689,MATCH($C46,'原始数据'!$B$2:$B$3689,0))</f>
        <v>95743</v>
      </c>
      <c r="I46" s="11" t="n">
        <f t="array" ref="I46">INDEX('原始数据'!H$2:H$3689,MATCH($C46,'原始数据'!$B$2:$B$3689,0))</f>
        <v>84320</v>
      </c>
      <c r="J46" s="16" t="n">
        <f>IF(F46=0,I46*2,F46/$N$603+I46)</f>
        <v>126746.613902376</v>
      </c>
      <c r="K46" s="18" t="n">
        <f>ROW(K46)-1</f>
        <v>45</v>
      </c>
      <c r="L46" s="18" t="n">
        <f t="array" ref="L46">INDEX(TOP3277!#REF!,MATCH(C46,TOP3277!$B$501:$B$3035,0))</f>
        <v>307</v>
      </c>
    </row>
    <row r="47" ht="14.399999999999999" customHeight="1">
      <c r="A47" s="14" t="n">
        <v>3367</v>
      </c>
      <c r="B47" s="10" t="s">
        <v>1496</v>
      </c>
      <c r="C47" s="10" t="s">
        <v>1497</v>
      </c>
      <c r="D47" s="10" t="n">
        <f t="array" ref="D47">INDEX('原始数据'!C$2:C$3689,MATCH($C47,'原始数据'!$B$2:$B$3689,0))</f>
        <v>501334</v>
      </c>
      <c r="E47" s="10" t="n">
        <f t="array" ref="E47">INDEX('原始数据'!D$2:D$3689,MATCH($C47,'原始数据'!$B$2:$B$3689,0))</f>
        <v>800834</v>
      </c>
      <c r="F47" s="11" t="n">
        <f t="array" ref="F47">INDEX('原始数据'!E$2:E$3689,MATCH($C47,'原始数据'!$B$2:$B$3689,0))</f>
        <v>651084</v>
      </c>
      <c r="G47" s="10" t="n">
        <f t="array" ref="G47">INDEX('原始数据'!F$2:F$3689,MATCH($C47,'原始数据'!$B$2:$B$3689,0))</f>
        <v>5386</v>
      </c>
      <c r="H47" s="10" t="n">
        <f t="array" ref="H47">INDEX('原始数据'!G$2:G$3689,MATCH($C47,'原始数据'!$B$2:$B$3689,0))</f>
        <v>7631</v>
      </c>
      <c r="I47" s="11" t="n">
        <f t="array" ref="I47">INDEX('原始数据'!H$2:H$3689,MATCH($C47,'原始数据'!$B$2:$B$3689,0))</f>
        <v>6508.5</v>
      </c>
      <c r="J47" s="16" t="n">
        <f>IF(F47=0,I47*2,F47/$N$603+I47)</f>
        <v>123469.111942003</v>
      </c>
      <c r="K47" s="18" t="n">
        <f>ROW(K47)-1</f>
        <v>46</v>
      </c>
      <c r="L47" s="18" t="n">
        <f t="array" ref="L47">INDEX(TOP3277!#REF!,MATCH(C47,TOP3277!$B$501:$B$3035,0))</f>
        <v>295</v>
      </c>
    </row>
    <row r="48" ht="14.399999999999999" customHeight="1">
      <c r="A48" s="10" t="n">
        <v>271</v>
      </c>
      <c r="B48" s="10" t="s">
        <v>208</v>
      </c>
      <c r="C48" s="10" t="s">
        <v>209</v>
      </c>
      <c r="D48" s="10" t="n">
        <f t="array" ref="D48">INDEX('原始数据'!C$2:C$3689,MATCH($C48,'原始数据'!$B$2:$B$3689,0))</f>
        <v>283337</v>
      </c>
      <c r="E48" s="10" t="n">
        <f t="array" ref="E48">INDEX('原始数据'!D$2:D$3689,MATCH($C48,'原始数据'!$B$2:$B$3689,0))</f>
        <v>452603</v>
      </c>
      <c r="F48" s="11" t="n">
        <f t="array" ref="F48">INDEX('原始数据'!E$2:E$3689,MATCH($C48,'原始数据'!$B$2:$B$3689,0))</f>
        <v>367970</v>
      </c>
      <c r="G48" s="10" t="n">
        <f t="array" ref="G48">INDEX('原始数据'!F$2:F$3689,MATCH($C48,'原始数据'!$B$2:$B$3689,0))</f>
        <v>45766</v>
      </c>
      <c r="H48" s="10" t="n">
        <f t="array" ref="H48">INDEX('原始数据'!G$2:G$3689,MATCH($C48,'原始数据'!$B$2:$B$3689,0))</f>
        <v>62431</v>
      </c>
      <c r="I48" s="11" t="n">
        <f t="array" ref="I48">INDEX('原始数据'!H$2:H$3689,MATCH($C48,'原始数据'!$B$2:$B$3689,0))</f>
        <v>54098.5</v>
      </c>
      <c r="J48" s="16" t="n">
        <f>IF(F48=0,I48*2,F48/$N$603+I48)</f>
        <v>120200.564213372</v>
      </c>
      <c r="K48" s="18" t="n">
        <f>ROW(K48)-1</f>
        <v>47</v>
      </c>
      <c r="L48" s="18" t="e">
        <f t="array" ref="L48">INDEX(TOP3277!#REF!,MATCH(C48,TOP3277!$B$501:$B$3035,0))</f>
        <v>#N/A</v>
      </c>
    </row>
    <row r="49" ht="14.399999999999999" customHeight="1">
      <c r="A49" s="14" t="n">
        <v>323</v>
      </c>
      <c r="B49" s="10" t="s">
        <v>1591</v>
      </c>
      <c r="C49" s="10" t="s">
        <v>1592</v>
      </c>
      <c r="D49" s="10" t="n">
        <f t="array" ref="D49">INDEX('原始数据'!C$2:C$3689,MATCH($C49,'原始数据'!$B$2:$B$3689,0))</f>
        <v>143319</v>
      </c>
      <c r="E49" s="10" t="n">
        <f t="array" ref="E49">INDEX('原始数据'!D$2:D$3689,MATCH($C49,'原始数据'!$B$2:$B$3689,0))</f>
        <v>228939</v>
      </c>
      <c r="F49" s="11" t="n">
        <f t="array" ref="F49">INDEX('原始数据'!E$2:E$3689,MATCH($C49,'原始数据'!$B$2:$B$3689,0))</f>
        <v>186129</v>
      </c>
      <c r="G49" s="10" t="n">
        <f t="array" ref="G49">INDEX('原始数据'!F$2:F$3689,MATCH($C49,'原始数据'!$B$2:$B$3689,0))</f>
        <v>66543</v>
      </c>
      <c r="H49" s="10" t="n">
        <f t="array" ref="H49">INDEX('原始数据'!G$2:G$3689,MATCH($C49,'原始数据'!$B$2:$B$3689,0))</f>
        <v>101055</v>
      </c>
      <c r="I49" s="11" t="n">
        <f t="array" ref="I49">INDEX('原始数据'!H$2:H$3689,MATCH($C49,'原始数据'!$B$2:$B$3689,0))</f>
        <v>83799</v>
      </c>
      <c r="J49" s="16" t="n">
        <f>IF(F49=0,I49*2,F49/$N$603+I49)</f>
        <v>117235.179878715</v>
      </c>
      <c r="K49" s="18" t="n">
        <f>ROW(K49)-1</f>
        <v>48</v>
      </c>
      <c r="L49" s="18" t="n">
        <f t="array" ref="L49">INDEX(TOP3277!#REF!,MATCH(C49,TOP3277!$B$501:$B$3035,0))</f>
        <v>324</v>
      </c>
    </row>
    <row r="50" ht="14.399999999999999" customHeight="1">
      <c r="A50" s="14" t="n">
        <v>941</v>
      </c>
      <c r="B50" s="10" t="s">
        <v>1986</v>
      </c>
      <c r="C50" s="10" t="s">
        <v>1987</v>
      </c>
      <c r="D50" s="10" t="n">
        <f t="array" ref="D50">INDEX('原始数据'!C$2:C$3689,MATCH($C50,'原始数据'!$B$2:$B$3689,0))</f>
        <v>301090</v>
      </c>
      <c r="E50" s="10" t="n">
        <f t="array" ref="E50">INDEX('原始数据'!D$2:D$3689,MATCH($C50,'原始数据'!$B$2:$B$3689,0))</f>
        <v>480964</v>
      </c>
      <c r="F50" s="11" t="n">
        <f t="array" ref="F50">INDEX('原始数据'!E$2:E$3689,MATCH($C50,'原始数据'!$B$2:$B$3689,0))</f>
        <v>391027</v>
      </c>
      <c r="G50" s="10" t="n">
        <f t="array" ref="G50">INDEX('原始数据'!F$2:F$3689,MATCH($C50,'原始数据'!$B$2:$B$3689,0))</f>
        <v>15724</v>
      </c>
      <c r="H50" s="10" t="n">
        <f t="array" ref="H50">INDEX('原始数据'!G$2:G$3689,MATCH($C50,'原始数据'!$B$2:$B$3689,0))</f>
        <v>58084</v>
      </c>
      <c r="I50" s="11" t="n">
        <f t="array" ref="I50">INDEX('原始数据'!H$2:H$3689,MATCH($C50,'原始数据'!$B$2:$B$3689,0))</f>
        <v>36904</v>
      </c>
      <c r="J50" s="16" t="n">
        <f>IF(F50=0,I50*2,F50/$N$603+I50)</f>
        <v>107148.019521054</v>
      </c>
      <c r="K50" s="18" t="n">
        <f>ROW(K50)-1</f>
        <v>49</v>
      </c>
      <c r="L50" s="18" t="n">
        <f t="array" ref="L50">INDEX(TOP3277!#REF!,MATCH(C50,TOP3277!$B$501:$B$3035,0))</f>
        <v>329</v>
      </c>
    </row>
    <row r="51" ht="14.399999999999999" customHeight="1">
      <c r="A51" s="14" t="n">
        <v>794</v>
      </c>
      <c r="B51" s="10" t="s">
        <v>1613</v>
      </c>
      <c r="C51" s="10" t="s">
        <v>1614</v>
      </c>
      <c r="D51" s="10" t="n">
        <f t="array" ref="D51">INDEX('原始数据'!C$2:C$3689,MATCH($C51,'原始数据'!$B$2:$B$3689,0))</f>
        <v>265077</v>
      </c>
      <c r="E51" s="10" t="n">
        <f t="array" ref="E51">INDEX('原始数据'!D$2:D$3689,MATCH($C51,'原始数据'!$B$2:$B$3689,0))</f>
        <v>423437</v>
      </c>
      <c r="F51" s="11" t="n">
        <f t="array" ref="F51">INDEX('原始数据'!E$2:E$3689,MATCH($C51,'原始数据'!$B$2:$B$3689,0))</f>
        <v>344257</v>
      </c>
      <c r="G51" s="10" t="n">
        <f t="array" ref="G51">INDEX('原始数据'!F$2:F$3689,MATCH($C51,'原始数据'!$B$2:$B$3689,0))</f>
        <v>35783</v>
      </c>
      <c r="H51" s="10" t="n">
        <f t="array" ref="H51">INDEX('原始数据'!G$2:G$3689,MATCH($C51,'原始数据'!$B$2:$B$3689,0))</f>
        <v>50820</v>
      </c>
      <c r="I51" s="11" t="n">
        <f t="array" ref="I51">INDEX('原始数据'!H$2:H$3689,MATCH($C51,'原始数据'!$B$2:$B$3689,0))</f>
        <v>43301.5</v>
      </c>
      <c r="J51" s="16" t="n">
        <f>IF(F51=0,I51*2,F51/$N$603+I51)</f>
        <v>105143.765184397</v>
      </c>
      <c r="K51" s="18" t="n">
        <f>ROW(K51)-1</f>
        <v>50</v>
      </c>
      <c r="L51" s="18" t="n">
        <f t="array" ref="L51">INDEX(TOP3277!#REF!,MATCH(C51,TOP3277!$B$501:$B$3035,0))</f>
        <v>336</v>
      </c>
    </row>
    <row r="52" ht="14.399999999999999" customHeight="1">
      <c r="A52" s="10" t="n">
        <v>273</v>
      </c>
      <c r="B52" s="10" t="s">
        <v>210</v>
      </c>
      <c r="C52" s="10" t="s">
        <v>211</v>
      </c>
      <c r="D52" s="10" t="n">
        <f t="array" ref="D52">INDEX('原始数据'!C$2:C$3689,MATCH($C52,'原始数据'!$B$2:$B$3689,0))</f>
        <v>339993</v>
      </c>
      <c r="E52" s="10" t="n">
        <f t="array" ref="E52">INDEX('原始数据'!D$2:D$3689,MATCH($C52,'原始数据'!$B$2:$B$3689,0))</f>
        <v>543105</v>
      </c>
      <c r="F52" s="11" t="n">
        <f t="array" ref="F52">INDEX('原始数据'!E$2:E$3689,MATCH($C52,'原始数据'!$B$2:$B$3689,0))</f>
        <v>441549</v>
      </c>
      <c r="G52" s="10" t="n">
        <f t="array" ref="G52">INDEX('原始数据'!F$2:F$3689,MATCH($C52,'原始数据'!$B$2:$B$3689,0))</f>
        <v>17781</v>
      </c>
      <c r="H52" s="10" t="n">
        <f t="array" ref="H52">INDEX('原始数据'!G$2:G$3689,MATCH($C52,'原始数据'!$B$2:$B$3689,0))</f>
        <v>27204</v>
      </c>
      <c r="I52" s="11" t="n">
        <f t="array" ref="I52">INDEX('原始数据'!H$2:H$3689,MATCH($C52,'原始数据'!$B$2:$B$3689,0))</f>
        <v>22492.5</v>
      </c>
      <c r="J52" s="16" t="n">
        <f>IF(F52=0,I52*2,F52/$N$603+I52)</f>
        <v>101812.28245876</v>
      </c>
      <c r="K52" s="18" t="n">
        <f>ROW(K52)-1</f>
        <v>51</v>
      </c>
      <c r="L52" s="18" t="n">
        <f t="array" ref="L52">INDEX(TOP3277!#REF!,MATCH(C52,TOP3277!$B$501:$B$3035,0))</f>
        <v>337</v>
      </c>
    </row>
    <row r="53" ht="14.399999999999999" customHeight="1">
      <c r="A53" s="14" t="n">
        <v>424</v>
      </c>
      <c r="B53" s="10" t="s">
        <v>2162</v>
      </c>
      <c r="C53" s="10" t="s">
        <v>2163</v>
      </c>
      <c r="D53" s="10" t="n">
        <f t="array" ref="D53">INDEX('原始数据'!C$2:C$3689,MATCH($C53,'原始数据'!$B$2:$B$3689,0))</f>
        <v>132413</v>
      </c>
      <c r="E53" s="10" t="n">
        <f t="array" ref="E53">INDEX('原始数据'!D$2:D$3689,MATCH($C53,'原始数据'!$B$2:$B$3689,0))</f>
        <v>211515</v>
      </c>
      <c r="F53" s="11" t="n">
        <f t="array" ref="F53">INDEX('原始数据'!E$2:E$3689,MATCH($C53,'原始数据'!$B$2:$B$3689,0))</f>
        <v>171964</v>
      </c>
      <c r="G53" s="10" t="n">
        <f t="array" ref="G53">INDEX('原始数据'!F$2:F$3689,MATCH($C53,'原始数据'!$B$2:$B$3689,0))</f>
        <v>57645</v>
      </c>
      <c r="H53" s="10" t="n">
        <f t="array" ref="H53">INDEX('原始数据'!G$2:G$3689,MATCH($C53,'原始数据'!$B$2:$B$3689,0))</f>
        <v>81670</v>
      </c>
      <c r="I53" s="11" t="n">
        <f t="array" ref="I53">INDEX('原始数据'!H$2:H$3689,MATCH($C53,'原始数据'!$B$2:$B$3689,0))</f>
        <v>69657.5</v>
      </c>
      <c r="J53" s="16" t="n">
        <f>IF(F53=0,I53*2,F53/$N$603+I53)</f>
        <v>100549.081841966</v>
      </c>
      <c r="K53" s="18" t="n">
        <f>ROW(K53)-1</f>
        <v>52</v>
      </c>
      <c r="L53" s="18" t="n">
        <f t="array" ref="L53">INDEX(TOP3277!#REF!,MATCH(C53,TOP3277!$B$501:$B$3035,0))</f>
        <v>363</v>
      </c>
    </row>
    <row r="54" ht="14.399999999999999" customHeight="1">
      <c r="A54" s="14" t="n">
        <v>543</v>
      </c>
      <c r="B54" s="10" t="s">
        <v>1188</v>
      </c>
      <c r="C54" s="10" t="s">
        <v>1189</v>
      </c>
      <c r="D54" s="10" t="n">
        <f t="array" ref="D54">INDEX('原始数据'!C$2:C$3689,MATCH($C54,'原始数据'!$B$2:$B$3689,0))</f>
        <v>212688</v>
      </c>
      <c r="E54" s="10" t="n">
        <f t="array" ref="E54">INDEX('原始数据'!D$2:D$3689,MATCH($C54,'原始数据'!$B$2:$B$3689,0))</f>
        <v>339746</v>
      </c>
      <c r="F54" s="11" t="n">
        <f t="array" ref="F54">INDEX('原始数据'!E$2:E$3689,MATCH($C54,'原始数据'!$B$2:$B$3689,0))</f>
        <v>276217</v>
      </c>
      <c r="G54" s="10" t="n">
        <f t="array" ref="G54">INDEX('原始数据'!F$2:F$3689,MATCH($C54,'原始数据'!$B$2:$B$3689,0))</f>
        <v>41433</v>
      </c>
      <c r="H54" s="10" t="n">
        <f t="array" ref="H54">INDEX('原始数据'!G$2:G$3689,MATCH($C54,'原始数据'!$B$2:$B$3689,0))</f>
        <v>56246</v>
      </c>
      <c r="I54" s="11" t="n">
        <f t="array" ref="I54">INDEX('原始数据'!H$2:H$3689,MATCH($C54,'原始数据'!$B$2:$B$3689,0))</f>
        <v>48839.5</v>
      </c>
      <c r="J54" s="16" t="n">
        <f>IF(F54=0,I54*2,F54/$N$603+I54)</f>
        <v>98459.0718966896</v>
      </c>
      <c r="K54" s="18" t="n">
        <f>ROW(K54)-1</f>
        <v>53</v>
      </c>
      <c r="L54" s="18" t="n">
        <f t="array" ref="L54">INDEX(TOP3277!#REF!,MATCH(C54,TOP3277!$B$501:$B$3035,0))</f>
        <v>358</v>
      </c>
    </row>
    <row r="55" ht="14.399999999999999" customHeight="1">
      <c r="A55" s="14" t="n">
        <v>778</v>
      </c>
      <c r="B55" s="10" t="s">
        <v>1194</v>
      </c>
      <c r="C55" s="10" t="s">
        <v>1195</v>
      </c>
      <c r="D55" s="10" t="n">
        <f t="array" ref="D55">INDEX('原始数据'!C$2:C$3689,MATCH($C55,'原始数据'!$B$2:$B$3689,0))</f>
        <v>191569</v>
      </c>
      <c r="E55" s="10" t="n">
        <f t="array" ref="E55">INDEX('原始数据'!D$2:D$3689,MATCH($C55,'原始数据'!$B$2:$B$3689,0))</f>
        <v>306013</v>
      </c>
      <c r="F55" s="11" t="n">
        <f t="array" ref="F55">INDEX('原始数据'!E$2:E$3689,MATCH($C55,'原始数据'!$B$2:$B$3689,0))</f>
        <v>248791</v>
      </c>
      <c r="G55" s="10" t="n">
        <f t="array" ref="G55">INDEX('原始数据'!F$2:F$3689,MATCH($C55,'原始数据'!$B$2:$B$3689,0))</f>
        <v>42953</v>
      </c>
      <c r="H55" s="10" t="n">
        <f t="array" ref="H55">INDEX('原始数据'!G$2:G$3689,MATCH($C55,'原始数据'!$B$2:$B$3689,0))</f>
        <v>61762</v>
      </c>
      <c r="I55" s="11" t="n">
        <f t="array" ref="I55">INDEX('原始数据'!H$2:H$3689,MATCH($C55,'原始数据'!$B$2:$B$3689,0))</f>
        <v>52357.5</v>
      </c>
      <c r="J55" s="16" t="n">
        <f>IF(F55=0,I55*2,F55/$N$603+I55)</f>
        <v>97050.2702196074</v>
      </c>
      <c r="K55" s="18" t="n">
        <f>ROW(K55)-1</f>
        <v>54</v>
      </c>
      <c r="L55" s="18" t="n">
        <f t="array" ref="L55">INDEX(TOP3277!#REF!,MATCH(C55,TOP3277!$B$501:$B$3035,0))</f>
        <v>365</v>
      </c>
    </row>
    <row r="56" ht="14.399999999999999" customHeight="1">
      <c r="A56" s="14" t="n">
        <v>2153</v>
      </c>
      <c r="B56" s="10" t="s">
        <v>82</v>
      </c>
      <c r="C56" s="10" t="s">
        <v>83</v>
      </c>
      <c r="D56" s="13" t="n">
        <v>313699</v>
      </c>
      <c r="E56" s="13" t="n">
        <v>501103</v>
      </c>
      <c r="F56" s="11" t="n">
        <f>SUM(D56+E56)/2</f>
        <v>407401</v>
      </c>
      <c r="G56" s="12" t="n">
        <v>12995</v>
      </c>
      <c r="H56" s="12" t="n">
        <v>28575</v>
      </c>
      <c r="I56" s="11" t="n">
        <f>SUM(G56+H56)/2</f>
        <v>20785</v>
      </c>
      <c r="J56" s="16" t="n">
        <f>IF(F56=0,I56*2,F56/$N$603+I56)</f>
        <v>93970.4419180689</v>
      </c>
      <c r="K56" s="18" t="n">
        <f>ROW(K56)-1</f>
        <v>55</v>
      </c>
      <c r="L56" s="18" t="n">
        <f t="array" ref="L56">INDEX(TOP3277!#REF!,MATCH(C56,TOP3277!$B$501:$B$3035,0))</f>
        <v>466</v>
      </c>
    </row>
    <row r="57" ht="14.399999999999999" customHeight="1">
      <c r="A57" s="14" t="n">
        <v>774</v>
      </c>
      <c r="B57" s="10" t="s">
        <v>5468</v>
      </c>
      <c r="C57" s="10" t="s">
        <v>5469</v>
      </c>
      <c r="D57" s="10" t="n">
        <f t="array" ref="D57">INDEX('原始数据'!C$2:C$3689,MATCH($C57,'原始数据'!$B$2:$B$3689,0))</f>
        <v>183529</v>
      </c>
      <c r="E57" s="10" t="n">
        <f t="array" ref="E57">INDEX('原始数据'!D$2:D$3689,MATCH($C57,'原始数据'!$B$2:$B$3689,0))</f>
        <v>293171</v>
      </c>
      <c r="F57" s="11" t="n">
        <f t="array" ref="F57">INDEX('原始数据'!E$2:E$3689,MATCH($C57,'原始数据'!$B$2:$B$3689,0))</f>
        <v>238350</v>
      </c>
      <c r="G57" s="10" t="n">
        <f t="array" ref="G57">INDEX('原始数据'!F$2:F$3689,MATCH($C57,'原始数据'!$B$2:$B$3689,0))</f>
        <v>34230</v>
      </c>
      <c r="H57" s="10" t="n">
        <f t="array" ref="H57">INDEX('原始数据'!G$2:G$3689,MATCH($C57,'原始数据'!$B$2:$B$3689,0))</f>
        <v>48218</v>
      </c>
      <c r="I57" s="11" t="n">
        <f t="array" ref="I57">INDEX('原始数据'!H$2:H$3689,MATCH($C57,'原始数据'!$B$2:$B$3689,0))</f>
        <v>41224</v>
      </c>
      <c r="J57" s="16" t="n">
        <f>IF(F57=0,I57*2,F57/$N$603+I57)</f>
        <v>84041.1508689761</v>
      </c>
      <c r="K57" s="18" t="n">
        <f>ROW(K57)-1</f>
        <v>56</v>
      </c>
      <c r="L57" s="18" t="n">
        <f t="array" ref="L57">INDEX(TOP3277!#REF!,MATCH(C57,TOP3277!$B$501:$B$3035,0))</f>
        <v>404</v>
      </c>
    </row>
    <row r="58" ht="14.399999999999999" customHeight="1">
      <c r="A58" s="14" t="n">
        <v>647</v>
      </c>
      <c r="B58" s="10" t="s">
        <v>2400</v>
      </c>
      <c r="C58" s="10" t="s">
        <v>2401</v>
      </c>
      <c r="D58" s="10" t="n">
        <f t="array" ref="D58">INDEX('原始数据'!C$2:C$3689,MATCH($C58,'原始数据'!$B$2:$B$3689,0))</f>
        <v>139206</v>
      </c>
      <c r="E58" s="10" t="n">
        <f t="array" ref="E58">INDEX('原始数据'!D$2:D$3689,MATCH($C58,'原始数据'!$B$2:$B$3689,0))</f>
        <v>222370</v>
      </c>
      <c r="F58" s="11" t="n">
        <f t="array" ref="F58">INDEX('原始数据'!E$2:E$3689,MATCH($C58,'原始数据'!$B$2:$B$3689,0))</f>
        <v>180788</v>
      </c>
      <c r="G58" s="10" t="n">
        <f t="array" ref="G58">INDEX('原始数据'!F$2:F$3689,MATCH($C58,'原始数据'!$B$2:$B$3689,0))</f>
        <v>38888</v>
      </c>
      <c r="H58" s="10" t="n">
        <f t="array" ref="H58">INDEX('原始数据'!G$2:G$3689,MATCH($C58,'原始数据'!$B$2:$B$3689,0))</f>
        <v>59247</v>
      </c>
      <c r="I58" s="11" t="n">
        <f t="array" ref="I58">INDEX('原始数据'!H$2:H$3689,MATCH($C58,'原始数据'!$B$2:$B$3689,0))</f>
        <v>49067.5</v>
      </c>
      <c r="J58" s="16" t="n">
        <f>IF(F58=0,I58*2,F58/$N$603+I58)</f>
        <v>81544.2236052043</v>
      </c>
      <c r="K58" s="18" t="n">
        <f>ROW(K58)-1</f>
        <v>57</v>
      </c>
      <c r="L58" s="18" t="n">
        <f t="array" ref="L58">INDEX(TOP3277!#REF!,MATCH(C58,TOP3277!$B$501:$B$3035,0))</f>
        <v>413</v>
      </c>
    </row>
    <row r="59" ht="14.399999999999999" customHeight="1">
      <c r="A59" s="14" t="n">
        <v>623</v>
      </c>
      <c r="B59" s="10" t="s">
        <v>1246</v>
      </c>
      <c r="C59" s="10" t="s">
        <v>1247</v>
      </c>
      <c r="D59" s="10" t="n">
        <f t="array" ref="D59">INDEX('原始数据'!C$2:C$3689,MATCH($C59,'原始数据'!$B$2:$B$3689,0))</f>
        <v>136627</v>
      </c>
      <c r="E59" s="10" t="n">
        <f t="array" ref="E59">INDEX('原始数据'!D$2:D$3689,MATCH($C59,'原始数据'!$B$2:$B$3689,0))</f>
        <v>218249</v>
      </c>
      <c r="F59" s="11" t="n">
        <f t="array" ref="F59">INDEX('原始数据'!E$2:E$3689,MATCH($C59,'原始数据'!$B$2:$B$3689,0))</f>
        <v>177438</v>
      </c>
      <c r="G59" s="10" t="n">
        <f t="array" ref="G59">INDEX('原始数据'!F$2:F$3689,MATCH($C59,'原始数据'!$B$2:$B$3689,0))</f>
        <v>39126</v>
      </c>
      <c r="H59" s="10" t="n">
        <f t="array" ref="H59">INDEX('原始数据'!G$2:G$3689,MATCH($C59,'原始数据'!$B$2:$B$3689,0))</f>
        <v>54570</v>
      </c>
      <c r="I59" s="11" t="n">
        <f t="array" ref="I59">INDEX('原始数据'!H$2:H$3689,MATCH($C59,'原始数据'!$B$2:$B$3689,0))</f>
        <v>46848</v>
      </c>
      <c r="J59" s="16" t="n">
        <f>IF(F59=0,I59*2,F59/$N$603+I59)</f>
        <v>78722.9302114092</v>
      </c>
      <c r="K59" s="18" t="n">
        <f>ROW(K59)-1</f>
        <v>58</v>
      </c>
      <c r="L59" s="18" t="n">
        <f t="array" ref="L59">INDEX(TOP3277!#REF!,MATCH(C59,TOP3277!$B$501:$B$3035,0))</f>
        <v>426</v>
      </c>
    </row>
    <row r="60" ht="14.399999999999999" customHeight="1">
      <c r="A60" s="14" t="n">
        <v>918</v>
      </c>
      <c r="B60" s="10" t="s">
        <v>1260</v>
      </c>
      <c r="C60" s="10" t="s">
        <v>1261</v>
      </c>
      <c r="D60" s="10" t="n">
        <f t="array" ref="D60">INDEX('原始数据'!C$2:C$3689,MATCH($C60,'原始数据'!$B$2:$B$3689,0))</f>
        <v>167356</v>
      </c>
      <c r="E60" s="10" t="n">
        <f t="array" ref="E60">INDEX('原始数据'!D$2:D$3689,MATCH($C60,'原始数据'!$B$2:$B$3689,0))</f>
        <v>267333</v>
      </c>
      <c r="F60" s="11" t="n">
        <f t="array" ref="F60">INDEX('原始数据'!E$2:E$3689,MATCH($C60,'原始数据'!$B$2:$B$3689,0))</f>
        <v>217344.5</v>
      </c>
      <c r="G60" s="10" t="n">
        <f t="array" ref="G60">INDEX('原始数据'!F$2:F$3689,MATCH($C60,'原始数据'!$B$2:$B$3689,0))</f>
        <v>26756</v>
      </c>
      <c r="H60" s="10" t="n">
        <f t="array" ref="H60">INDEX('原始数据'!G$2:G$3689,MATCH($C60,'原始数据'!$B$2:$B$3689,0))</f>
        <v>39217</v>
      </c>
      <c r="I60" s="11" t="n">
        <f t="array" ref="I60">INDEX('原始数据'!H$2:H$3689,MATCH($C60,'原始数据'!$B$2:$B$3689,0))</f>
        <v>32986.5</v>
      </c>
      <c r="J60" s="16" t="n">
        <f>IF(F60=0,I60*2,F60/$N$603+I60)</f>
        <v>72030.2266500615</v>
      </c>
      <c r="K60" s="18" t="n">
        <f>ROW(K60)-1</f>
        <v>59</v>
      </c>
      <c r="L60" s="18" t="n">
        <f t="array" ref="L60">INDEX(TOP3277!#REF!,MATCH(C60,TOP3277!$B$501:$B$3035,0))</f>
        <v>441</v>
      </c>
    </row>
    <row r="61" ht="14.399999999999999" customHeight="1">
      <c r="A61" s="14" t="n">
        <v>820</v>
      </c>
      <c r="B61" s="10" t="s">
        <v>967</v>
      </c>
      <c r="C61" s="10" t="s">
        <v>8174</v>
      </c>
      <c r="D61" s="13" t="n">
        <v>43438</v>
      </c>
      <c r="E61" s="13" t="n">
        <v>69388</v>
      </c>
      <c r="F61" s="11" t="n">
        <f>SUM(D61+E61)/2</f>
        <v>56413</v>
      </c>
      <c r="G61" s="12" t="n">
        <v>51433</v>
      </c>
      <c r="H61" s="12" t="n">
        <v>70065</v>
      </c>
      <c r="I61" s="11" t="n">
        <f>SUM(G61+H61)/2</f>
        <v>60749</v>
      </c>
      <c r="J61" s="16" t="n">
        <f>IF(F61=0,I61*2,F61/$N$603+I61)</f>
        <v>70883.021111691</v>
      </c>
      <c r="K61" s="18" t="n">
        <f>ROW(K61)-1</f>
        <v>60</v>
      </c>
      <c r="L61" s="18" t="e">
        <f t="array" ref="L61">INDEX(TOP3277!#REF!,MATCH(C61,TOP3277!$B$501:$B$3035,0))</f>
        <v>#N/A</v>
      </c>
    </row>
    <row r="62" ht="14.399999999999999" customHeight="1">
      <c r="A62" s="14" t="n">
        <v>1216</v>
      </c>
      <c r="B62" s="10" t="s">
        <v>1272</v>
      </c>
      <c r="C62" s="10" t="s">
        <v>1273</v>
      </c>
      <c r="D62" s="10" t="n">
        <f t="array" ref="D62">INDEX('原始数据'!C$2:C$3689,MATCH($C62,'原始数据'!$B$2:$B$3689,0))</f>
        <v>184763</v>
      </c>
      <c r="E62" s="10" t="n">
        <f t="array" ref="E62">INDEX('原始数据'!D$2:D$3689,MATCH($C62,'原始数据'!$B$2:$B$3689,0))</f>
        <v>295141</v>
      </c>
      <c r="F62" s="11" t="n">
        <f t="array" ref="F62">INDEX('原始数据'!E$2:E$3689,MATCH($C62,'原始数据'!$B$2:$B$3689,0))</f>
        <v>239952</v>
      </c>
      <c r="G62" s="10" t="n">
        <f t="array" ref="G62">INDEX('原始数据'!F$2:F$3689,MATCH($C62,'原始数据'!$B$2:$B$3689,0))</f>
        <v>21135</v>
      </c>
      <c r="H62" s="10" t="n">
        <f t="array" ref="H62">INDEX('原始数据'!G$2:G$3689,MATCH($C62,'原始数据'!$B$2:$B$3689,0))</f>
        <v>30367</v>
      </c>
      <c r="I62" s="11" t="n">
        <f t="array" ref="I62">INDEX('原始数据'!H$2:H$3689,MATCH($C62,'原始数据'!$B$2:$B$3689,0))</f>
        <v>25751</v>
      </c>
      <c r="J62" s="16" t="n">
        <f>IF(F62=0,I62*2,F62/$N$603+I62)</f>
        <v>68855.9338590835</v>
      </c>
      <c r="K62" s="18" t="n">
        <f>ROW(K62)-1</f>
        <v>61</v>
      </c>
      <c r="L62" s="18" t="n">
        <f t="array" ref="L62">INDEX(TOP3277!#REF!,MATCH(C62,TOP3277!$B$501:$B$3035,0))</f>
        <v>455</v>
      </c>
    </row>
    <row r="63" ht="14.399999999999999" customHeight="1">
      <c r="A63" s="14" t="n">
        <v>952</v>
      </c>
      <c r="B63" s="10" t="s">
        <v>1290</v>
      </c>
      <c r="C63" s="10" t="s">
        <v>1291</v>
      </c>
      <c r="D63" s="10" t="n">
        <f t="array" ref="D63">INDEX('原始数据'!C$2:C$3689,MATCH($C63,'原始数据'!$B$2:$B$3689,0))</f>
        <v>192160</v>
      </c>
      <c r="E63" s="10" t="n">
        <f t="array" ref="E63">INDEX('原始数据'!D$2:D$3689,MATCH($C63,'原始数据'!$B$2:$B$3689,0))</f>
        <v>306958</v>
      </c>
      <c r="F63" s="11" t="n">
        <f t="array" ref="F63">INDEX('原始数据'!E$2:E$3689,MATCH($C63,'原始数据'!$B$2:$B$3689,0))</f>
        <v>249559</v>
      </c>
      <c r="G63" s="10" t="n">
        <f t="array" ref="G63">INDEX('原始数据'!F$2:F$3689,MATCH($C63,'原始数据'!$B$2:$B$3689,0))</f>
        <v>18990</v>
      </c>
      <c r="H63" s="10" t="n">
        <f t="array" ref="H63">INDEX('原始数据'!G$2:G$3689,MATCH($C63,'原始数据'!$B$2:$B$3689,0))</f>
        <v>27441</v>
      </c>
      <c r="I63" s="11" t="n">
        <f t="array" ref="I63">INDEX('原始数据'!H$2:H$3689,MATCH($C63,'原始数据'!$B$2:$B$3689,0))</f>
        <v>23215.5</v>
      </c>
      <c r="J63" s="16" t="n">
        <f>IF(F63=0,I63*2,F63/$N$603+I63)</f>
        <v>68046.2336006327</v>
      </c>
      <c r="K63" s="18" t="n">
        <f>ROW(K63)-1</f>
        <v>62</v>
      </c>
      <c r="L63" s="18" t="n">
        <f t="array" ref="L63">INDEX(TOP3277!#REF!,MATCH(C63,TOP3277!$B$501:$B$3035,0))</f>
        <v>460</v>
      </c>
    </row>
    <row r="64" ht="14.399999999999999" customHeight="1">
      <c r="A64" s="14" t="n">
        <v>4468</v>
      </c>
      <c r="B64" s="10" t="s">
        <v>8175</v>
      </c>
      <c r="C64" s="10" t="s">
        <v>3080</v>
      </c>
      <c r="D64" s="10" t="n">
        <f t="array" ref="D64">INDEX('原始数据'!C$2:C$3689,MATCH($C64,'原始数据'!$B$2:$B$3689,0))</f>
        <v>67457</v>
      </c>
      <c r="E64" s="10" t="n">
        <f t="array" ref="E64">INDEX('原始数据'!D$2:D$3689,MATCH($C64,'原始数据'!$B$2:$B$3689,0))</f>
        <v>107757</v>
      </c>
      <c r="F64" s="11" t="n">
        <f t="array" ref="F64">INDEX('原始数据'!E$2:E$3689,MATCH($C64,'原始数据'!$B$2:$B$3689,0))</f>
        <v>87607</v>
      </c>
      <c r="G64" s="10" t="n">
        <f t="array" ref="G64">INDEX('原始数据'!F$2:F$3689,MATCH($C64,'原始数据'!$B$2:$B$3689,0))</f>
        <v>40591</v>
      </c>
      <c r="H64" s="10" t="n">
        <f t="array" ref="H64">INDEX('原始数据'!G$2:G$3689,MATCH($C64,'原始数据'!$B$2:$B$3689,0))</f>
        <v>58416</v>
      </c>
      <c r="I64" s="11" t="n">
        <f t="array" ref="I64">INDEX('原始数据'!H$2:H$3689,MATCH($C64,'原始数据'!$B$2:$B$3689,0))</f>
        <v>49503.5</v>
      </c>
      <c r="J64" s="16" t="n">
        <f>IF(F64=0,I64*2,F64/$N$603+I64)</f>
        <v>65241.2056269284</v>
      </c>
      <c r="K64" s="18" t="n">
        <f>ROW(K64)-1</f>
        <v>63</v>
      </c>
      <c r="L64" s="18" t="n">
        <f t="array" ref="L64">INDEX(TOP3277!#REF!,MATCH(C64,TOP3277!$B$501:$B$3035,0))</f>
        <v>497</v>
      </c>
    </row>
    <row r="65" ht="14.399999999999999" customHeight="1">
      <c r="A65" s="14" t="n">
        <v>7491</v>
      </c>
      <c r="B65" s="10" t="s">
        <v>84</v>
      </c>
      <c r="C65" s="10" t="s">
        <v>85</v>
      </c>
      <c r="D65" s="10" t="n">
        <f t="array" ref="D65">INDEX('原始数据'!C$2:C$3689,MATCH($C65,'原始数据'!$B$2:$B$3689,0))</f>
        <v>219396</v>
      </c>
      <c r="E65" s="10" t="n">
        <f t="array" ref="E65">INDEX('原始数据'!D$2:D$3689,MATCH($C65,'原始数据'!$B$2:$B$3689,0))</f>
        <v>350466</v>
      </c>
      <c r="F65" s="11" t="n">
        <f t="array" ref="F65">INDEX('原始数据'!E$2:E$3689,MATCH($C65,'原始数据'!$B$2:$B$3689,0))</f>
        <v>284931</v>
      </c>
      <c r="G65" s="10" t="n">
        <f t="array" ref="G65">INDEX('原始数据'!F$2:F$3689,MATCH($C65,'原始数据'!$B$2:$B$3689,0))</f>
        <v>8682</v>
      </c>
      <c r="H65" s="10" t="n">
        <f t="array" ref="H65">INDEX('原始数据'!G$2:G$3689,MATCH($C65,'原始数据'!$B$2:$B$3689,0))</f>
        <v>12550</v>
      </c>
      <c r="I65" s="11" t="n">
        <f t="array" ref="I65">INDEX('原始数据'!H$2:H$3689,MATCH($C65,'原始数据'!$B$2:$B$3689,0))</f>
        <v>10616</v>
      </c>
      <c r="J65" s="16" t="n">
        <f>IF(F65=0,I65*2,F65/$N$603+I65)</f>
        <v>61800.9532798331</v>
      </c>
      <c r="K65" s="18" t="n">
        <f>ROW(K65)-1</f>
        <v>64</v>
      </c>
      <c r="L65" s="18" t="n">
        <f t="array" ref="L65">INDEX(TOP3277!#REF!,MATCH(C65,TOP3277!$B$501:$B$3035,0))</f>
        <v>481</v>
      </c>
    </row>
    <row r="66" ht="14.399999999999999" customHeight="1">
      <c r="A66" s="14" t="n">
        <v>1110</v>
      </c>
      <c r="B66" s="10" t="s">
        <v>3177</v>
      </c>
      <c r="C66" s="10" t="s">
        <v>3178</v>
      </c>
      <c r="D66" s="10" t="n">
        <f t="array" ref="D66">INDEX('原始数据'!C$2:C$3689,MATCH($C66,'原始数据'!$B$2:$B$3689,0))</f>
        <v>126116</v>
      </c>
      <c r="E66" s="10" t="n">
        <f t="array" ref="E66">INDEX('原始数据'!D$2:D$3689,MATCH($C66,'原始数据'!$B$2:$B$3689,0))</f>
        <v>201460</v>
      </c>
      <c r="F66" s="11" t="n">
        <f t="array" ref="F66">INDEX('原始数据'!E$2:E$3689,MATCH($C66,'原始数据'!$B$2:$B$3689,0))</f>
        <v>163788</v>
      </c>
      <c r="G66" s="10" t="n">
        <f t="array" ref="G66">INDEX('原始数据'!F$2:F$3689,MATCH($C66,'原始数据'!$B$2:$B$3689,0))</f>
        <v>21178</v>
      </c>
      <c r="H66" s="10" t="n">
        <f t="array" ref="H66">INDEX('原始数据'!G$2:G$3689,MATCH($C66,'原始数据'!$B$2:$B$3689,0))</f>
        <v>32871</v>
      </c>
      <c r="I66" s="11" t="n">
        <f t="array" ref="I66">INDEX('原始数据'!H$2:H$3689,MATCH($C66,'原始数据'!$B$2:$B$3689,0))</f>
        <v>27024.5</v>
      </c>
      <c r="J66" s="16" t="n">
        <f>IF(F66=0,I66*2,F66/$N$603+I66)</f>
        <v>56447.3466814678</v>
      </c>
      <c r="K66" s="18" t="n">
        <f>ROW(K66)-1</f>
        <v>65</v>
      </c>
      <c r="L66" s="18" t="n">
        <f t="array" ref="L66">INDEX(TOP3277!#REF!,MATCH(C66,TOP3277!$B$501:$B$3035,0))</f>
        <v>516</v>
      </c>
    </row>
    <row r="67" ht="14.399999999999999" customHeight="1">
      <c r="A67" s="14" t="n">
        <v>1859</v>
      </c>
      <c r="B67" s="10" t="s">
        <v>7574</v>
      </c>
      <c r="C67" s="10" t="s">
        <v>3190</v>
      </c>
      <c r="D67" s="10" t="n">
        <f t="array" ref="D67">INDEX('原始数据'!C$2:C$3689,MATCH($C67,'原始数据'!$B$2:$B$3689,0))</f>
        <v>137670</v>
      </c>
      <c r="E67" s="10" t="n">
        <f t="array" ref="E67">INDEX('原始数据'!D$2:D$3689,MATCH($C67,'原始数据'!$B$2:$B$3689,0))</f>
        <v>219912</v>
      </c>
      <c r="F67" s="11" t="n">
        <f t="array" ref="F67">INDEX('原始数据'!E$2:E$3689,MATCH($C67,'原始数据'!$B$2:$B$3689,0))</f>
        <v>178791</v>
      </c>
      <c r="G67" s="10" t="n">
        <f t="array" ref="G67">INDEX('原始数据'!F$2:F$3689,MATCH($C67,'原始数据'!$B$2:$B$3689,0))</f>
        <v>20244</v>
      </c>
      <c r="H67" s="10" t="n">
        <f t="array" ref="H67">INDEX('原始数据'!G$2:G$3689,MATCH($C67,'原始数据'!$B$2:$B$3689,0))</f>
        <v>26385</v>
      </c>
      <c r="I67" s="11" t="n">
        <f t="array" ref="I67">INDEX('原始数据'!H$2:H$3689,MATCH($C67,'原始数据'!$B$2:$B$3689,0))</f>
        <v>23314.5</v>
      </c>
      <c r="J67" s="16" t="n">
        <f>IF(F67=0,I67*2,F67/$N$603+I67)</f>
        <v>55432.4828865748</v>
      </c>
      <c r="K67" s="18" t="n">
        <f>ROW(K67)-1</f>
        <v>66</v>
      </c>
      <c r="L67" s="18" t="n">
        <f t="array" ref="L67">INDEX(TOP3277!#REF!,MATCH(C67,TOP3277!$B$501:$B$3035,0))</f>
        <v>522</v>
      </c>
    </row>
    <row r="68" ht="14.399999999999999" customHeight="1">
      <c r="A68" s="14" t="n">
        <v>920</v>
      </c>
      <c r="B68" s="10" t="s">
        <v>3195</v>
      </c>
      <c r="C68" s="10" t="s">
        <v>3196</v>
      </c>
      <c r="D68" s="10" t="n">
        <f t="array" ref="D68">INDEX('原始数据'!C$2:C$3689,MATCH($C68,'原始数据'!$B$2:$B$3689,0))</f>
        <v>111612</v>
      </c>
      <c r="E68" s="10" t="n">
        <f t="array" ref="E68">INDEX('原始数据'!D$2:D$3689,MATCH($C68,'原始数据'!$B$2:$B$3689,0))</f>
        <v>178290</v>
      </c>
      <c r="F68" s="11" t="n">
        <f t="array" ref="F68">INDEX('原始数据'!E$2:E$3689,MATCH($C68,'原始数据'!$B$2:$B$3689,0))</f>
        <v>144951</v>
      </c>
      <c r="G68" s="10" t="n">
        <f t="array" ref="G68">INDEX('原始数据'!F$2:F$3689,MATCH($C68,'原始数据'!$B$2:$B$3689,0))</f>
        <v>21665</v>
      </c>
      <c r="H68" s="10" t="n">
        <f t="array" ref="H68">INDEX('原始数据'!G$2:G$3689,MATCH($C68,'原始数据'!$B$2:$B$3689,0))</f>
        <v>36884</v>
      </c>
      <c r="I68" s="11" t="n">
        <f t="array" ref="I68">INDEX('原始数据'!H$2:H$3689,MATCH($C68,'原始数据'!$B$2:$B$3689,0))</f>
        <v>29274.5</v>
      </c>
      <c r="J68" s="16" t="n">
        <f>IF(F68=0,I68*2,F68/$N$603+I68)</f>
        <v>55313.4714101487</v>
      </c>
      <c r="K68" s="18" t="n">
        <f>ROW(K68)-1</f>
        <v>67</v>
      </c>
      <c r="L68" s="18" t="n">
        <f t="array" ref="L68">INDEX(TOP3277!#REF!,MATCH(C68,TOP3277!$B$501:$B$3035,0))</f>
        <v>526</v>
      </c>
    </row>
    <row r="69" ht="14.399999999999999" customHeight="1">
      <c r="A69" s="14" t="n">
        <v>1404</v>
      </c>
      <c r="B69" s="10" t="s">
        <v>3331</v>
      </c>
      <c r="C69" s="10" t="s">
        <v>3332</v>
      </c>
      <c r="D69" s="13" t="n">
        <v>90605</v>
      </c>
      <c r="E69" s="13" t="n">
        <v>144733</v>
      </c>
      <c r="F69" s="11" t="n">
        <f>SUM(D69+E69)/2</f>
        <v>117669</v>
      </c>
      <c r="G69" s="12" t="n">
        <v>31163</v>
      </c>
      <c r="H69" s="12" t="n">
        <v>36992</v>
      </c>
      <c r="I69" s="11" t="n">
        <f>SUM(G69+H69)/2</f>
        <v>34077.5</v>
      </c>
      <c r="J69" s="16" t="n">
        <f>IF(F69=0,I69*2,F69/$N$603+I69)</f>
        <v>55215.5378670088</v>
      </c>
      <c r="K69" s="18" t="n">
        <f>ROW(K69)-1</f>
        <v>68</v>
      </c>
      <c r="L69" s="18" t="n">
        <f t="array" ref="L69">INDEX(TOP3277!#REF!,MATCH(C69,TOP3277!$B$501:$B$3035,0))</f>
        <v>594</v>
      </c>
    </row>
    <row r="70" ht="14.399999999999999" customHeight="1">
      <c r="A70" s="14" t="n">
        <v>1081</v>
      </c>
      <c r="B70" s="10" t="s">
        <v>3205</v>
      </c>
      <c r="C70" s="10" t="s">
        <v>3206</v>
      </c>
      <c r="D70" s="10" t="n">
        <f t="array" ref="D70">INDEX('原始数据'!C$2:C$3689,MATCH($C70,'原始数据'!$B$2:$B$3689,0))</f>
        <v>121443</v>
      </c>
      <c r="E70" s="10" t="n">
        <f t="array" ref="E70">INDEX('原始数据'!D$2:D$3689,MATCH($C70,'原始数据'!$B$2:$B$3689,0))</f>
        <v>193997</v>
      </c>
      <c r="F70" s="11" t="n">
        <f t="array" ref="F70">INDEX('原始数据'!E$2:E$3689,MATCH($C70,'原始数据'!$B$2:$B$3689,0))</f>
        <v>157720</v>
      </c>
      <c r="G70" s="10" t="n">
        <f t="array" ref="G70">INDEX('原始数据'!F$2:F$3689,MATCH($C70,'原始数据'!$B$2:$B$3689,0))</f>
        <v>21500</v>
      </c>
      <c r="H70" s="10" t="n">
        <f t="array" ref="H70">INDEX('原始数据'!G$2:G$3689,MATCH($C70,'原始数据'!$B$2:$B$3689,0))</f>
        <v>29468</v>
      </c>
      <c r="I70" s="11" t="n">
        <f t="array" ref="I70">INDEX('原始数据'!H$2:H$3689,MATCH($C70,'原始数据'!$B$2:$B$3689,0))</f>
        <v>25484</v>
      </c>
      <c r="J70" s="16" t="n">
        <f>IF(F70=0,I70*2,F70/$N$603+I70)</f>
        <v>53816.7922595129</v>
      </c>
      <c r="K70" s="18" t="n">
        <f>ROW(K70)-1</f>
        <v>69</v>
      </c>
      <c r="L70" s="18" t="n">
        <f t="array" ref="L70">INDEX(TOP3277!#REF!,MATCH(C70,TOP3277!$B$501:$B$3035,0))</f>
        <v>531</v>
      </c>
    </row>
    <row r="71" ht="14.399999999999999" customHeight="1">
      <c r="A71" s="14" t="n">
        <v>1013</v>
      </c>
      <c r="B71" s="10" t="s">
        <v>3245</v>
      </c>
      <c r="C71" s="10" t="s">
        <v>3246</v>
      </c>
      <c r="D71" s="10" t="n">
        <f t="array" ref="D71">INDEX('原始数据'!C$2:C$3689,MATCH($C71,'原始数据'!$B$2:$B$3689,0))</f>
        <v>93881</v>
      </c>
      <c r="E71" s="10" t="n">
        <f t="array" ref="E71">INDEX('原始数据'!D$2:D$3689,MATCH($C71,'原始数据'!$B$2:$B$3689,0))</f>
        <v>149965</v>
      </c>
      <c r="F71" s="11" t="n">
        <f t="array" ref="F71">INDEX('原始数据'!E$2:E$3689,MATCH($C71,'原始数据'!$B$2:$B$3689,0))</f>
        <v>121923</v>
      </c>
      <c r="G71" s="10" t="n">
        <f t="array" ref="G71">INDEX('原始数据'!F$2:F$3689,MATCH($C71,'原始数据'!$B$2:$B$3689,0))</f>
        <v>24744</v>
      </c>
      <c r="H71" s="10" t="n">
        <f t="array" ref="H71">INDEX('原始数据'!G$2:G$3689,MATCH($C71,'原始数据'!$B$2:$B$3689,0))</f>
        <v>38713</v>
      </c>
      <c r="I71" s="11" t="n">
        <f t="array" ref="I71">INDEX('原始数据'!H$2:H$3689,MATCH($C71,'原始数据'!$B$2:$B$3689,0))</f>
        <v>31728.5</v>
      </c>
      <c r="J71" s="16" t="n">
        <f>IF(F71=0,I71*2,F71/$N$603+I71)</f>
        <v>53630.7256572191</v>
      </c>
      <c r="K71" s="18" t="n">
        <f>ROW(K71)-1</f>
        <v>70</v>
      </c>
      <c r="L71" s="18" t="n">
        <f t="array" ref="L71">INDEX(TOP3277!#REF!,MATCH(C71,TOP3277!$B$501:$B$3035,0))</f>
        <v>551</v>
      </c>
    </row>
    <row r="72" ht="14.399999999999999" customHeight="1">
      <c r="A72" s="14" t="n">
        <v>1173</v>
      </c>
      <c r="B72" s="10" t="s">
        <v>3343</v>
      </c>
      <c r="C72" s="10" t="s">
        <v>3344</v>
      </c>
      <c r="D72" s="13" t="n">
        <v>80882</v>
      </c>
      <c r="E72" s="13" t="n">
        <v>129202</v>
      </c>
      <c r="F72" s="11" t="n">
        <f>SUM(D72+E72)/2</f>
        <v>105042</v>
      </c>
      <c r="G72" s="12" t="n">
        <v>28718</v>
      </c>
      <c r="H72" s="12" t="n">
        <v>40153</v>
      </c>
      <c r="I72" s="11" t="n">
        <f>SUM(G72+H72)/2</f>
        <v>34435.5</v>
      </c>
      <c r="J72" s="16" t="n">
        <f>IF(F72=0,I72*2,F72/$N$603+I72)</f>
        <v>53305.2258719487</v>
      </c>
      <c r="K72" s="18" t="n">
        <f>ROW(K72)-1</f>
        <v>71</v>
      </c>
      <c r="L72" s="18" t="n">
        <f t="array" ref="L72">INDEX(TOP3277!#REF!,MATCH(C72,TOP3277!$B$501:$B$3035,0))</f>
        <v>600</v>
      </c>
    </row>
    <row r="73" ht="14.399999999999999" customHeight="1">
      <c r="A73" s="14" t="n">
        <v>1794</v>
      </c>
      <c r="B73" s="10" t="s">
        <v>6329</v>
      </c>
      <c r="C73" s="10" t="s">
        <v>6330</v>
      </c>
      <c r="D73" s="13" t="n">
        <v>123775</v>
      </c>
      <c r="E73" s="13" t="n">
        <v>197719</v>
      </c>
      <c r="F73" s="11" t="n">
        <f>SUM(D73+E73)/2</f>
        <v>160747</v>
      </c>
      <c r="G73" s="12" t="n">
        <v>18583</v>
      </c>
      <c r="H73" s="12" t="n">
        <v>27604</v>
      </c>
      <c r="I73" s="11" t="n">
        <f>SUM(G73+H73)/2</f>
        <v>23093.5</v>
      </c>
      <c r="J73" s="16" t="n">
        <f>IF(F73=0,I73*2,F73/$N$603+I73)</f>
        <v>51970.0619917571</v>
      </c>
      <c r="K73" s="18" t="n">
        <f>ROW(K73)-1</f>
        <v>72</v>
      </c>
      <c r="L73" s="18" t="e">
        <f t="array" ref="L73">INDEX(TOP3277!#REF!,MATCH(C73,TOP3277!$B$501:$B$3035,0))</f>
        <v>#N/A</v>
      </c>
    </row>
    <row r="74" ht="14.399999999999999" customHeight="1">
      <c r="A74" s="14" t="n">
        <v>1493</v>
      </c>
      <c r="B74" s="10" t="s">
        <v>6791</v>
      </c>
      <c r="C74" s="10" t="s">
        <v>8176</v>
      </c>
      <c r="D74" s="13" t="n">
        <v>145594</v>
      </c>
      <c r="E74" s="13" t="n">
        <v>232572</v>
      </c>
      <c r="F74" s="11" t="n">
        <f>SUM(D74+E74)/2</f>
        <v>189083</v>
      </c>
      <c r="G74" s="12" t="n">
        <v>9257</v>
      </c>
      <c r="H74" s="12" t="n">
        <v>13692</v>
      </c>
      <c r="I74" s="11" t="n">
        <f>SUM(G74+H74)/2</f>
        <v>11474.5</v>
      </c>
      <c r="J74" s="16" t="n">
        <f>IF(F74=0,I74*2,F74/$N$603+I74)</f>
        <v>45441.3359041687</v>
      </c>
      <c r="K74" s="18" t="n">
        <f>ROW(K74)-1</f>
        <v>73</v>
      </c>
      <c r="L74" s="18" t="e">
        <f t="array" ref="L74">INDEX(TOP3277!#REF!,MATCH(C74,TOP3277!$B$501:$B$3035,0))</f>
        <v>#N/A</v>
      </c>
    </row>
    <row r="75" ht="14.399999999999999" customHeight="1">
      <c r="A75" s="14" t="n">
        <v>1815</v>
      </c>
      <c r="B75" s="10" t="s">
        <v>3859</v>
      </c>
      <c r="C75" s="10" t="s">
        <v>3860</v>
      </c>
      <c r="D75" s="13" t="n">
        <v>87803</v>
      </c>
      <c r="E75" s="13" t="n">
        <v>140257</v>
      </c>
      <c r="F75" s="11" t="n">
        <f>SUM(D75+E75)/2</f>
        <v>114030</v>
      </c>
      <c r="G75" s="12" t="n">
        <v>21351</v>
      </c>
      <c r="H75" s="12" t="n">
        <v>27395</v>
      </c>
      <c r="I75" s="11" t="n">
        <f>SUM(G75+H75)/2</f>
        <v>24373</v>
      </c>
      <c r="J75" s="16" t="n">
        <f>IF(F75=0,I75*2,F75/$N$603+I75)</f>
        <v>44857.3285655101</v>
      </c>
      <c r="K75" s="18" t="n">
        <f>ROW(K75)-1</f>
        <v>74</v>
      </c>
      <c r="L75" s="18" t="n">
        <f t="array" ref="L75">INDEX(TOP3277!#REF!,MATCH(C75,TOP3277!$B$501:$B$3035,0))</f>
        <v>866</v>
      </c>
    </row>
    <row r="76" ht="14.399999999999999" customHeight="1">
      <c r="A76" s="14" t="n">
        <v>1446</v>
      </c>
      <c r="B76" s="10" t="s">
        <v>86</v>
      </c>
      <c r="C76" s="10" t="s">
        <v>87</v>
      </c>
      <c r="D76" s="10" t="n">
        <f t="array" ref="D76">INDEX('原始数据'!C$2:C$3689,MATCH($C76,'原始数据'!$B$2:$B$3689,0))</f>
        <v>118494</v>
      </c>
      <c r="E76" s="10" t="n">
        <f t="array" ref="E76">INDEX('原始数据'!D$2:D$3689,MATCH($C76,'原始数据'!$B$2:$B$3689,0))</f>
        <v>189280</v>
      </c>
      <c r="F76" s="11" t="n">
        <f t="array" ref="F76">INDEX('原始数据'!E$2:E$3689,MATCH($C76,'原始数据'!$B$2:$B$3689,0))</f>
        <v>153887</v>
      </c>
      <c r="G76" s="10" t="n">
        <f t="array" ref="G76">INDEX('原始数据'!F$2:F$3689,MATCH($C76,'原始数据'!$B$2:$B$3689,0))</f>
        <v>11699</v>
      </c>
      <c r="H76" s="10" t="n">
        <f t="array" ref="H76">INDEX('原始数据'!G$2:G$3689,MATCH($C76,'原始数据'!$B$2:$B$3689,0))</f>
        <v>18514</v>
      </c>
      <c r="I76" s="11" t="n">
        <f t="array" ref="I76">INDEX('原始数据'!H$2:H$3689,MATCH($C76,'原始数据'!$B$2:$B$3689,0))</f>
        <v>15106.5</v>
      </c>
      <c r="J76" s="16" t="n">
        <f>IF(F76=0,I76*2,F76/$N$603+I76)</f>
        <v>42750.7328331199</v>
      </c>
      <c r="K76" s="18" t="n">
        <f>ROW(K76)-1</f>
        <v>75</v>
      </c>
      <c r="L76" s="18" t="n">
        <f t="array" ref="L76">INDEX(TOP3277!#REF!,MATCH(C76,TOP3277!$B$501:$B$3035,0))</f>
        <v>616</v>
      </c>
    </row>
    <row r="77" ht="14.399999999999999" customHeight="1">
      <c r="A77" s="14" t="n">
        <v>817</v>
      </c>
      <c r="B77" s="10" t="s">
        <v>214</v>
      </c>
      <c r="C77" s="10" t="s">
        <v>215</v>
      </c>
      <c r="D77" s="10" t="n">
        <f t="array" ref="D77">INDEX('原始数据'!C$2:C$3689,MATCH($C77,'原始数据'!$B$2:$B$3689,0))</f>
        <v>65763</v>
      </c>
      <c r="E77" s="10" t="n">
        <f t="array" ref="E77">INDEX('原始数据'!D$2:D$3689,MATCH($C77,'原始数据'!$B$2:$B$3689,0))</f>
        <v>105049</v>
      </c>
      <c r="F77" s="11" t="n">
        <f t="array" ref="F77">INDEX('原始数据'!E$2:E$3689,MATCH($C77,'原始数据'!$B$2:$B$3689,0))</f>
        <v>85406</v>
      </c>
      <c r="G77" s="10" t="n">
        <f t="array" ref="G77">INDEX('原始数据'!F$2:F$3689,MATCH($C77,'原始数据'!$B$2:$B$3689,0))</f>
        <v>21704</v>
      </c>
      <c r="H77" s="10" t="n">
        <f t="array" ref="H77">INDEX('原始数据'!G$2:G$3689,MATCH($C77,'原始数据'!$B$2:$B$3689,0))</f>
        <v>32787</v>
      </c>
      <c r="I77" s="11" t="n">
        <f t="array" ref="I77">INDEX('原始数据'!H$2:H$3689,MATCH($C77,'原始数据'!$B$2:$B$3689,0))</f>
        <v>27245.5</v>
      </c>
      <c r="J77" s="16" t="n">
        <f>IF(F77=0,I77*2,F77/$N$603+I77)</f>
        <v>42587.8183852141</v>
      </c>
      <c r="K77" s="18" t="n">
        <f>ROW(K77)-1</f>
        <v>76</v>
      </c>
      <c r="L77" s="18" t="n">
        <f t="array" ref="L77">INDEX(TOP3277!#REF!,MATCH(C77,TOP3277!$B$501:$B$3035,0))</f>
        <v>646</v>
      </c>
    </row>
    <row r="78" ht="14.399999999999999" customHeight="1">
      <c r="A78" s="14" t="n">
        <v>1331</v>
      </c>
      <c r="B78" s="10" t="s">
        <v>3439</v>
      </c>
      <c r="C78" s="10" t="s">
        <v>3440</v>
      </c>
      <c r="D78" s="10" t="n">
        <f t="array" ref="D78">INDEX('原始数据'!C$2:C$3689,MATCH($C78,'原始数据'!$B$2:$B$3689,0))</f>
        <v>85627</v>
      </c>
      <c r="E78" s="10" t="n">
        <f t="array" ref="E78">INDEX('原始数据'!D$2:D$3689,MATCH($C78,'原始数据'!$B$2:$B$3689,0))</f>
        <v>136781</v>
      </c>
      <c r="F78" s="11" t="n">
        <f t="array" ref="F78">INDEX('原始数据'!E$2:E$3689,MATCH($C78,'原始数据'!$B$2:$B$3689,0))</f>
        <v>111204</v>
      </c>
      <c r="G78" s="10" t="n">
        <f t="array" ref="G78">INDEX('原始数据'!F$2:F$3689,MATCH($C78,'原始数据'!$B$2:$B$3689,0))</f>
        <v>19062</v>
      </c>
      <c r="H78" s="10" t="n">
        <f t="array" ref="H78">INDEX('原始数据'!G$2:G$3689,MATCH($C78,'原始数据'!$B$2:$B$3689,0))</f>
        <v>23315</v>
      </c>
      <c r="I78" s="11" t="n">
        <f t="array" ref="I78">INDEX('原始数据'!H$2:H$3689,MATCH($C78,'原始数据'!$B$2:$B$3689,0))</f>
        <v>21188.5</v>
      </c>
      <c r="J78" s="16" t="n">
        <f>IF(F78=0,I78*2,F78/$N$603+I78)</f>
        <v>41165.1664368937</v>
      </c>
      <c r="K78" s="18" t="n">
        <f>ROW(K78)-1</f>
        <v>77</v>
      </c>
      <c r="L78" s="18" t="n">
        <f t="array" ref="L78">INDEX(TOP3277!#REF!,MATCH(C78,TOP3277!$B$501:$B$3035,0))</f>
        <v>650</v>
      </c>
    </row>
    <row r="79" ht="14.399999999999999" customHeight="1">
      <c r="A79" s="14" t="n">
        <v>1042</v>
      </c>
      <c r="B79" s="10" t="s">
        <v>3491</v>
      </c>
      <c r="C79" s="10" t="s">
        <v>3492</v>
      </c>
      <c r="D79" s="10" t="n">
        <f t="array" ref="D79">INDEX('原始数据'!C$2:C$3689,MATCH($C79,'原始数据'!$B$2:$B$3689,0))</f>
        <v>53611</v>
      </c>
      <c r="E79" s="10" t="n">
        <f t="array" ref="E79">INDEX('原始数据'!D$2:D$3689,MATCH($C79,'原始数据'!$B$2:$B$3689,0))</f>
        <v>85641</v>
      </c>
      <c r="F79" s="11" t="n">
        <f t="array" ref="F79">INDEX('原始数据'!E$2:E$3689,MATCH($C79,'原始数据'!$B$2:$B$3689,0))</f>
        <v>69626</v>
      </c>
      <c r="G79" s="10" t="n">
        <f t="array" ref="G79">INDEX('原始数据'!F$2:F$3689,MATCH($C79,'原始数据'!$B$2:$B$3689,0))</f>
        <v>25159</v>
      </c>
      <c r="H79" s="10" t="n">
        <f t="array" ref="H79">INDEX('原始数据'!G$2:G$3689,MATCH($C79,'原始数据'!$B$2:$B$3689,0))</f>
        <v>31434</v>
      </c>
      <c r="I79" s="11" t="n">
        <f t="array" ref="I79">INDEX('原始数据'!H$2:H$3689,MATCH($C79,'原始数据'!$B$2:$B$3689,0))</f>
        <v>28296.5</v>
      </c>
      <c r="J79" s="16" t="n">
        <f>IF(F79=0,I79*2,F79/$N$603+I79)</f>
        <v>40804.1020407104</v>
      </c>
      <c r="K79" s="18" t="n">
        <f>ROW(K79)-1</f>
        <v>78</v>
      </c>
      <c r="L79" s="18" t="n">
        <f t="array" ref="L79">INDEX(TOP3277!#REF!,MATCH(C79,TOP3277!$B$501:$B$3035,0))</f>
        <v>676</v>
      </c>
    </row>
    <row r="80" ht="14.399999999999999" customHeight="1">
      <c r="A80" s="14" t="n">
        <v>2090</v>
      </c>
      <c r="B80" s="10" t="s">
        <v>3415</v>
      </c>
      <c r="C80" s="10" t="s">
        <v>3416</v>
      </c>
      <c r="D80" s="10" t="n">
        <f t="array" ref="D80">INDEX('原始数据'!C$2:C$3689,MATCH($C80,'原始数据'!$B$2:$B$3689,0))</f>
        <v>128868</v>
      </c>
      <c r="E80" s="10" t="n">
        <f t="array" ref="E80">INDEX('原始数据'!D$2:D$3689,MATCH($C80,'原始数据'!$B$2:$B$3689,0))</f>
        <v>205854</v>
      </c>
      <c r="F80" s="11" t="n">
        <f t="array" ref="F80">INDEX('原始数据'!E$2:E$3689,MATCH($C80,'原始数据'!$B$2:$B$3689,0))</f>
        <v>167361</v>
      </c>
      <c r="G80" s="10" t="n">
        <f t="array" ref="G80">INDEX('原始数据'!F$2:F$3689,MATCH($C80,'原始数据'!$B$2:$B$3689,0))</f>
        <v>8585</v>
      </c>
      <c r="H80" s="10" t="n">
        <f t="array" ref="H80">INDEX('原始数据'!G$2:G$3689,MATCH($C80,'原始数据'!$B$2:$B$3689,0))</f>
        <v>12443</v>
      </c>
      <c r="I80" s="11" t="n">
        <f t="array" ref="I80">INDEX('原始数据'!H$2:H$3689,MATCH($C80,'原始数据'!$B$2:$B$3689,0))</f>
        <v>10514</v>
      </c>
      <c r="J80" s="16" t="n">
        <f>IF(F80=0,I80*2,F80/$N$603+I80)</f>
        <v>40578.6997549096</v>
      </c>
      <c r="K80" s="18" t="n">
        <f>ROW(K80)-1</f>
        <v>79</v>
      </c>
      <c r="L80" s="18" t="n">
        <f t="array" ref="L80">INDEX(TOP3277!#REF!,MATCH(C80,TOP3277!$B$501:$B$3035,0))</f>
        <v>637</v>
      </c>
    </row>
    <row r="81" ht="14.399999999999999" customHeight="1">
      <c r="A81" s="14" t="n">
        <v>1288</v>
      </c>
      <c r="B81" s="10" t="s">
        <v>3495</v>
      </c>
      <c r="C81" s="10" t="s">
        <v>3496</v>
      </c>
      <c r="D81" s="10" t="n">
        <f t="array" ref="D81">INDEX('原始数据'!C$2:C$3689,MATCH($C81,'原始数据'!$B$2:$B$3689,0))</f>
        <v>60951</v>
      </c>
      <c r="E81" s="10" t="n">
        <f t="array" ref="E81">INDEX('原始数据'!D$2:D$3689,MATCH($C81,'原始数据'!$B$2:$B$3689,0))</f>
        <v>97365</v>
      </c>
      <c r="F81" s="11" t="n">
        <f t="array" ref="F81">INDEX('原始数据'!E$2:E$3689,MATCH($C81,'原始数据'!$B$2:$B$3689,0))</f>
        <v>79158</v>
      </c>
      <c r="G81" s="10" t="n">
        <f t="array" ref="G81">INDEX('原始数据'!F$2:F$3689,MATCH($C81,'原始数据'!$B$2:$B$3689,0))</f>
        <v>20416</v>
      </c>
      <c r="H81" s="10" t="n">
        <f t="array" ref="H81">INDEX('原始数据'!G$2:G$3689,MATCH($C81,'原始数据'!$B$2:$B$3689,0))</f>
        <v>31312</v>
      </c>
      <c r="I81" s="11" t="n">
        <f t="array" ref="I81">INDEX('原始数据'!H$2:H$3689,MATCH($C81,'原始数据'!$B$2:$B$3689,0))</f>
        <v>25864</v>
      </c>
      <c r="J81" s="16" t="n">
        <f>IF(F81=0,I81*2,F81/$N$603+I81)</f>
        <v>40083.9287958314</v>
      </c>
      <c r="K81" s="18" t="n">
        <f>ROW(K81)-1</f>
        <v>80</v>
      </c>
      <c r="L81" s="18" t="n">
        <f t="array" ref="L81">INDEX(TOP3277!#REF!,MATCH(C81,TOP3277!$B$501:$B$3035,0))</f>
        <v>678</v>
      </c>
    </row>
    <row r="82" ht="14.399999999999999" customHeight="1">
      <c r="A82" s="14" t="n">
        <v>1200</v>
      </c>
      <c r="B82" s="10" t="s">
        <v>3475</v>
      </c>
      <c r="C82" s="10" t="s">
        <v>3476</v>
      </c>
      <c r="D82" s="10" t="n">
        <f t="array" ref="D82">INDEX('原始数据'!C$2:C$3689,MATCH($C82,'原始数据'!$B$2:$B$3689,0))</f>
        <v>85942</v>
      </c>
      <c r="E82" s="10" t="n">
        <f t="array" ref="E82">INDEX('原始数据'!D$2:D$3689,MATCH($C82,'原始数据'!$B$2:$B$3689,0))</f>
        <v>137284</v>
      </c>
      <c r="F82" s="11" t="n">
        <f t="array" ref="F82">INDEX('原始数据'!E$2:E$3689,MATCH($C82,'原始数据'!$B$2:$B$3689,0))</f>
        <v>111613</v>
      </c>
      <c r="G82" s="10" t="n">
        <f t="array" ref="G82">INDEX('原始数据'!F$2:F$3689,MATCH($C82,'原始数据'!$B$2:$B$3689,0))</f>
        <v>17024</v>
      </c>
      <c r="H82" s="10" t="n">
        <f t="array" ref="H82">INDEX('原始数据'!G$2:G$3689,MATCH($C82,'原始数据'!$B$2:$B$3689,0))</f>
        <v>22607</v>
      </c>
      <c r="I82" s="11" t="n">
        <f t="array" ref="I82">INDEX('原始数据'!H$2:H$3689,MATCH($C82,'原始数据'!$B$2:$B$3689,0))</f>
        <v>19815.5</v>
      </c>
      <c r="J82" s="16" t="n">
        <f>IF(F82=0,I82*2,F82/$N$603+I82)</f>
        <v>39865.6391228824</v>
      </c>
      <c r="K82" s="18" t="n">
        <f>ROW(K82)-1</f>
        <v>81</v>
      </c>
      <c r="L82" s="18" t="n">
        <f t="array" ref="L82">INDEX(TOP3277!#REF!,MATCH(C82,TOP3277!$B$501:$B$3035,0))</f>
        <v>668</v>
      </c>
    </row>
    <row r="83" ht="14.399999999999999" customHeight="1">
      <c r="A83" s="14" t="n">
        <v>1063</v>
      </c>
      <c r="B83" s="10" t="s">
        <v>5871</v>
      </c>
      <c r="C83" s="10" t="s">
        <v>5872</v>
      </c>
      <c r="D83" s="10" t="n">
        <f t="array" ref="D83">INDEX('原始数据'!C$2:C$3689,MATCH($C83,'原始数据'!$B$2:$B$3689,0))</f>
        <v>46153</v>
      </c>
      <c r="E83" s="10" t="n">
        <f t="array" ref="E83">INDEX('原始数据'!D$2:D$3689,MATCH($C83,'原始数据'!$B$2:$B$3689,0))</f>
        <v>73729</v>
      </c>
      <c r="F83" s="11" t="n">
        <f t="array" ref="F83">INDEX('原始数据'!E$2:E$3689,MATCH($C83,'原始数据'!$B$2:$B$3689,0))</f>
        <v>59941</v>
      </c>
      <c r="G83" s="10" t="n">
        <f t="array" ref="G83">INDEX('原始数据'!F$2:F$3689,MATCH($C83,'原始数据'!$B$2:$B$3689,0))</f>
        <v>22965</v>
      </c>
      <c r="H83" s="10" t="n">
        <f t="array" ref="H83">INDEX('原始数据'!G$2:G$3689,MATCH($C83,'原始数据'!$B$2:$B$3689,0))</f>
        <v>33056</v>
      </c>
      <c r="I83" s="11" t="n">
        <f t="array" ref="I83">INDEX('原始数据'!H$2:H$3689,MATCH($C83,'原始数据'!$B$2:$B$3689,0))</f>
        <v>28010.5</v>
      </c>
      <c r="J83" s="16" t="n">
        <f>IF(F83=0,I83*2,F83/$N$603+I83)</f>
        <v>38778.2903932758</v>
      </c>
      <c r="K83" s="18" t="n">
        <f>ROW(K83)-1</f>
        <v>82</v>
      </c>
      <c r="L83" s="18" t="e">
        <f t="array" ref="L83">INDEX(TOP3277!#REF!,MATCH(C83,TOP3277!$B$501:$B$3035,0))</f>
        <v>#N/A</v>
      </c>
    </row>
    <row r="84" ht="14.399999999999999" customHeight="1">
      <c r="A84" s="14" t="n">
        <v>1144</v>
      </c>
      <c r="B84" s="10" t="s">
        <v>3515</v>
      </c>
      <c r="C84" s="10" t="s">
        <v>3516</v>
      </c>
      <c r="D84" s="10" t="n">
        <f t="array" ref="D84">INDEX('原始数据'!C$2:C$3689,MATCH($C84,'原始数据'!$B$2:$B$3689,0))</f>
        <v>92129</v>
      </c>
      <c r="E84" s="10" t="n">
        <f t="array" ref="E84">INDEX('原始数据'!D$2:D$3689,MATCH($C84,'原始数据'!$B$2:$B$3689,0))</f>
        <v>147167</v>
      </c>
      <c r="F84" s="11" t="n">
        <f t="array" ref="F84">INDEX('原始数据'!E$2:E$3689,MATCH($C84,'原始数据'!$B$2:$B$3689,0))</f>
        <v>119648</v>
      </c>
      <c r="G84" s="10" t="n">
        <f t="array" ref="G84">INDEX('原始数据'!F$2:F$3689,MATCH($C84,'原始数据'!$B$2:$B$3689,0))</f>
        <v>14594</v>
      </c>
      <c r="H84" s="10" t="n">
        <f t="array" ref="H84">INDEX('原始数据'!G$2:G$3689,MATCH($C84,'原始数据'!$B$2:$B$3689,0))</f>
        <v>18022</v>
      </c>
      <c r="I84" s="11" t="n">
        <f t="array" ref="I84">INDEX('原始数据'!H$2:H$3689,MATCH($C84,'原始数据'!$B$2:$B$3689,0))</f>
        <v>16308</v>
      </c>
      <c r="J84" s="16" t="n">
        <f>IF(F84=0,I84*2,F84/$N$603+I84)</f>
        <v>37801.5450688955</v>
      </c>
      <c r="K84" s="18" t="n">
        <f>ROW(K84)-1</f>
        <v>83</v>
      </c>
      <c r="L84" s="18" t="n">
        <f t="array" ref="L84">INDEX(TOP3277!#REF!,MATCH(C84,TOP3277!$B$501:$B$3035,0))</f>
        <v>688</v>
      </c>
    </row>
    <row r="85" ht="14.399999999999999" customHeight="1">
      <c r="A85" s="14" t="n">
        <v>1392</v>
      </c>
      <c r="B85" s="10" t="s">
        <v>3571</v>
      </c>
      <c r="C85" s="10" t="s">
        <v>3572</v>
      </c>
      <c r="D85" s="10" t="n">
        <f t="array" ref="D85">INDEX('原始数据'!C$2:C$3689,MATCH($C85,'原始数据'!$B$2:$B$3689,0))</f>
        <v>42023</v>
      </c>
      <c r="E85" s="10" t="n">
        <f t="array" ref="E85">INDEX('原始数据'!D$2:D$3689,MATCH($C85,'原始数据'!$B$2:$B$3689,0))</f>
        <v>67129</v>
      </c>
      <c r="F85" s="11" t="n">
        <f t="array" ref="F85">INDEX('原始数据'!E$2:E$3689,MATCH($C85,'原始数据'!$B$2:$B$3689,0))</f>
        <v>54576</v>
      </c>
      <c r="G85" s="10" t="n">
        <f t="array" ref="G85">INDEX('原始数据'!F$2:F$3689,MATCH($C85,'原始数据'!$B$2:$B$3689,0))</f>
        <v>21184</v>
      </c>
      <c r="H85" s="10" t="n">
        <f t="array" ref="H85">INDEX('原始数据'!G$2:G$3689,MATCH($C85,'原始数据'!$B$2:$B$3689,0))</f>
        <v>33897</v>
      </c>
      <c r="I85" s="11" t="n">
        <f t="array" ref="I85">INDEX('原始数据'!H$2:H$3689,MATCH($C85,'原始数据'!$B$2:$B$3689,0))</f>
        <v>27540.5</v>
      </c>
      <c r="J85" s="16" t="n">
        <f>IF(F85=0,I85*2,F85/$N$603+I85)</f>
        <v>37344.5227641084</v>
      </c>
      <c r="K85" s="18" t="n">
        <f>ROW(K85)-1</f>
        <v>84</v>
      </c>
      <c r="L85" s="18" t="n">
        <f t="array" ref="L85">INDEX(TOP3277!#REF!,MATCH(C85,TOP3277!$B$501:$B$3035,0))</f>
        <v>717</v>
      </c>
    </row>
    <row r="86" ht="14.399999999999999" customHeight="1">
      <c r="A86" s="14" t="n">
        <v>3936</v>
      </c>
      <c r="B86" s="10" t="s">
        <v>8177</v>
      </c>
      <c r="C86" s="10" t="s">
        <v>8178</v>
      </c>
      <c r="D86" s="13" t="n">
        <v>69495</v>
      </c>
      <c r="E86" s="13" t="n">
        <v>111015</v>
      </c>
      <c r="F86" s="11" t="n">
        <f>SUM(D86+E86)/2</f>
        <v>90255</v>
      </c>
      <c r="G86" s="12" t="n">
        <v>16813</v>
      </c>
      <c r="H86" s="12" t="n">
        <v>25130</v>
      </c>
      <c r="I86" s="11" t="n">
        <f>SUM(G86+H86)/2</f>
        <v>20971.5</v>
      </c>
      <c r="J86" s="16" t="n">
        <f>IF(F86=0,I86*2,F86/$N$603+I86)</f>
        <v>37184.8918677551</v>
      </c>
      <c r="K86" s="18" t="n">
        <f>ROW(K86)-1</f>
        <v>85</v>
      </c>
      <c r="L86" s="18" t="e">
        <f t="array" ref="L86">INDEX(TOP3277!#REF!,MATCH(C86,TOP3277!$B$501:$B$3035,0))</f>
        <v>#N/A</v>
      </c>
    </row>
    <row r="87" ht="14.399999999999999" customHeight="1">
      <c r="A87" s="14" t="n">
        <v>1454</v>
      </c>
      <c r="B87" s="10" t="s">
        <v>88</v>
      </c>
      <c r="C87" s="10" t="s">
        <v>89</v>
      </c>
      <c r="D87" s="10" t="n">
        <f t="array" ref="D87">INDEX('原始数据'!C$2:C$3689,MATCH($C87,'原始数据'!$B$2:$B$3689,0))</f>
        <v>76904</v>
      </c>
      <c r="E87" s="10" t="n">
        <f t="array" ref="E87">INDEX('原始数据'!D$2:D$3689,MATCH($C87,'原始数据'!$B$2:$B$3689,0))</f>
        <v>122846</v>
      </c>
      <c r="F87" s="11" t="n">
        <f t="array" ref="F87">INDEX('原始数据'!E$2:E$3689,MATCH($C87,'原始数据'!$B$2:$B$3689,0))</f>
        <v>99875</v>
      </c>
      <c r="G87" s="10" t="n">
        <f t="array" ref="G87">INDEX('原始数据'!F$2:F$3689,MATCH($C87,'原始数据'!$B$2:$B$3689,0))</f>
        <v>14692</v>
      </c>
      <c r="H87" s="10" t="n">
        <f t="array" ref="H87">INDEX('原始数据'!G$2:G$3689,MATCH($C87,'原始数据'!$B$2:$B$3689,0))</f>
        <v>22674</v>
      </c>
      <c r="I87" s="11" t="n">
        <f t="array" ref="I87">INDEX('原始数据'!H$2:H$3689,MATCH($C87,'原始数据'!$B$2:$B$3689,0))</f>
        <v>18683</v>
      </c>
      <c r="J87" s="16" t="n">
        <f>IF(F87=0,I87*2,F87/$N$603+I87)</f>
        <v>36624.5269269519</v>
      </c>
      <c r="K87" s="18" t="n">
        <f>ROW(K87)-1</f>
        <v>86</v>
      </c>
      <c r="L87" s="18" t="n">
        <f t="array" ref="L87">INDEX(TOP3277!#REF!,MATCH(C87,TOP3277!$B$501:$B$3035,0))</f>
        <v>713</v>
      </c>
    </row>
    <row r="88" ht="14.399999999999999" customHeight="1">
      <c r="A88" s="14" t="n">
        <v>1386</v>
      </c>
      <c r="B88" s="10" t="s">
        <v>3601</v>
      </c>
      <c r="C88" s="10" t="s">
        <v>3602</v>
      </c>
      <c r="D88" s="10" t="n">
        <f t="array" ref="D88">INDEX('原始数据'!C$2:C$3689,MATCH($C88,'原始数据'!$B$2:$B$3689,0))</f>
        <v>47693</v>
      </c>
      <c r="E88" s="10" t="n">
        <f t="array" ref="E88">INDEX('原始数据'!D$2:D$3689,MATCH($C88,'原始数据'!$B$2:$B$3689,0))</f>
        <v>76185</v>
      </c>
      <c r="F88" s="11" t="n">
        <f t="array" ref="F88">INDEX('原始数据'!E$2:E$3689,MATCH($C88,'原始数据'!$B$2:$B$3689,0))</f>
        <v>61939</v>
      </c>
      <c r="G88" s="10" t="n">
        <f t="array" ref="G88">INDEX('原始数据'!F$2:F$3689,MATCH($C88,'原始数据'!$B$2:$B$3689,0))</f>
        <v>17965</v>
      </c>
      <c r="H88" s="10" t="n">
        <f t="array" ref="H88">INDEX('原始数据'!G$2:G$3689,MATCH($C88,'原始数据'!$B$2:$B$3689,0))</f>
        <v>30790</v>
      </c>
      <c r="I88" s="11" t="n">
        <f t="array" ref="I88">INDEX('原始数据'!H$2:H$3689,MATCH($C88,'原始数据'!$B$2:$B$3689,0))</f>
        <v>24377.5</v>
      </c>
      <c r="J88" s="16" t="n">
        <f>IF(F88=0,I88*2,F88/$N$603+I88)</f>
        <v>35504.2107517244</v>
      </c>
      <c r="K88" s="18" t="n">
        <f>ROW(K88)-1</f>
        <v>87</v>
      </c>
      <c r="L88" s="18" t="n">
        <f t="array" ref="L88">INDEX(TOP3277!#REF!,MATCH(C88,TOP3277!$B$501:$B$3035,0))</f>
        <v>732</v>
      </c>
    </row>
    <row r="89" ht="14.399999999999999" customHeight="1">
      <c r="A89" s="10" t="n">
        <v>323</v>
      </c>
      <c r="B89" s="10" t="s">
        <v>8179</v>
      </c>
      <c r="C89" s="10" t="s">
        <v>1004</v>
      </c>
      <c r="D89" s="10" t="n">
        <f t="array" ref="D89">INDEX('原始数据'!C$2:C$3689,MATCH($C89,'原始数据'!$B$2:$B$3689,0))</f>
        <v>60782</v>
      </c>
      <c r="E89" s="10" t="n">
        <f t="array" ref="E89">INDEX('原始数据'!D$2:D$3689,MATCH($C89,'原始数据'!$B$2:$B$3689,0))</f>
        <v>97096</v>
      </c>
      <c r="F89" s="11" t="n">
        <f t="array" ref="F89">INDEX('原始数据'!E$2:E$3689,MATCH($C89,'原始数据'!$B$2:$B$3689,0))</f>
        <v>78939</v>
      </c>
      <c r="G89" s="10" t="n">
        <f t="array" ref="G89">INDEX('原始数据'!F$2:F$3689,MATCH($C89,'原始数据'!$B$2:$B$3689,0))</f>
        <v>16658</v>
      </c>
      <c r="H89" s="10" t="n">
        <f t="array" ref="H89">INDEX('原始数据'!G$2:G$3689,MATCH($C89,'原始数据'!$B$2:$B$3689,0))</f>
        <v>22065</v>
      </c>
      <c r="I89" s="11" t="n">
        <f t="array" ref="I89">INDEX('原始数据'!H$2:H$3689,MATCH($C89,'原始数据'!$B$2:$B$3689,0))</f>
        <v>19361.5</v>
      </c>
      <c r="J89" s="16" t="n">
        <f>IF(F89=0,I89*2,F89/$N$603+I89)</f>
        <v>33542.0876754609</v>
      </c>
      <c r="K89" s="18" t="n">
        <f>ROW(K89)-1</f>
        <v>88</v>
      </c>
      <c r="L89" s="18" t="n">
        <f t="array" ref="L89">INDEX(TOP3277!#REF!,MATCH(C89,TOP3277!$B$501:$B$3035,0))</f>
        <v>753</v>
      </c>
    </row>
    <row r="90" ht="14.399999999999999" customHeight="1">
      <c r="A90" s="14" t="n">
        <v>996</v>
      </c>
      <c r="B90" s="10" t="s">
        <v>90</v>
      </c>
      <c r="C90" s="10" t="s">
        <v>91</v>
      </c>
      <c r="D90" s="13" t="n">
        <v>63334</v>
      </c>
      <c r="E90" s="13" t="n">
        <v>101168</v>
      </c>
      <c r="F90" s="11" t="n">
        <f>SUM(D90+E90)/2</f>
        <v>82251</v>
      </c>
      <c r="G90" s="12" t="n">
        <v>14995</v>
      </c>
      <c r="H90" s="12" t="n">
        <v>22420</v>
      </c>
      <c r="I90" s="11" t="n">
        <f>SUM(G90+H90)/2</f>
        <v>18707.5</v>
      </c>
      <c r="J90" s="16" t="n">
        <f>IF(F90=0,I90*2,F90/$N$603+I90)</f>
        <v>33483.0547561324</v>
      </c>
      <c r="K90" s="18" t="n">
        <f>ROW(K90)-1</f>
        <v>89</v>
      </c>
      <c r="L90" s="18" t="e">
        <f t="array" ref="L90">INDEX(TOP3277!#REF!,MATCH(C90,TOP3277!$B$501:$B$3035,0))</f>
        <v>#N/A</v>
      </c>
    </row>
    <row r="91" ht="14.399999999999999" customHeight="1">
      <c r="A91" s="14" t="n">
        <v>2067</v>
      </c>
      <c r="B91" s="10" t="s">
        <v>3701</v>
      </c>
      <c r="C91" s="10" t="s">
        <v>3702</v>
      </c>
      <c r="D91" s="10" t="n">
        <f t="array" ref="D91">INDEX('原始数据'!C$2:C$3689,MATCH($C91,'原始数据'!$B$2:$B$3689,0))</f>
        <v>19877</v>
      </c>
      <c r="E91" s="10" t="n">
        <f t="array" ref="E91">INDEX('原始数据'!D$2:D$3689,MATCH($C91,'原始数据'!$B$2:$B$3689,0))</f>
        <v>31751</v>
      </c>
      <c r="F91" s="11" t="n">
        <f t="array" ref="F91">INDEX('原始数据'!E$2:E$3689,MATCH($C91,'原始数据'!$B$2:$B$3689,0))</f>
        <v>25814</v>
      </c>
      <c r="G91" s="10" t="n">
        <f t="array" ref="G91">INDEX('原始数据'!F$2:F$3689,MATCH($C91,'原始数据'!$B$2:$B$3689,0))</f>
        <v>25754</v>
      </c>
      <c r="H91" s="10" t="n">
        <f t="array" ref="H91">INDEX('原始数据'!G$2:G$3689,MATCH($C91,'原始数据'!$B$2:$B$3689,0))</f>
        <v>31512</v>
      </c>
      <c r="I91" s="11" t="n">
        <f t="array" ref="I91">INDEX('原始数据'!H$2:H$3689,MATCH($C91,'原始数据'!$B$2:$B$3689,0))</f>
        <v>28633</v>
      </c>
      <c r="J91" s="16" t="n">
        <f>IF(F91=0,I91*2,F91/$N$603+I91)</f>
        <v>33270.2222887843</v>
      </c>
      <c r="K91" s="18" t="n">
        <f>ROW(K91)-1</f>
        <v>90</v>
      </c>
      <c r="L91" s="18" t="n">
        <f t="array" ref="L91">INDEX(TOP3277!#REF!,MATCH(C91,TOP3277!$B$501:$B$3035,0))</f>
        <v>783</v>
      </c>
    </row>
    <row r="92" ht="14.399999999999999" customHeight="1">
      <c r="A92" s="14" t="n">
        <v>1151</v>
      </c>
      <c r="B92" s="10" t="s">
        <v>3671</v>
      </c>
      <c r="C92" s="10" t="s">
        <v>3672</v>
      </c>
      <c r="D92" s="10" t="n">
        <f t="array" ref="D92">INDEX('原始数据'!C$2:C$3689,MATCH($C92,'原始数据'!$B$2:$B$3689,0))</f>
        <v>55526</v>
      </c>
      <c r="E92" s="10" t="n">
        <f t="array" ref="E92">INDEX('原始数据'!D$2:D$3689,MATCH($C92,'原始数据'!$B$2:$B$3689,0))</f>
        <v>88694</v>
      </c>
      <c r="F92" s="11" t="n">
        <f t="array" ref="F92">INDEX('原始数据'!E$2:E$3689,MATCH($C92,'原始数据'!$B$2:$B$3689,0))</f>
        <v>72110</v>
      </c>
      <c r="G92" s="10" t="n">
        <f t="array" ref="G92">INDEX('原始数据'!F$2:F$3689,MATCH($C92,'原始数据'!$B$2:$B$3689,0))</f>
        <v>16443</v>
      </c>
      <c r="H92" s="10" t="n">
        <f t="array" ref="H92">INDEX('原始数据'!G$2:G$3689,MATCH($C92,'原始数据'!$B$2:$B$3689,0))</f>
        <v>23635</v>
      </c>
      <c r="I92" s="11" t="n">
        <f t="array" ref="I92">INDEX('原始数据'!H$2:H$3689,MATCH($C92,'原始数据'!$B$2:$B$3689,0))</f>
        <v>20039</v>
      </c>
      <c r="J92" s="16" t="n">
        <f>IF(F92=0,I92*2,F92/$N$603+I92)</f>
        <v>32992.827351214</v>
      </c>
      <c r="K92" s="18" t="n">
        <f>ROW(K92)-1</f>
        <v>91</v>
      </c>
      <c r="L92" s="18" t="n">
        <f t="array" ref="L92">INDEX(TOP3277!#REF!,MATCH(C92,TOP3277!$B$501:$B$3035,0))</f>
        <v>768</v>
      </c>
    </row>
    <row r="93" ht="14.399999999999999" customHeight="1">
      <c r="A93" s="14" t="n">
        <v>1618</v>
      </c>
      <c r="B93" s="10" t="s">
        <v>3653</v>
      </c>
      <c r="C93" s="10" t="s">
        <v>3654</v>
      </c>
      <c r="D93" s="10" t="n">
        <f t="array" ref="D93">INDEX('原始数据'!C$2:C$3689,MATCH($C93,'原始数据'!$B$2:$B$3689,0))</f>
        <v>70933</v>
      </c>
      <c r="E93" s="10" t="n">
        <f t="array" ref="E93">INDEX('原始数据'!D$2:D$3689,MATCH($C93,'原始数据'!$B$2:$B$3689,0))</f>
        <v>113307</v>
      </c>
      <c r="F93" s="11" t="n">
        <f t="array" ref="F93">INDEX('原始数据'!E$2:E$3689,MATCH($C93,'原始数据'!$B$2:$B$3689,0))</f>
        <v>92120</v>
      </c>
      <c r="G93" s="10" t="n">
        <f t="array" ref="G93">INDEX('原始数据'!F$2:F$3689,MATCH($C93,'原始数据'!$B$2:$B$3689,0))</f>
        <v>14393</v>
      </c>
      <c r="H93" s="10" t="n">
        <f t="array" ref="H93">INDEX('原始数据'!G$2:G$3689,MATCH($C93,'原始数据'!$B$2:$B$3689,0))</f>
        <v>17760</v>
      </c>
      <c r="I93" s="11" t="n">
        <f t="array" ref="I93">INDEX('原始数据'!H$2:H$3689,MATCH($C93,'原始数据'!$B$2:$B$3689,0))</f>
        <v>16076.5</v>
      </c>
      <c r="J93" s="16" t="n">
        <f>IF(F93=0,I93*2,F93/$N$603+I93)</f>
        <v>32624.9201302709</v>
      </c>
      <c r="K93" s="18" t="n">
        <f>ROW(K93)-1</f>
        <v>92</v>
      </c>
      <c r="L93" s="18" t="n">
        <f t="array" ref="L93">INDEX(TOP3277!#REF!,MATCH(C93,TOP3277!$B$501:$B$3035,0))</f>
        <v>759</v>
      </c>
    </row>
    <row r="94" ht="14.399999999999999" customHeight="1">
      <c r="A94" s="10" t="n">
        <v>272</v>
      </c>
      <c r="B94" s="10" t="s">
        <v>226</v>
      </c>
      <c r="C94" s="10" t="s">
        <v>227</v>
      </c>
      <c r="D94" s="10"/>
      <c r="E94" s="10"/>
      <c r="F94" s="11" t="n">
        <f>SUM(D94+E94)/2</f>
        <v>0</v>
      </c>
      <c r="G94" s="12" t="n">
        <v>13983</v>
      </c>
      <c r="H94" s="12" t="n">
        <v>17768</v>
      </c>
      <c r="I94" s="11" t="n">
        <f>SUM(G94+H94)/2</f>
        <v>15875.5</v>
      </c>
      <c r="J94" s="16" t="n">
        <f>IF(F94=0,I94*2,F94/$N$603+I94)</f>
        <v>31751</v>
      </c>
      <c r="K94" s="18" t="n">
        <f>ROW(K94)-1</f>
        <v>93</v>
      </c>
      <c r="L94" s="18" t="e">
        <f t="array" ref="L94">INDEX(TOP3277!#REF!,MATCH(C94,TOP3277!$B$501:$B$3035,0))</f>
        <v>#N/A</v>
      </c>
    </row>
    <row r="95" ht="14.399999999999999" customHeight="1">
      <c r="A95" s="14" t="n">
        <v>1480</v>
      </c>
      <c r="B95" s="10" t="s">
        <v>3733</v>
      </c>
      <c r="C95" s="10" t="s">
        <v>3734</v>
      </c>
      <c r="D95" s="10" t="n">
        <f t="array" ref="D95">INDEX('原始数据'!C$2:C$3689,MATCH($C95,'原始数据'!$B$2:$B$3689,0))</f>
        <v>39928</v>
      </c>
      <c r="E95" s="10" t="n">
        <f t="array" ref="E95">INDEX('原始数据'!D$2:D$3689,MATCH($C95,'原始数据'!$B$2:$B$3689,0))</f>
        <v>63782</v>
      </c>
      <c r="F95" s="11" t="n">
        <f t="array" ref="F95">INDEX('原始数据'!E$2:E$3689,MATCH($C95,'原始数据'!$B$2:$B$3689,0))</f>
        <v>51855</v>
      </c>
      <c r="G95" s="10" t="n">
        <f t="array" ref="G95">INDEX('原始数据'!F$2:F$3689,MATCH($C95,'原始数据'!$B$2:$B$3689,0))</f>
        <v>17832</v>
      </c>
      <c r="H95" s="10" t="n">
        <f t="array" ref="H95">INDEX('原始数据'!G$2:G$3689,MATCH($C95,'原始数据'!$B$2:$B$3689,0))</f>
        <v>25100</v>
      </c>
      <c r="I95" s="11" t="n">
        <f t="array" ref="I95">INDEX('原始数据'!H$2:H$3689,MATCH($C95,'原始数据'!$B$2:$B$3689,0))</f>
        <v>21466</v>
      </c>
      <c r="J95" s="16" t="n">
        <f>IF(F95=0,I95*2,F95/$N$603+I95)</f>
        <v>30781.2228164915</v>
      </c>
      <c r="K95" s="18" t="n">
        <f>ROW(K95)-1</f>
        <v>94</v>
      </c>
      <c r="L95" s="18" t="n">
        <f t="array" ref="L95">INDEX(TOP3277!#REF!,MATCH(C95,TOP3277!$B$501:$B$3035,0))</f>
        <v>799</v>
      </c>
    </row>
    <row r="96" ht="14.399999999999999" customHeight="1">
      <c r="A96" s="14" t="n">
        <v>1280</v>
      </c>
      <c r="B96" s="10" t="s">
        <v>7348</v>
      </c>
      <c r="C96" s="10" t="s">
        <v>3760</v>
      </c>
      <c r="D96" s="10" t="n">
        <f t="array" ref="D96">INDEX('原始数据'!C$2:C$3689,MATCH($C96,'原始数据'!$B$2:$B$3689,0))</f>
        <v>37949</v>
      </c>
      <c r="E96" s="10" t="n">
        <f t="array" ref="E96">INDEX('原始数据'!D$2:D$3689,MATCH($C96,'原始数据'!$B$2:$B$3689,0))</f>
        <v>60619</v>
      </c>
      <c r="F96" s="11" t="n">
        <f t="array" ref="F96">INDEX('原始数据'!E$2:E$3689,MATCH($C96,'原始数据'!$B$2:$B$3689,0))</f>
        <v>49284</v>
      </c>
      <c r="G96" s="10" t="n">
        <f t="array" ref="G96">INDEX('原始数据'!F$2:F$3689,MATCH($C96,'原始数据'!$B$2:$B$3689,0))</f>
        <v>17328</v>
      </c>
      <c r="H96" s="10" t="n">
        <f t="array" ref="H96">INDEX('原始数据'!G$2:G$3689,MATCH($C96,'原始数据'!$B$2:$B$3689,0))</f>
        <v>25059</v>
      </c>
      <c r="I96" s="11" t="n">
        <f t="array" ref="I96">INDEX('原始数据'!H$2:H$3689,MATCH($C96,'原始数据'!$B$2:$B$3689,0))</f>
        <v>21193.5</v>
      </c>
      <c r="J96" s="16" t="n">
        <f>IF(F96=0,I96*2,F96/$N$603+I96)</f>
        <v>30046.8688417311</v>
      </c>
      <c r="K96" s="18" t="n">
        <f>ROW(K96)-1</f>
        <v>95</v>
      </c>
      <c r="L96" s="18" t="n">
        <f t="array" ref="L96">INDEX(TOP3277!#REF!,MATCH(C96,TOP3277!$B$501:$B$3035,0))</f>
        <v>813</v>
      </c>
    </row>
    <row r="97" ht="14.399999999999999" customHeight="1">
      <c r="A97" s="14" t="n">
        <v>1437</v>
      </c>
      <c r="B97" s="10" t="s">
        <v>92</v>
      </c>
      <c r="C97" s="10" t="s">
        <v>93</v>
      </c>
      <c r="D97" s="10" t="n">
        <f t="array" ref="D97">INDEX('原始数据'!C$2:C$3689,MATCH($C97,'原始数据'!$B$2:$B$3689,0))</f>
        <v>55614</v>
      </c>
      <c r="E97" s="10" t="n">
        <f t="array" ref="E97">INDEX('原始数据'!D$2:D$3689,MATCH($C97,'原始数据'!$B$2:$B$3689,0))</f>
        <v>88839</v>
      </c>
      <c r="F97" s="11" t="n">
        <f t="array" ref="F97">INDEX('原始数据'!E$2:E$3689,MATCH($C97,'原始数据'!$B$2:$B$3689,0))</f>
        <v>72226.5</v>
      </c>
      <c r="G97" s="10" t="n">
        <f t="array" ref="G97">INDEX('原始数据'!F$2:F$3689,MATCH($C97,'原始数据'!$B$2:$B$3689,0))</f>
        <v>15236</v>
      </c>
      <c r="H97" s="10" t="n">
        <f t="array" ref="H97">INDEX('原始数据'!G$2:G$3689,MATCH($C97,'原始数据'!$B$2:$B$3689,0))</f>
        <v>18537</v>
      </c>
      <c r="I97" s="11" t="n">
        <f t="array" ref="I97">INDEX('原始数据'!H$2:H$3689,MATCH($C97,'原始数据'!$B$2:$B$3689,0))</f>
        <v>16886.5</v>
      </c>
      <c r="J97" s="16" t="n">
        <f>IF(F97=0,I97*2,F97/$N$603+I97)</f>
        <v>29861.2553901326</v>
      </c>
      <c r="K97" s="18" t="n">
        <f>ROW(K97)-1</f>
        <v>96</v>
      </c>
      <c r="L97" s="18" t="n">
        <f t="array" ref="L97">INDEX(TOP3277!#REF!,MATCH(C97,TOP3277!$B$501:$B$3035,0))</f>
        <v>806</v>
      </c>
    </row>
    <row r="98" ht="14.399999999999999" customHeight="1">
      <c r="A98" s="14" t="n">
        <v>809</v>
      </c>
      <c r="B98" s="10" t="s">
        <v>94</v>
      </c>
      <c r="C98" s="10" t="s">
        <v>95</v>
      </c>
      <c r="D98" s="10" t="n">
        <f t="array" ref="D98">INDEX('原始数据'!C$2:C$3689,MATCH($C98,'原始数据'!$B$2:$B$3689,0))</f>
        <v>3221</v>
      </c>
      <c r="E98" s="10" t="n">
        <f t="array" ref="E98">INDEX('原始数据'!D$2:D$3689,MATCH($C98,'原始数据'!$B$2:$B$3689,0))</f>
        <v>5143</v>
      </c>
      <c r="F98" s="11" t="n">
        <f t="array" ref="F98">INDEX('原始数据'!E$2:E$3689,MATCH($C98,'原始数据'!$B$2:$B$3689,0))</f>
        <v>4182</v>
      </c>
      <c r="G98" s="10" t="n">
        <f t="array" ref="G98">INDEX('原始数据'!F$2:F$3689,MATCH($C98,'原始数据'!$B$2:$B$3689,0))</f>
        <v>22876</v>
      </c>
      <c r="H98" s="10" t="n">
        <f t="array" ref="H98">INDEX('原始数据'!G$2:G$3689,MATCH($C98,'原始数据'!$B$2:$B$3689,0))</f>
        <v>35140</v>
      </c>
      <c r="I98" s="11" t="n">
        <f t="array" ref="I98">INDEX('原始数据'!H$2:H$3689,MATCH($C98,'原始数据'!$B$2:$B$3689,0))</f>
        <v>29008</v>
      </c>
      <c r="J98" s="16" t="n">
        <f>IF(F98=0,I98*2,F98/$N$603+I98)</f>
        <v>29759.2537232392</v>
      </c>
      <c r="K98" s="18" t="n">
        <f>ROW(K98)-1</f>
        <v>97</v>
      </c>
      <c r="L98" s="18" t="n">
        <f t="array" ref="L98">INDEX(TOP3277!#REF!,MATCH(C98,TOP3277!$B$501:$B$3035,0))</f>
        <v>839</v>
      </c>
    </row>
    <row r="99" ht="14.399999999999999" customHeight="1">
      <c r="A99" s="14" t="n">
        <v>1032</v>
      </c>
      <c r="B99" s="10" t="s">
        <v>4053</v>
      </c>
      <c r="C99" s="10" t="s">
        <v>4054</v>
      </c>
      <c r="D99" s="13" t="n">
        <v>30328</v>
      </c>
      <c r="E99" s="13" t="n">
        <v>48448</v>
      </c>
      <c r="F99" s="11" t="n">
        <f>SUM(D99+E99)/2</f>
        <v>39388</v>
      </c>
      <c r="G99" s="12" t="n">
        <v>18735</v>
      </c>
      <c r="H99" s="12" t="n">
        <v>25146</v>
      </c>
      <c r="I99" s="11" t="n">
        <f>SUM(G99+H99)/2</f>
        <v>21940.5</v>
      </c>
      <c r="J99" s="16" t="n">
        <f>IF(F99=0,I99*2,F99/$N$603+I99)</f>
        <v>29016.1531924784</v>
      </c>
      <c r="K99" s="18" t="n">
        <f>ROW(K99)-1</f>
        <v>98</v>
      </c>
      <c r="L99" s="18" t="n">
        <f t="array" ref="L99">INDEX(TOP3277!#REF!,MATCH(C99,TOP3277!$B$501:$B$3035,0))</f>
        <v>966</v>
      </c>
    </row>
    <row r="100" ht="14.399999999999999" customHeight="1">
      <c r="A100" s="14" t="n">
        <v>1221</v>
      </c>
      <c r="B100" s="10" t="s">
        <v>3773</v>
      </c>
      <c r="C100" s="10" t="s">
        <v>3774</v>
      </c>
      <c r="D100" s="10" t="n">
        <f t="array" ref="D100">INDEX('原始数据'!C$2:C$3689,MATCH($C100,'原始数据'!$B$2:$B$3689,0))</f>
        <v>72858</v>
      </c>
      <c r="E100" s="10" t="n">
        <f t="array" ref="E100">INDEX('原始数据'!D$2:D$3689,MATCH($C100,'原始数据'!$B$2:$B$3689,0))</f>
        <v>116384</v>
      </c>
      <c r="F100" s="11" t="n">
        <f t="array" ref="F100">INDEX('原始数据'!E$2:E$3689,MATCH($C100,'原始数据'!$B$2:$B$3689,0))</f>
        <v>94621</v>
      </c>
      <c r="G100" s="10" t="n">
        <f t="array" ref="G100">INDEX('原始数据'!F$2:F$3689,MATCH($C100,'原始数据'!$B$2:$B$3689,0))</f>
        <v>9167</v>
      </c>
      <c r="H100" s="10" t="n">
        <f t="array" ref="H100">INDEX('原始数据'!G$2:G$3689,MATCH($C100,'原始数据'!$B$2:$B$3689,0))</f>
        <v>12951</v>
      </c>
      <c r="I100" s="11" t="n">
        <f t="array" ref="I100">INDEX('原始数据'!H$2:H$3689,MATCH($C100,'原始数据'!$B$2:$B$3689,0))</f>
        <v>11059</v>
      </c>
      <c r="J100" s="16" t="n">
        <f>IF(F100=0,I100*2,F100/$N$603+I100)</f>
        <v>28056.6993176983</v>
      </c>
      <c r="K100" s="18" t="n">
        <f>ROW(K100)-1</f>
        <v>99</v>
      </c>
      <c r="L100" s="18" t="n">
        <f t="array" ref="L100">INDEX(TOP3277!#REF!,MATCH(C100,TOP3277!$B$501:$B$3035,0))</f>
        <v>820</v>
      </c>
    </row>
    <row r="101" ht="14.399999999999999" customHeight="1">
      <c r="A101" s="14" t="n">
        <v>2804</v>
      </c>
      <c r="B101" s="10" t="s">
        <v>6541</v>
      </c>
      <c r="C101" s="10" t="s">
        <v>6542</v>
      </c>
      <c r="D101" s="10" t="n">
        <f t="array" ref="D101">INDEX('原始数据'!C$2:C$3689,MATCH($C101,'原始数据'!$B$2:$B$3689,0))</f>
        <v>76007</v>
      </c>
      <c r="E101" s="10" t="n">
        <f t="array" ref="E101">INDEX('原始数据'!D$2:D$3689,MATCH($C101,'原始数据'!$B$2:$B$3689,0))</f>
        <v>121413</v>
      </c>
      <c r="F101" s="11" t="n">
        <f t="array" ref="F101">INDEX('原始数据'!E$2:E$3689,MATCH($C101,'原始数据'!$B$2:$B$3689,0))</f>
        <v>98710</v>
      </c>
      <c r="G101" s="10" t="n">
        <f t="array" ref="G101">INDEX('原始数据'!F$2:F$3689,MATCH($C101,'原始数据'!$B$2:$B$3689,0))</f>
        <v>7835</v>
      </c>
      <c r="H101" s="10" t="n">
        <f t="array" ref="H101">INDEX('原始数据'!G$2:G$3689,MATCH($C101,'原始数据'!$B$2:$B$3689,0))</f>
        <v>11895</v>
      </c>
      <c r="I101" s="11" t="n">
        <f t="array" ref="I101">INDEX('原始数据'!H$2:H$3689,MATCH($C101,'原始数据'!$B$2:$B$3689,0))</f>
        <v>9865</v>
      </c>
      <c r="J101" s="16" t="n">
        <f>IF(F101=0,I101*2,F101/$N$603+I101)</f>
        <v>27597.2465377664</v>
      </c>
      <c r="K101" s="18" t="n">
        <f>ROW(K101)-1</f>
        <v>100</v>
      </c>
      <c r="L101" s="18" t="e">
        <f t="array" ref="L101">INDEX(TOP3277!#REF!,MATCH(C101,TOP3277!$B$501:$B$3035,0))</f>
        <v>#N/A</v>
      </c>
    </row>
    <row r="102" ht="14.399999999999999" customHeight="1">
      <c r="A102" s="14" t="n">
        <v>1614</v>
      </c>
      <c r="B102" s="10" t="s">
        <v>3793</v>
      </c>
      <c r="C102" s="10" t="s">
        <v>3794</v>
      </c>
      <c r="D102" s="10" t="n">
        <f t="array" ref="D102">INDEX('原始数据'!C$2:C$3689,MATCH($C102,'原始数据'!$B$2:$B$3689,0))</f>
        <v>67183</v>
      </c>
      <c r="E102" s="10" t="n">
        <f t="array" ref="E102">INDEX('原始数据'!D$2:D$3689,MATCH($C102,'原始数据'!$B$2:$B$3689,0))</f>
        <v>107319</v>
      </c>
      <c r="F102" s="11" t="n">
        <f t="array" ref="F102">INDEX('原始数据'!E$2:E$3689,MATCH($C102,'原始数据'!$B$2:$B$3689,0))</f>
        <v>87251</v>
      </c>
      <c r="G102" s="10" t="n">
        <f t="array" ref="G102">INDEX('原始数据'!F$2:F$3689,MATCH($C102,'原始数据'!$B$2:$B$3689,0))</f>
        <v>9167</v>
      </c>
      <c r="H102" s="10" t="n">
        <f t="array" ref="H102">INDEX('原始数据'!G$2:G$3689,MATCH($C102,'原始数据'!$B$2:$B$3689,0))</f>
        <v>14162</v>
      </c>
      <c r="I102" s="11" t="n">
        <f t="array" ref="I102">INDEX('原始数据'!H$2:H$3689,MATCH($C102,'原始数据'!$B$2:$B$3689,0))</f>
        <v>11664.5</v>
      </c>
      <c r="J102" s="16" t="n">
        <f>IF(F102=0,I102*2,F102/$N$603+I102)</f>
        <v>27338.253851349</v>
      </c>
      <c r="K102" s="18" t="n">
        <f>ROW(K102)-1</f>
        <v>101</v>
      </c>
      <c r="L102" s="18" t="n">
        <f t="array" ref="L102">INDEX(TOP3277!#REF!,MATCH(C102,TOP3277!$B$501:$B$3035,0))</f>
        <v>830</v>
      </c>
    </row>
    <row r="103" ht="14.399999999999999" customHeight="1">
      <c r="A103" s="14" t="n">
        <v>2708</v>
      </c>
      <c r="B103" s="10" t="s">
        <v>3809</v>
      </c>
      <c r="C103" s="10" t="s">
        <v>3810</v>
      </c>
      <c r="D103" s="10" t="n">
        <f t="array" ref="D103">INDEX('原始数据'!C$2:C$3689,MATCH($C103,'原始数据'!$B$2:$B$3689,0))</f>
        <v>62084</v>
      </c>
      <c r="E103" s="10" t="n">
        <f t="array" ref="E103">INDEX('原始数据'!D$2:D$3689,MATCH($C103,'原始数据'!$B$2:$B$3689,0))</f>
        <v>99172</v>
      </c>
      <c r="F103" s="11" t="n">
        <f t="array" ref="F103">INDEX('原始数据'!E$2:E$3689,MATCH($C103,'原始数据'!$B$2:$B$3689,0))</f>
        <v>80628</v>
      </c>
      <c r="G103" s="10" t="n">
        <f t="array" ref="G103">INDEX('原始数据'!F$2:F$3689,MATCH($C103,'原始数据'!$B$2:$B$3689,0))</f>
        <v>10526</v>
      </c>
      <c r="H103" s="10" t="n">
        <f t="array" ref="H103">INDEX('原始数据'!G$2:G$3689,MATCH($C103,'原始数据'!$B$2:$B$3689,0))</f>
        <v>14953</v>
      </c>
      <c r="I103" s="11" t="n">
        <f t="array" ref="I103">INDEX('原始数据'!H$2:H$3689,MATCH($C103,'原始数据'!$B$2:$B$3689,0))</f>
        <v>12739.5</v>
      </c>
      <c r="J103" s="16" t="n">
        <f>IF(F103=0,I103*2,F103/$N$603+I103)</f>
        <v>27223.4993298251</v>
      </c>
      <c r="K103" s="18" t="n">
        <f>ROW(K103)-1</f>
        <v>102</v>
      </c>
      <c r="L103" s="18" t="n">
        <f t="array" ref="L103">INDEX(TOP3277!#REF!,MATCH(C103,TOP3277!$B$501:$B$3035,0))</f>
        <v>838</v>
      </c>
    </row>
    <row r="104" ht="14.399999999999999" customHeight="1">
      <c r="A104" s="14" t="n">
        <v>1642</v>
      </c>
      <c r="B104" s="10" t="s">
        <v>3893</v>
      </c>
      <c r="C104" s="10" t="s">
        <v>3894</v>
      </c>
      <c r="D104" s="13" t="n">
        <v>57452</v>
      </c>
      <c r="E104" s="13" t="n">
        <v>91776</v>
      </c>
      <c r="F104" s="11" t="n">
        <f>SUM(D104+E104)/2</f>
        <v>74614</v>
      </c>
      <c r="G104" s="12" t="n">
        <v>11274</v>
      </c>
      <c r="H104" s="12" t="n">
        <v>15856</v>
      </c>
      <c r="I104" s="11" t="n">
        <f>SUM(G104+H104)/2</f>
        <v>13565</v>
      </c>
      <c r="J104" s="16" t="n">
        <f>IF(F104=0,I104*2,F104/$N$603+I104)</f>
        <v>26968.6454580985</v>
      </c>
      <c r="K104" s="18" t="n">
        <f>ROW(K104)-1</f>
        <v>103</v>
      </c>
      <c r="L104" s="18" t="n">
        <f t="array" ref="L104">INDEX(TOP3277!#REF!,MATCH(C104,TOP3277!$B$501:$B$3035,0))</f>
        <v>883</v>
      </c>
    </row>
    <row r="105" ht="14.399999999999999" customHeight="1">
      <c r="A105" s="14" t="n">
        <v>1105</v>
      </c>
      <c r="B105" s="10" t="s">
        <v>3875</v>
      </c>
      <c r="C105" s="10" t="s">
        <v>3876</v>
      </c>
      <c r="D105" s="10" t="n">
        <f t="array" ref="D105">INDEX('原始数据'!C$2:C$3689,MATCH($C105,'原始数据'!$B$2:$B$3689,0))</f>
        <v>28941</v>
      </c>
      <c r="E105" s="10" t="n">
        <f t="array" ref="E105">INDEX('原始数据'!D$2:D$3689,MATCH($C105,'原始数据'!$B$2:$B$3689,0))</f>
        <v>46231</v>
      </c>
      <c r="F105" s="11" t="n">
        <f t="array" ref="F105">INDEX('原始数据'!E$2:E$3689,MATCH($C105,'原始数据'!$B$2:$B$3689,0))</f>
        <v>37586</v>
      </c>
      <c r="G105" s="10" t="n">
        <f t="array" ref="G105">INDEX('原始数据'!F$2:F$3689,MATCH($C105,'原始数据'!$B$2:$B$3689,0))</f>
        <v>16417</v>
      </c>
      <c r="H105" s="10" t="n">
        <f t="array" ref="H105">INDEX('原始数据'!G$2:G$3689,MATCH($C105,'原始数据'!$B$2:$B$3689,0))</f>
        <v>23016</v>
      </c>
      <c r="I105" s="11" t="n">
        <f t="array" ref="I105">INDEX('原始数据'!H$2:H$3689,MATCH($C105,'原始数据'!$B$2:$B$3689,0))</f>
        <v>19716.5</v>
      </c>
      <c r="J105" s="16" t="n">
        <f>IF(F105=0,I105*2,F105/$N$603+I105)</f>
        <v>26468.4422385623</v>
      </c>
      <c r="K105" s="18" t="n">
        <f>ROW(K105)-1</f>
        <v>104</v>
      </c>
      <c r="L105" s="18" t="n">
        <f t="array" ref="L105">INDEX(TOP3277!#REF!,MATCH(C105,TOP3277!$B$501:$B$3035,0))</f>
        <v>874</v>
      </c>
    </row>
    <row r="106" ht="14.399999999999999" customHeight="1">
      <c r="A106" s="10" t="n">
        <v>278</v>
      </c>
      <c r="B106" s="10" t="s">
        <v>96</v>
      </c>
      <c r="C106" s="10" t="s">
        <v>97</v>
      </c>
      <c r="D106" s="10" t="n">
        <f t="array" ref="D106">INDEX('原始数据'!C$2:C$3689,MATCH($C106,'原始数据'!$B$2:$B$3689,0))</f>
        <v>61611</v>
      </c>
      <c r="E106" s="10" t="n">
        <f t="array" ref="E106">INDEX('原始数据'!D$2:D$3689,MATCH($C106,'原始数据'!$B$2:$B$3689,0))</f>
        <v>98417</v>
      </c>
      <c r="F106" s="11" t="n">
        <f t="array" ref="F106">INDEX('原始数据'!E$2:E$3689,MATCH($C106,'原始数据'!$B$2:$B$3689,0))</f>
        <v>80014</v>
      </c>
      <c r="G106" s="10" t="n">
        <f t="array" ref="G106">INDEX('原始数据'!F$2:F$3689,MATCH($C106,'原始数据'!$B$2:$B$3689,0))</f>
        <v>10211</v>
      </c>
      <c r="H106" s="10" t="n">
        <f t="array" ref="H106">INDEX('原始数据'!G$2:G$3689,MATCH($C106,'原始数据'!$B$2:$B$3689,0))</f>
        <v>13285</v>
      </c>
      <c r="I106" s="11" t="n">
        <f t="array" ref="I106">INDEX('原始数据'!H$2:H$3689,MATCH($C106,'原始数据'!$B$2:$B$3689,0))</f>
        <v>11748</v>
      </c>
      <c r="J106" s="16" t="n">
        <f>IF(F106=0,I106*2,F106/$N$603+I106)</f>
        <v>26121.7004809325</v>
      </c>
      <c r="K106" s="18" t="n">
        <f>ROW(K106)-1</f>
        <v>105</v>
      </c>
      <c r="L106" s="18" t="n">
        <f t="array" ref="L106">INDEX(TOP3277!#REF!,MATCH(C106,TOP3277!$B$501:$B$3035,0))</f>
        <v>854</v>
      </c>
    </row>
    <row r="107" ht="14.399999999999999" customHeight="1">
      <c r="A107" s="14" t="n">
        <v>2174</v>
      </c>
      <c r="B107" s="10" t="s">
        <v>1007</v>
      </c>
      <c r="C107" s="10" t="s">
        <v>1008</v>
      </c>
      <c r="D107" s="10" t="n">
        <f t="array" ref="D107">INDEX('原始数据'!C$2:C$3689,MATCH($C107,'原始数据'!$B$2:$B$3689,0))</f>
        <v>63735</v>
      </c>
      <c r="E107" s="10" t="n">
        <f t="array" ref="E107">INDEX('原始数据'!D$2:D$3689,MATCH($C107,'原始数据'!$B$2:$B$3689,0))</f>
        <v>101810</v>
      </c>
      <c r="F107" s="11" t="n">
        <f t="array" ref="F107">INDEX('原始数据'!E$2:E$3689,MATCH($C107,'原始数据'!$B$2:$B$3689,0))</f>
        <v>82772.5</v>
      </c>
      <c r="G107" s="10" t="n">
        <f t="array" ref="G107">INDEX('原始数据'!F$2:F$3689,MATCH($C107,'原始数据'!$B$2:$B$3689,0))</f>
        <v>6754</v>
      </c>
      <c r="H107" s="10" t="n">
        <f t="array" ref="H107">INDEX('原始数据'!G$2:G$3689,MATCH($C107,'原始数据'!$B$2:$B$3689,0))</f>
        <v>15402</v>
      </c>
      <c r="I107" s="11" t="n">
        <f t="array" ref="I107">INDEX('原始数据'!H$2:H$3689,MATCH($C107,'原始数据'!$B$2:$B$3689,0))</f>
        <v>11078</v>
      </c>
      <c r="J107" s="16" t="n">
        <f>IF(F107=0,I107*2,F107/$N$603+I107)</f>
        <v>25947.2369217635</v>
      </c>
      <c r="K107" s="18" t="n">
        <f>ROW(K107)-1</f>
        <v>106</v>
      </c>
      <c r="L107" s="18" t="n">
        <f t="array" ref="L107">INDEX(TOP3277!#REF!,MATCH(C107,TOP3277!$B$501:$B$3035,0))</f>
        <v>855</v>
      </c>
    </row>
    <row r="108" ht="14.399999999999999" customHeight="1">
      <c r="A108" s="14" t="n">
        <v>2433</v>
      </c>
      <c r="B108" s="10" t="s">
        <v>106</v>
      </c>
      <c r="C108" s="10" t="s">
        <v>107</v>
      </c>
      <c r="D108" s="10" t="n">
        <f t="array" ref="D108">INDEX('原始数据'!C$2:C$3689,MATCH($C108,'原始数据'!$B$2:$B$3689,0))</f>
        <v>43886</v>
      </c>
      <c r="E108" s="10" t="n">
        <f t="array" ref="E108">INDEX('原始数据'!D$2:D$3689,MATCH($C108,'原始数据'!$B$2:$B$3689,0))</f>
        <v>70108</v>
      </c>
      <c r="F108" s="11" t="n">
        <f t="array" ref="F108">INDEX('原始数据'!E$2:E$3689,MATCH($C108,'原始数据'!$B$2:$B$3689,0))</f>
        <v>56997</v>
      </c>
      <c r="G108" s="10" t="n">
        <f t="array" ref="G108">INDEX('原始数据'!F$2:F$3689,MATCH($C108,'原始数据'!$B$2:$B$3689,0))</f>
        <v>7696</v>
      </c>
      <c r="H108" s="10" t="n">
        <f t="array" ref="H108">INDEX('原始数据'!G$2:G$3689,MATCH($C108,'原始数据'!$B$2:$B$3689,0))</f>
        <v>21389</v>
      </c>
      <c r="I108" s="11" t="n">
        <f t="array" ref="I108">INDEX('原始数据'!H$2:H$3689,MATCH($C108,'原始数据'!$B$2:$B$3689,0))</f>
        <v>14542.5</v>
      </c>
      <c r="J108" s="16" t="n">
        <f>IF(F108=0,I108*2,F108/$N$603+I108)</f>
        <v>24781.4307660123</v>
      </c>
      <c r="K108" s="18" t="n">
        <f>ROW(K108)-1</f>
        <v>107</v>
      </c>
      <c r="L108" s="18" t="n">
        <f t="array" ref="L108">INDEX(TOP3277!#REF!,MATCH(C108,TOP3277!$B$501:$B$3035,0))</f>
        <v>893</v>
      </c>
    </row>
    <row r="109" ht="14.399999999999999" customHeight="1">
      <c r="A109" s="14" t="n">
        <v>2576</v>
      </c>
      <c r="B109" s="10" t="s">
        <v>6319</v>
      </c>
      <c r="C109" s="10" t="s">
        <v>6320</v>
      </c>
      <c r="D109" s="13" t="n">
        <v>23128</v>
      </c>
      <c r="E109" s="13" t="n">
        <v>36945</v>
      </c>
      <c r="F109" s="11" t="n">
        <f>SUM(D109+E109)/2</f>
        <v>30036.5</v>
      </c>
      <c r="G109" s="12" t="n">
        <v>15045</v>
      </c>
      <c r="H109" s="12" t="n">
        <v>22543</v>
      </c>
      <c r="I109" s="11" t="n">
        <f>SUM(G109+H109)/2</f>
        <v>18794</v>
      </c>
      <c r="J109" s="16" t="n">
        <f>IF(F109=0,I109*2,F109/$N$603+I109)</f>
        <v>24189.7514246948</v>
      </c>
      <c r="K109" s="18" t="n">
        <f>ROW(K109)-1</f>
        <v>108</v>
      </c>
      <c r="L109" s="18" t="e">
        <f t="array" ref="L109">INDEX(TOP3277!#REF!,MATCH(C109,TOP3277!$B$501:$B$3035,0))</f>
        <v>#N/A</v>
      </c>
    </row>
    <row r="110" ht="14.399999999999999" customHeight="1">
      <c r="A110" s="14" t="n">
        <v>2225</v>
      </c>
      <c r="B110" s="10" t="s">
        <v>98</v>
      </c>
      <c r="C110" s="10" t="s">
        <v>99</v>
      </c>
      <c r="D110" s="10" t="n">
        <f t="array" ref="D110">INDEX('原始数据'!C$2:C$3689,MATCH($C110,'原始数据'!$B$2:$B$3689,0))</f>
        <v>44424</v>
      </c>
      <c r="E110" s="10" t="n">
        <f t="array" ref="E110">INDEX('原始数据'!D$2:D$3689,MATCH($C110,'原始数据'!$B$2:$B$3689,0))</f>
        <v>70964</v>
      </c>
      <c r="F110" s="11" t="n">
        <f t="array" ref="F110">INDEX('原始数据'!E$2:E$3689,MATCH($C110,'原始数据'!$B$2:$B$3689,0))</f>
        <v>57694</v>
      </c>
      <c r="G110" s="10" t="n">
        <f t="array" ref="G110">INDEX('原始数据'!F$2:F$3689,MATCH($C110,'原始数据'!$B$2:$B$3689,0))</f>
        <v>12446</v>
      </c>
      <c r="H110" s="10" t="n">
        <f t="array" ref="H110">INDEX('原始数据'!G$2:G$3689,MATCH($C110,'原始数据'!$B$2:$B$3689,0))</f>
        <v>14325</v>
      </c>
      <c r="I110" s="11" t="n">
        <f t="array" ref="I110">INDEX('原始数据'!H$2:H$3689,MATCH($C110,'原始数据'!$B$2:$B$3689,0))</f>
        <v>13385.5</v>
      </c>
      <c r="J110" s="16" t="n">
        <f>IF(F110=0,I110*2,F110/$N$603+I110)</f>
        <v>23749.6397198855</v>
      </c>
      <c r="K110" s="18" t="n">
        <f>ROW(K110)-1</f>
        <v>109</v>
      </c>
      <c r="L110" s="18" t="n">
        <f t="array" ref="L110">INDEX(TOP3277!#REF!,MATCH(C110,TOP3277!$B$501:$B$3035,0))</f>
        <v>917</v>
      </c>
    </row>
    <row r="111" ht="14.399999999999999" customHeight="1">
      <c r="A111" s="14" t="n">
        <v>3635</v>
      </c>
      <c r="B111" s="10" t="s">
        <v>8180</v>
      </c>
      <c r="C111" s="10" t="s">
        <v>8181</v>
      </c>
      <c r="D111" s="13" t="n">
        <v>68622</v>
      </c>
      <c r="E111" s="13" t="n">
        <v>109620</v>
      </c>
      <c r="F111" s="11" t="n">
        <f>SUM(D111+E111)/2</f>
        <v>89121</v>
      </c>
      <c r="G111" s="12" t="n">
        <v>6540</v>
      </c>
      <c r="H111" s="12" t="n">
        <v>8607</v>
      </c>
      <c r="I111" s="11" t="n">
        <f>SUM(G111+H111)/2</f>
        <v>7573.5</v>
      </c>
      <c r="J111" s="16" t="n">
        <f>IF(F111=0,I111*2,F111/$N$603+I111)</f>
        <v>23583.18031296</v>
      </c>
      <c r="K111" s="18" t="n">
        <f>ROW(K111)-1</f>
        <v>110</v>
      </c>
      <c r="L111" s="18" t="e">
        <f t="array" ref="L111">INDEX(TOP3277!#REF!,MATCH(C111,TOP3277!$B$501:$B$3035,0))</f>
        <v>#N/A</v>
      </c>
    </row>
    <row r="112" ht="14.399999999999999" customHeight="1">
      <c r="A112" s="14" t="n">
        <v>1605</v>
      </c>
      <c r="B112" s="10" t="s">
        <v>218</v>
      </c>
      <c r="C112" s="10" t="s">
        <v>219</v>
      </c>
      <c r="D112" s="10" t="n">
        <f t="array" ref="D112">INDEX('原始数据'!C$2:C$3689,MATCH($C112,'原始数据'!$B$2:$B$3689,0))</f>
        <v>43648</v>
      </c>
      <c r="E112" s="10" t="n">
        <f t="array" ref="E112">INDEX('原始数据'!D$2:D$3689,MATCH($C112,'原始数据'!$B$2:$B$3689,0))</f>
        <v>69722</v>
      </c>
      <c r="F112" s="11" t="n">
        <f t="array" ref="F112">INDEX('原始数据'!E$2:E$3689,MATCH($C112,'原始数据'!$B$2:$B$3689,0))</f>
        <v>56685</v>
      </c>
      <c r="G112" s="10" t="n">
        <f t="array" ref="G112">INDEX('原始数据'!F$2:F$3689,MATCH($C112,'原始数据'!$B$2:$B$3689,0))</f>
        <v>7623</v>
      </c>
      <c r="H112" s="10" t="n">
        <f t="array" ref="H112">INDEX('原始数据'!G$2:G$3689,MATCH($C112,'原始数据'!$B$2:$B$3689,0))</f>
        <v>19067</v>
      </c>
      <c r="I112" s="11" t="n">
        <f t="array" ref="I112">INDEX('原始数据'!H$2:H$3689,MATCH($C112,'原始数据'!$B$2:$B$3689,0))</f>
        <v>13345</v>
      </c>
      <c r="J112" s="16" t="n">
        <f>IF(F112=0,I112*2,F112/$N$603+I112)</f>
        <v>23527.8831424708</v>
      </c>
      <c r="K112" s="18" t="n">
        <f>ROW(K112)-1</f>
        <v>111</v>
      </c>
      <c r="L112" s="18" t="n">
        <f t="array" ref="L112">INDEX(TOP3277!#REF!,MATCH(C112,TOP3277!$B$501:$B$3035,0))</f>
        <v>927</v>
      </c>
    </row>
    <row r="113" ht="14.399999999999999" customHeight="1">
      <c r="A113" s="14" t="n">
        <v>2035</v>
      </c>
      <c r="B113" s="10" t="s">
        <v>4017</v>
      </c>
      <c r="C113" s="10" t="s">
        <v>4018</v>
      </c>
      <c r="D113" s="10" t="n">
        <f t="array" ref="D113">INDEX('原始数据'!C$2:C$3689,MATCH($C113,'原始数据'!$B$2:$B$3689,0))</f>
        <v>25225</v>
      </c>
      <c r="E113" s="10" t="n">
        <f t="array" ref="E113">INDEX('原始数据'!D$2:D$3689,MATCH($C113,'原始数据'!$B$2:$B$3689,0))</f>
        <v>40293</v>
      </c>
      <c r="F113" s="11" t="n">
        <f t="array" ref="F113">INDEX('原始数据'!E$2:E$3689,MATCH($C113,'原始数据'!$B$2:$B$3689,0))</f>
        <v>32759</v>
      </c>
      <c r="G113" s="10" t="n">
        <f t="array" ref="G113">INDEX('原始数据'!F$2:F$3689,MATCH($C113,'原始数据'!$B$2:$B$3689,0))</f>
        <v>14113</v>
      </c>
      <c r="H113" s="10" t="n">
        <f t="array" ref="H113">INDEX('原始数据'!G$2:G$3689,MATCH($C113,'原始数据'!$B$2:$B$3689,0))</f>
        <v>20985</v>
      </c>
      <c r="I113" s="11" t="n">
        <f t="array" ref="I113">INDEX('原始数据'!H$2:H$3689,MATCH($C113,'原始数据'!$B$2:$B$3689,0))</f>
        <v>17549</v>
      </c>
      <c r="J113" s="16" t="n">
        <f>IF(F113=0,I113*2,F113/$N$603+I113)</f>
        <v>23433.8208320402</v>
      </c>
      <c r="K113" s="18" t="n">
        <f>ROW(K113)-1</f>
        <v>112</v>
      </c>
      <c r="L113" s="18" t="n">
        <f t="array" ref="L113">INDEX(TOP3277!#REF!,MATCH(C113,TOP3277!$B$501:$B$3035,0))</f>
        <v>948</v>
      </c>
    </row>
    <row r="114" ht="14.399999999999999" customHeight="1">
      <c r="A114" s="10" t="n">
        <v>336</v>
      </c>
      <c r="B114" s="10" t="s">
        <v>8113</v>
      </c>
      <c r="C114" s="10" t="s">
        <v>8114</v>
      </c>
      <c r="D114" s="10"/>
      <c r="E114" s="10"/>
      <c r="F114" s="11" t="n">
        <f>SUM(D114+E114)/2</f>
        <v>0</v>
      </c>
      <c r="G114" s="12" t="n">
        <v>9657</v>
      </c>
      <c r="H114" s="12" t="n">
        <v>13770</v>
      </c>
      <c r="I114" s="11" t="n">
        <f>SUM(G114+H114)/2</f>
        <v>11713.5</v>
      </c>
      <c r="J114" s="16" t="n">
        <f>IF(F114=0,I114*2,F114/$N$603+I114)</f>
        <v>23427</v>
      </c>
      <c r="K114" s="18" t="n">
        <f>ROW(K114)-1</f>
        <v>113</v>
      </c>
      <c r="L114" s="18" t="e">
        <f t="array" ref="L114">INDEX(TOP3277!#REF!,MATCH(C114,TOP3277!$B$501:$B$3035,0))</f>
        <v>#N/A</v>
      </c>
    </row>
    <row r="115" ht="14.399999999999999" customHeight="1">
      <c r="A115" s="14" t="n">
        <v>1145</v>
      </c>
      <c r="B115" s="10" t="s">
        <v>4051</v>
      </c>
      <c r="C115" s="10" t="s">
        <v>4052</v>
      </c>
      <c r="D115" s="10" t="n">
        <f t="array" ref="D115">INDEX('原始数据'!C$2:C$3689,MATCH($C115,'原始数据'!$B$2:$B$3689,0))</f>
        <v>21708</v>
      </c>
      <c r="E115" s="10" t="n">
        <f t="array" ref="E115">INDEX('原始数据'!D$2:D$3689,MATCH($C115,'原始数据'!$B$2:$B$3689,0))</f>
        <v>34676</v>
      </c>
      <c r="F115" s="11" t="n">
        <f t="array" ref="F115">INDEX('原始数据'!E$2:E$3689,MATCH($C115,'原始数据'!$B$2:$B$3689,0))</f>
        <v>28192</v>
      </c>
      <c r="G115" s="10" t="n">
        <f t="array" ref="G115">INDEX('原始数据'!F$2:F$3689,MATCH($C115,'原始数据'!$B$2:$B$3689,0))</f>
        <v>14721</v>
      </c>
      <c r="H115" s="10" t="n">
        <f t="array" ref="H115">INDEX('原始数据'!G$2:G$3689,MATCH($C115,'原始数据'!$B$2:$B$3689,0))</f>
        <v>20468</v>
      </c>
      <c r="I115" s="11" t="n">
        <f t="array" ref="I115">INDEX('原始数据'!H$2:H$3689,MATCH($C115,'原始数据'!$B$2:$B$3689,0))</f>
        <v>17594.5</v>
      </c>
      <c r="J115" s="16" t="n">
        <f>IF(F115=0,I115*2,F115/$N$603+I115)</f>
        <v>22658.9057784694</v>
      </c>
      <c r="K115" s="18" t="n">
        <f>ROW(K115)-1</f>
        <v>114</v>
      </c>
      <c r="L115" s="18" t="n">
        <f t="array" ref="L115">INDEX(TOP3277!#REF!,MATCH(C115,TOP3277!$B$501:$B$3035,0))</f>
        <v>965</v>
      </c>
    </row>
    <row r="116" ht="14.399999999999999" customHeight="1">
      <c r="A116" s="14" t="n">
        <v>1217</v>
      </c>
      <c r="B116" s="10" t="s">
        <v>4093</v>
      </c>
      <c r="C116" s="10" t="s">
        <v>4094</v>
      </c>
      <c r="D116" s="10" t="n">
        <f t="array" ref="D116">INDEX('原始数据'!C$2:C$3689,MATCH($C116,'原始数据'!$B$2:$B$3689,0))</f>
        <v>15721</v>
      </c>
      <c r="E116" s="10" t="n">
        <f t="array" ref="E116">INDEX('原始数据'!D$2:D$3689,MATCH($C116,'原始数据'!$B$2:$B$3689,0))</f>
        <v>25117</v>
      </c>
      <c r="F116" s="11" t="n">
        <f t="array" ref="F116">INDEX('原始数据'!E$2:E$3689,MATCH($C116,'原始数据'!$B$2:$B$3689,0))</f>
        <v>20419</v>
      </c>
      <c r="G116" s="10" t="n">
        <f t="array" ref="G116">INDEX('原始数据'!F$2:F$3689,MATCH($C116,'原始数据'!$B$2:$B$3689,0))</f>
        <v>14738</v>
      </c>
      <c r="H116" s="10" t="n">
        <f t="array" ref="H116">INDEX('原始数据'!G$2:G$3689,MATCH($C116,'原始数据'!$B$2:$B$3689,0))</f>
        <v>21515</v>
      </c>
      <c r="I116" s="11" t="n">
        <f t="array" ref="I116">INDEX('原始数据'!H$2:H$3689,MATCH($C116,'原始数据'!$B$2:$B$3689,0))</f>
        <v>18126.5</v>
      </c>
      <c r="J116" s="16" t="n">
        <f>IF(F116=0,I116*2,F116/$N$603+I116)</f>
        <v>21794.5654650456</v>
      </c>
      <c r="K116" s="18" t="n">
        <f>ROW(K116)-1</f>
        <v>115</v>
      </c>
      <c r="L116" s="18" t="n">
        <f t="array" ref="L116">INDEX(TOP3277!#REF!,MATCH(C116,TOP3277!$B$501:$B$3035,0))</f>
        <v>987</v>
      </c>
    </row>
    <row r="117" ht="14.399999999999999" customHeight="1">
      <c r="A117" s="14" t="n">
        <v>4082</v>
      </c>
      <c r="B117" s="10" t="s">
        <v>100</v>
      </c>
      <c r="C117" s="10" t="s">
        <v>101</v>
      </c>
      <c r="D117" s="10" t="n">
        <f t="array" ref="D117">INDEX('原始数据'!C$2:C$3689,MATCH($C117,'原始数据'!$B$2:$B$3689,0))</f>
        <v>64049</v>
      </c>
      <c r="E117" s="10" t="n">
        <f t="array" ref="E117">INDEX('原始数据'!D$2:D$3689,MATCH($C117,'原始数据'!$B$2:$B$3689,0))</f>
        <v>102311</v>
      </c>
      <c r="F117" s="11" t="n">
        <f t="array" ref="F117">INDEX('原始数据'!E$2:E$3689,MATCH($C117,'原始数据'!$B$2:$B$3689,0))</f>
        <v>83180</v>
      </c>
      <c r="G117" s="10" t="n">
        <f t="array" ref="G117">INDEX('原始数据'!F$2:F$3689,MATCH($C117,'原始数据'!$B$2:$B$3689,0))</f>
        <v>4402</v>
      </c>
      <c r="H117" s="10" t="n">
        <f t="array" ref="H117">INDEX('原始数据'!G$2:G$3689,MATCH($C117,'原始数据'!$B$2:$B$3689,0))</f>
        <v>7102</v>
      </c>
      <c r="I117" s="11" t="n">
        <f t="array" ref="I117">INDEX('原始数据'!H$2:H$3689,MATCH($C117,'原始数据'!$B$2:$B$3689,0))</f>
        <v>5752</v>
      </c>
      <c r="J117" s="16" t="n">
        <f>IF(F117=0,I117*2,F117/$N$603+I117)</f>
        <v>20694.4401480236</v>
      </c>
      <c r="K117" s="18" t="n">
        <f>ROW(K117)-1</f>
        <v>116</v>
      </c>
      <c r="L117" s="18" t="n">
        <f t="array" ref="L117">INDEX(TOP3277!#REF!,MATCH(C117,TOP3277!$B$501:$B$3035,0))</f>
        <v>967</v>
      </c>
    </row>
    <row r="118" ht="14.399999999999999" customHeight="1">
      <c r="A118" s="14" t="n">
        <v>1651</v>
      </c>
      <c r="B118" s="10" t="s">
        <v>3281</v>
      </c>
      <c r="C118" s="10" t="s">
        <v>8182</v>
      </c>
      <c r="D118" s="13" t="n">
        <v>41024</v>
      </c>
      <c r="E118" s="13" t="n">
        <v>65530</v>
      </c>
      <c r="F118" s="11" t="n">
        <f>SUM(D118+E118)/2</f>
        <v>53277</v>
      </c>
      <c r="G118" s="12" t="n">
        <v>8089</v>
      </c>
      <c r="H118" s="12" t="n">
        <v>11482</v>
      </c>
      <c r="I118" s="11" t="n">
        <f>SUM(G118+H118)/2</f>
        <v>9785.5</v>
      </c>
      <c r="J118" s="16" t="n">
        <f>IF(F118=0,I118*2,F118/$N$603+I118)</f>
        <v>19356.1706391711</v>
      </c>
      <c r="K118" s="18" t="n">
        <f>ROW(K118)-1</f>
        <v>117</v>
      </c>
      <c r="L118" s="18" t="e">
        <f t="array" ref="L118">INDEX(TOP3277!#REF!,MATCH(C118,TOP3277!$B$501:$B$3035,0))</f>
        <v>#N/A</v>
      </c>
    </row>
    <row r="119" ht="14.399999999999999" customHeight="1">
      <c r="A119" s="14" t="n">
        <v>1997</v>
      </c>
      <c r="B119" s="10" t="s">
        <v>4167</v>
      </c>
      <c r="C119" s="10" t="s">
        <v>4168</v>
      </c>
      <c r="D119" s="10" t="n">
        <f t="array" ref="D119">INDEX('原始数据'!C$2:C$3689,MATCH($C119,'原始数据'!$B$2:$B$3689,0))</f>
        <v>37419</v>
      </c>
      <c r="E119" s="10" t="n">
        <f t="array" ref="E119">INDEX('原始数据'!D$2:D$3689,MATCH($C119,'原始数据'!$B$2:$B$3689,0))</f>
        <v>59773</v>
      </c>
      <c r="F119" s="11" t="n">
        <f t="array" ref="F119">INDEX('原始数据'!E$2:E$3689,MATCH($C119,'原始数据'!$B$2:$B$3689,0))</f>
        <v>48596</v>
      </c>
      <c r="G119" s="10" t="n">
        <f t="array" ref="G119">INDEX('原始数据'!F$2:F$3689,MATCH($C119,'原始数据'!$B$2:$B$3689,0))</f>
        <v>9098</v>
      </c>
      <c r="H119" s="10" t="n">
        <f t="array" ref="H119">INDEX('原始数据'!G$2:G$3689,MATCH($C119,'原始数据'!$B$2:$B$3689,0))</f>
        <v>11777</v>
      </c>
      <c r="I119" s="11" t="n">
        <f t="array" ref="I119">INDEX('原始数据'!H$2:H$3689,MATCH($C119,'原始数据'!$B$2:$B$3689,0))</f>
        <v>10437.5</v>
      </c>
      <c r="J119" s="16" t="n">
        <f>IF(F119=0,I119*2,F119/$N$603+I119)</f>
        <v>19167.2766462293</v>
      </c>
      <c r="K119" s="18" t="n">
        <f>ROW(K119)-1</f>
        <v>118</v>
      </c>
      <c r="L119" s="18" t="n">
        <f t="array" ref="L119">INDEX(TOP3277!#REF!,MATCH(C119,TOP3277!$B$501:$B$3035,0))</f>
        <v>1025</v>
      </c>
    </row>
    <row r="120" ht="14.399999999999999" customHeight="1">
      <c r="A120" s="14" t="n">
        <v>1986</v>
      </c>
      <c r="B120" s="10" t="s">
        <v>7192</v>
      </c>
      <c r="C120" s="10" t="s">
        <v>4184</v>
      </c>
      <c r="D120" s="10" t="n">
        <f t="array" ref="D120">INDEX('原始数据'!C$2:C$3689,MATCH($C120,'原始数据'!$B$2:$B$3689,0))</f>
        <v>40482</v>
      </c>
      <c r="E120" s="10" t="n">
        <f t="array" ref="E120">INDEX('原始数据'!D$2:D$3689,MATCH($C120,'原始数据'!$B$2:$B$3689,0))</f>
        <v>64664</v>
      </c>
      <c r="F120" s="11" t="n">
        <f t="array" ref="F120">INDEX('原始数据'!E$2:E$3689,MATCH($C120,'原始数据'!$B$2:$B$3689,0))</f>
        <v>52573</v>
      </c>
      <c r="G120" s="10" t="n">
        <f t="array" ref="G120">INDEX('原始数据'!F$2:F$3689,MATCH($C120,'原始数据'!$B$2:$B$3689,0))</f>
        <v>8222</v>
      </c>
      <c r="H120" s="10" t="n">
        <f t="array" ref="H120">INDEX('原始数据'!G$2:G$3689,MATCH($C120,'原始数据'!$B$2:$B$3689,0))</f>
        <v>10574</v>
      </c>
      <c r="I120" s="11" t="n">
        <f t="array" ref="I120">INDEX('原始数据'!H$2:H$3689,MATCH($C120,'原始数据'!$B$2:$B$3689,0))</f>
        <v>9398</v>
      </c>
      <c r="J120" s="16" t="n">
        <f>IF(F120=0,I120*2,F120/$N$603+I120)</f>
        <v>18842.2042065646</v>
      </c>
      <c r="K120" s="18" t="n">
        <f>ROW(K120)-1</f>
        <v>119</v>
      </c>
      <c r="L120" s="18" t="n">
        <f t="array" ref="L120">INDEX(TOP3277!#REF!,MATCH(C120,TOP3277!$B$501:$B$3035,0))</f>
        <v>1033</v>
      </c>
    </row>
    <row r="121" ht="14.399999999999999" customHeight="1">
      <c r="A121" s="14" t="n">
        <v>3941</v>
      </c>
      <c r="B121" s="10" t="s">
        <v>8183</v>
      </c>
      <c r="C121" s="10" t="s">
        <v>8184</v>
      </c>
      <c r="D121" s="13" t="n">
        <v>31129</v>
      </c>
      <c r="E121" s="13" t="n">
        <v>49723</v>
      </c>
      <c r="F121" s="11" t="n">
        <f>SUM(D121+E121)/2</f>
        <v>40426</v>
      </c>
      <c r="G121" s="12" t="n">
        <v>10600</v>
      </c>
      <c r="H121" s="12" t="n">
        <v>12452</v>
      </c>
      <c r="I121" s="11" t="n">
        <f>SUM(G121+H121)/2</f>
        <v>11526</v>
      </c>
      <c r="J121" s="16" t="n">
        <f>IF(F121=0,I121*2,F121/$N$603+I121)</f>
        <v>18788.1193246454</v>
      </c>
      <c r="K121" s="18" t="n">
        <f>ROW(K121)-1</f>
        <v>120</v>
      </c>
      <c r="L121" s="18" t="e">
        <f t="array" ref="L121">INDEX(TOP3277!#REF!,MATCH(C121,TOP3277!$B$501:$B$3035,0))</f>
        <v>#N/A</v>
      </c>
    </row>
    <row r="122" ht="14.399999999999999" customHeight="1">
      <c r="A122" s="14" t="n">
        <v>2349</v>
      </c>
      <c r="B122" s="10" t="s">
        <v>8185</v>
      </c>
      <c r="C122" s="10" t="s">
        <v>8186</v>
      </c>
      <c r="D122" s="13" t="n">
        <v>52590</v>
      </c>
      <c r="E122" s="13" t="n">
        <v>84006</v>
      </c>
      <c r="F122" s="11" t="n">
        <f>SUM(D122+E122)/2</f>
        <v>68298</v>
      </c>
      <c r="G122" s="12" t="n">
        <v>3768</v>
      </c>
      <c r="H122" s="12" t="n">
        <v>8358</v>
      </c>
      <c r="I122" s="11" t="n">
        <f>SUM(G122+H122)/2</f>
        <v>6063</v>
      </c>
      <c r="J122" s="16" t="n">
        <f>IF(F122=0,I122*2,F122/$N$603+I122)</f>
        <v>18332.0403610209</v>
      </c>
      <c r="K122" s="18" t="n">
        <f>ROW(K122)-1</f>
        <v>121</v>
      </c>
      <c r="L122" s="18" t="e">
        <f t="array" ref="L122">INDEX(TOP3277!#REF!,MATCH(C122,TOP3277!$B$501:$B$3035,0))</f>
        <v>#N/A</v>
      </c>
    </row>
    <row r="123" ht="14.399999999999999" customHeight="1">
      <c r="A123" s="14" t="n">
        <v>3015</v>
      </c>
      <c r="B123" s="10" t="s">
        <v>4193</v>
      </c>
      <c r="C123" s="10" t="s">
        <v>4194</v>
      </c>
      <c r="D123" s="10" t="n">
        <f t="array" ref="D123">INDEX('原始数据'!C$2:C$3689,MATCH($C123,'原始数据'!$B$2:$B$3689,0))</f>
        <v>46346</v>
      </c>
      <c r="E123" s="10" t="n">
        <f t="array" ref="E123">INDEX('原始数据'!D$2:D$3689,MATCH($C123,'原始数据'!$B$2:$B$3689,0))</f>
        <v>74034</v>
      </c>
      <c r="F123" s="11" t="n">
        <f t="array" ref="F123">INDEX('原始数据'!E$2:E$3689,MATCH($C123,'原始数据'!$B$2:$B$3689,0))</f>
        <v>60190</v>
      </c>
      <c r="G123" s="10" t="n">
        <f t="array" ref="G123">INDEX('原始数据'!F$2:F$3689,MATCH($C123,'原始数据'!$B$2:$B$3689,0))</f>
        <v>6346</v>
      </c>
      <c r="H123" s="10" t="n">
        <f t="array" ref="H123">INDEX('原始数据'!G$2:G$3689,MATCH($C123,'原始数据'!$B$2:$B$3689,0))</f>
        <v>8589</v>
      </c>
      <c r="I123" s="11" t="n">
        <f t="array" ref="I123">INDEX('原始数据'!H$2:H$3689,MATCH($C123,'原始数据'!$B$2:$B$3689,0))</f>
        <v>7467.5</v>
      </c>
      <c r="J123" s="16" t="n">
        <f>IF(F123=0,I123*2,F123/$N$603+I123)</f>
        <v>18280.0207082176</v>
      </c>
      <c r="K123" s="18" t="n">
        <f>ROW(K123)-1</f>
        <v>122</v>
      </c>
      <c r="L123" s="18" t="n">
        <f t="array" ref="L123">INDEX(TOP3277!#REF!,MATCH(C123,TOP3277!$B$501:$B$3035,0))</f>
        <v>1038</v>
      </c>
    </row>
    <row r="124" ht="14.399999999999999" customHeight="1">
      <c r="A124" s="14" t="n">
        <v>2069</v>
      </c>
      <c r="B124" s="10" t="s">
        <v>4241</v>
      </c>
      <c r="C124" s="10" t="s">
        <v>4242</v>
      </c>
      <c r="D124" s="10" t="n">
        <f t="array" ref="D124">INDEX('原始数据'!C$2:C$3689,MATCH($C124,'原始数据'!$B$2:$B$3689,0))</f>
        <v>28417</v>
      </c>
      <c r="E124" s="10" t="n">
        <f t="array" ref="E124">INDEX('原始数据'!D$2:D$3689,MATCH($C124,'原始数据'!$B$2:$B$3689,0))</f>
        <v>45393</v>
      </c>
      <c r="F124" s="11" t="n">
        <f t="array" ref="F124">INDEX('原始数据'!E$2:E$3689,MATCH($C124,'原始数据'!$B$2:$B$3689,0))</f>
        <v>36905</v>
      </c>
      <c r="G124" s="10" t="n">
        <f t="array" ref="G124">INDEX('原始数据'!F$2:F$3689,MATCH($C124,'原始数据'!$B$2:$B$3689,0))</f>
        <v>9643</v>
      </c>
      <c r="H124" s="10" t="n">
        <f t="array" ref="H124">INDEX('原始数据'!G$2:G$3689,MATCH($C124,'原始数据'!$B$2:$B$3689,0))</f>
        <v>13655</v>
      </c>
      <c r="I124" s="11" t="n">
        <f t="array" ref="I124">INDEX('原始数据'!H$2:H$3689,MATCH($C124,'原始数据'!$B$2:$B$3689,0))</f>
        <v>11649</v>
      </c>
      <c r="J124" s="16" t="n">
        <f>IF(F124=0,I124*2,F124/$N$603+I124)</f>
        <v>18278.6075217938</v>
      </c>
      <c r="K124" s="18" t="n">
        <f>ROW(K124)-1</f>
        <v>123</v>
      </c>
      <c r="L124" s="18" t="n">
        <f t="array" ref="L124">INDEX(TOP3277!#REF!,MATCH(C124,TOP3277!$B$501:$B$3035,0))</f>
        <v>1062</v>
      </c>
    </row>
    <row r="125" ht="14.399999999999999" customHeight="1">
      <c r="A125" s="14" t="n">
        <v>2803</v>
      </c>
      <c r="B125" s="10" t="s">
        <v>7815</v>
      </c>
      <c r="C125" s="10" t="s">
        <v>4232</v>
      </c>
      <c r="D125" s="10" t="n">
        <f t="array" ref="D125">INDEX('原始数据'!C$2:C$3689,MATCH($C125,'原始数据'!$B$2:$B$3689,0))</f>
        <v>34874</v>
      </c>
      <c r="E125" s="10" t="n">
        <f t="array" ref="E125">INDEX('原始数据'!D$2:D$3689,MATCH($C125,'原始数据'!$B$2:$B$3689,0))</f>
        <v>55708</v>
      </c>
      <c r="F125" s="11" t="n">
        <f t="array" ref="F125">INDEX('原始数据'!E$2:E$3689,MATCH($C125,'原始数据'!$B$2:$B$3689,0))</f>
        <v>45291</v>
      </c>
      <c r="G125" s="10" t="n">
        <f t="array" ref="G125">INDEX('原始数据'!F$2:F$3689,MATCH($C125,'原始数据'!$B$2:$B$3689,0))</f>
        <v>9064</v>
      </c>
      <c r="H125" s="10" t="n">
        <f t="array" ref="H125">INDEX('原始数据'!G$2:G$3689,MATCH($C125,'原始数据'!$B$2:$B$3689,0))</f>
        <v>10860</v>
      </c>
      <c r="I125" s="11" t="n">
        <f t="array" ref="I125">INDEX('原始数据'!H$2:H$3689,MATCH($C125,'原始数据'!$B$2:$B$3689,0))</f>
        <v>9962</v>
      </c>
      <c r="J125" s="16" t="n">
        <f>IF(F125=0,I125*2,F125/$N$603+I125)</f>
        <v>18098.0670442912</v>
      </c>
      <c r="K125" s="18" t="n">
        <f>ROW(K125)-1</f>
        <v>124</v>
      </c>
      <c r="L125" s="18" t="n">
        <f t="array" ref="L125">INDEX(TOP3277!#REF!,MATCH(C125,TOP3277!$B$501:$B$3035,0))</f>
        <v>1057</v>
      </c>
    </row>
    <row r="126" ht="14.399999999999999" customHeight="1">
      <c r="A126" s="14" t="n">
        <v>2001</v>
      </c>
      <c r="B126" s="10" t="s">
        <v>6923</v>
      </c>
      <c r="C126" s="10" t="s">
        <v>4280</v>
      </c>
      <c r="D126" s="10" t="n">
        <f t="array" ref="D126">INDEX('原始数据'!C$2:C$3689,MATCH($C126,'原始数据'!$B$2:$B$3689,0))</f>
        <v>27770</v>
      </c>
      <c r="E126" s="10" t="n">
        <f t="array" ref="E126">INDEX('原始数据'!D$2:D$3689,MATCH($C126,'原始数据'!$B$2:$B$3689,0))</f>
        <v>44360</v>
      </c>
      <c r="F126" s="11" t="n">
        <f t="array" ref="F126">INDEX('原始数据'!E$2:E$3689,MATCH($C126,'原始数据'!$B$2:$B$3689,0))</f>
        <v>36065</v>
      </c>
      <c r="G126" s="10" t="n">
        <f t="array" ref="G126">INDEX('原始数据'!F$2:F$3689,MATCH($C126,'原始数据'!$B$2:$B$3689,0))</f>
        <v>9646</v>
      </c>
      <c r="H126" s="10" t="n">
        <f t="array" ref="H126">INDEX('原始数据'!G$2:G$3689,MATCH($C126,'原始数据'!$B$2:$B$3689,0))</f>
        <v>12569</v>
      </c>
      <c r="I126" s="11" t="n">
        <f t="array" ref="I126">INDEX('原始数据'!H$2:H$3689,MATCH($C126,'原始数据'!$B$2:$B$3689,0))</f>
        <v>11107.5</v>
      </c>
      <c r="J126" s="16" t="n">
        <f>IF(F126=0,I126*2,F126/$N$603+I126)</f>
        <v>17586.2100737975</v>
      </c>
      <c r="K126" s="18" t="n">
        <f>ROW(K126)-1</f>
        <v>125</v>
      </c>
      <c r="L126" s="18" t="n">
        <f t="array" ref="L126">INDEX(TOP3277!#REF!,MATCH(C126,TOP3277!$B$501:$B$3035,0))</f>
        <v>1082</v>
      </c>
    </row>
    <row r="127" ht="14.399999999999999" customHeight="1">
      <c r="A127" s="14" t="n">
        <v>1998</v>
      </c>
      <c r="B127" s="10" t="s">
        <v>1314</v>
      </c>
      <c r="C127" s="10" t="s">
        <v>1315</v>
      </c>
      <c r="D127" s="13" t="n">
        <v>2342</v>
      </c>
      <c r="E127" s="13" t="n">
        <v>3744</v>
      </c>
      <c r="F127" s="11" t="n">
        <f>SUM(D127+E127)/2</f>
        <v>3043</v>
      </c>
      <c r="G127" s="12" t="n">
        <v>13394</v>
      </c>
      <c r="H127" s="12" t="n">
        <v>18795</v>
      </c>
      <c r="I127" s="11" t="n">
        <f>SUM(G127+H127)/2</f>
        <v>16094.5</v>
      </c>
      <c r="J127" s="16" t="n">
        <f>IF(F127=0,I127*2,F127/$N$603+I127)</f>
        <v>16641.1439693488</v>
      </c>
      <c r="K127" s="18" t="n">
        <f>ROW(K127)-1</f>
        <v>126</v>
      </c>
      <c r="L127" s="18" t="n">
        <f t="array" ref="L127">INDEX(TOP3277!#REF!,MATCH(C127,TOP3277!$B$501:$B$3035,0))</f>
        <v>1312</v>
      </c>
    </row>
    <row r="128" ht="14.399999999999999" customHeight="1">
      <c r="A128" s="14" t="n">
        <v>1520</v>
      </c>
      <c r="B128" s="10" t="s">
        <v>4409</v>
      </c>
      <c r="C128" s="10" t="s">
        <v>4410</v>
      </c>
      <c r="D128" s="10" t="n">
        <f t="array" ref="D128">INDEX('原始数据'!C$2:C$3689,MATCH($C128,'原始数据'!$B$2:$B$3689,0))</f>
        <v>1823</v>
      </c>
      <c r="E128" s="10" t="n">
        <f t="array" ref="E128">INDEX('原始数据'!D$2:D$3689,MATCH($C128,'原始数据'!$B$2:$B$3689,0))</f>
        <v>2911</v>
      </c>
      <c r="F128" s="11" t="n">
        <f t="array" ref="F128">INDEX('原始数据'!E$2:E$3689,MATCH($C128,'原始数据'!$B$2:$B$3689,0))</f>
        <v>2367</v>
      </c>
      <c r="G128" s="10" t="n">
        <f t="array" ref="G128">INDEX('原始数据'!F$2:F$3689,MATCH($C128,'原始数据'!$B$2:$B$3689,0))</f>
        <v>12676</v>
      </c>
      <c r="H128" s="10" t="n">
        <f t="array" ref="H128">INDEX('原始数据'!G$2:G$3689,MATCH($C128,'原始数据'!$B$2:$B$3689,0))</f>
        <v>19485</v>
      </c>
      <c r="I128" s="11" t="n">
        <f t="array" ref="I128">INDEX('原始数据'!H$2:H$3689,MATCH($C128,'原始数据'!$B$2:$B$3689,0))</f>
        <v>16080.5</v>
      </c>
      <c r="J128" s="16" t="n">
        <f>IF(F128=0,I128*2,F128/$N$603+I128)</f>
        <v>16505.7074516755</v>
      </c>
      <c r="K128" s="18" t="n">
        <f>ROW(K128)-1</f>
        <v>127</v>
      </c>
      <c r="L128" s="18" t="n">
        <f t="array" ref="L128">INDEX(TOP3277!#REF!,MATCH(C128,TOP3277!$B$501:$B$3035,0))</f>
        <v>1147</v>
      </c>
    </row>
    <row r="129" ht="14.399999999999999" customHeight="1">
      <c r="A129" s="10" t="n">
        <v>276</v>
      </c>
      <c r="B129" s="10" t="s">
        <v>1005</v>
      </c>
      <c r="C129" s="10" t="s">
        <v>103</v>
      </c>
      <c r="D129" s="10" t="n">
        <f t="array" ref="D129">INDEX('原始数据'!C$2:C$3689,MATCH($C129,'原始数据'!$B$2:$B$3689,0))</f>
        <v>54675</v>
      </c>
      <c r="E129" s="10" t="n">
        <f t="array" ref="E129">INDEX('原始数据'!D$2:D$3689,MATCH($C129,'原始数据'!$B$2:$B$3689,0))</f>
        <v>87339</v>
      </c>
      <c r="F129" s="11" t="n">
        <f t="array" ref="F129">INDEX('原始数据'!E$2:E$3689,MATCH($C129,'原始数据'!$B$2:$B$3689,0))</f>
        <v>71007</v>
      </c>
      <c r="G129" s="10" t="n">
        <f t="array" ref="G129">INDEX('原始数据'!F$2:F$3689,MATCH($C129,'原始数据'!$B$2:$B$3689,0))</f>
        <v>3007</v>
      </c>
      <c r="H129" s="10" t="n">
        <f t="array" ref="H129">INDEX('原始数据'!G$2:G$3689,MATCH($C129,'原始数据'!$B$2:$B$3689,0))</f>
        <v>4362</v>
      </c>
      <c r="I129" s="11" t="n">
        <f t="array" ref="I129">INDEX('原始数据'!H$2:H$3689,MATCH($C129,'原始数据'!$B$2:$B$3689,0))</f>
        <v>3684.5</v>
      </c>
      <c r="J129" s="16" t="n">
        <f>IF(F129=0,I129*2,F129/$N$603+I129)</f>
        <v>16440.1846308092</v>
      </c>
      <c r="K129" s="18" t="n">
        <f>ROW(K129)-1</f>
        <v>128</v>
      </c>
      <c r="L129" s="18" t="n">
        <f t="array" ref="L129">INDEX(TOP3277!#REF!,MATCH(C129,TOP3277!$B$501:$B$3035,0))</f>
        <v>1081</v>
      </c>
    </row>
    <row r="130" ht="14.399999999999999" customHeight="1">
      <c r="A130" s="14" t="n">
        <v>1574</v>
      </c>
      <c r="B130" s="10" t="s">
        <v>258</v>
      </c>
      <c r="C130" s="10" t="s">
        <v>259</v>
      </c>
      <c r="D130" s="10" t="n">
        <f t="array" ref="D130">INDEX('原始数据'!C$2:C$3689,MATCH($C130,'原始数据'!$B$2:$B$3689,0))</f>
        <v>3787</v>
      </c>
      <c r="E130" s="10" t="n">
        <f t="array" ref="E130">INDEX('原始数据'!D$2:D$3689,MATCH($C130,'原始数据'!$B$2:$B$3689,0))</f>
        <v>6049</v>
      </c>
      <c r="F130" s="11" t="n">
        <f t="array" ref="F130">INDEX('原始数据'!E$2:E$3689,MATCH($C130,'原始数据'!$B$2:$B$3689,0))</f>
        <v>4918</v>
      </c>
      <c r="G130" s="10" t="n">
        <f t="array" ref="G130">INDEX('原始数据'!F$2:F$3689,MATCH($C130,'原始数据'!$B$2:$B$3689,0))</f>
        <v>12533</v>
      </c>
      <c r="H130" s="10" t="n">
        <f t="array" ref="H130">INDEX('原始数据'!G$2:G$3689,MATCH($C130,'原始数据'!$B$2:$B$3689,0))</f>
        <v>17894</v>
      </c>
      <c r="I130" s="11" t="n">
        <f t="array" ref="I130">INDEX('原始数据'!H$2:H$3689,MATCH($C130,'原始数据'!$B$2:$B$3689,0))</f>
        <v>15213.5</v>
      </c>
      <c r="J130" s="16" t="n">
        <f>IF(F130=0,I130*2,F130/$N$603+I130)</f>
        <v>16096.9686300551</v>
      </c>
      <c r="K130" s="18" t="n">
        <f>ROW(K130)-1</f>
        <v>129</v>
      </c>
      <c r="L130" s="18" t="e">
        <f t="array" ref="L130">INDEX(TOP3277!#REF!,MATCH(C130,TOP3277!$B$501:$B$3035,0))</f>
        <v>#N/A</v>
      </c>
    </row>
    <row r="131" ht="14.399999999999999" customHeight="1">
      <c r="A131" s="14" t="n">
        <v>3043</v>
      </c>
      <c r="B131" s="10" t="s">
        <v>8187</v>
      </c>
      <c r="C131" s="10" t="s">
        <v>8188</v>
      </c>
      <c r="D131" s="13" t="n">
        <v>33053</v>
      </c>
      <c r="E131" s="13" t="n">
        <v>52799</v>
      </c>
      <c r="F131" s="11" t="n">
        <f>SUM(D131+E131)/2</f>
        <v>42926</v>
      </c>
      <c r="G131" s="12" t="n">
        <v>7611</v>
      </c>
      <c r="H131" s="12" t="n">
        <v>8897</v>
      </c>
      <c r="I131" s="11" t="n">
        <f>SUM(G131+H131)/2</f>
        <v>8254</v>
      </c>
      <c r="J131" s="16" t="n">
        <f>IF(F131=0,I131*2,F131/$N$603+I131)</f>
        <v>15965.2188722537</v>
      </c>
      <c r="K131" s="18" t="n">
        <f>ROW(K131)-1</f>
        <v>130</v>
      </c>
      <c r="L131" s="18" t="e">
        <f t="array" ref="L131">INDEX(TOP3277!#REF!,MATCH(C131,TOP3277!$B$501:$B$3035,0))</f>
        <v>#N/A</v>
      </c>
    </row>
    <row r="132" ht="14.399999999999999" customHeight="1">
      <c r="A132" s="14" t="n">
        <v>2101</v>
      </c>
      <c r="B132" s="10" t="s">
        <v>4407</v>
      </c>
      <c r="C132" s="10" t="s">
        <v>4408</v>
      </c>
      <c r="D132" s="10" t="n">
        <f t="array" ref="D132">INDEX('原始数据'!C$2:C$3689,MATCH($C132,'原始数据'!$B$2:$B$3689,0))</f>
        <v>20581</v>
      </c>
      <c r="E132" s="10" t="n">
        <f t="array" ref="E132">INDEX('原始数据'!D$2:D$3689,MATCH($C132,'原始数据'!$B$2:$B$3689,0))</f>
        <v>32877</v>
      </c>
      <c r="F132" s="11" t="n">
        <f t="array" ref="F132">INDEX('原始数据'!E$2:E$3689,MATCH($C132,'原始数据'!$B$2:$B$3689,0))</f>
        <v>26729</v>
      </c>
      <c r="G132" s="10" t="n">
        <f t="array" ref="G132">INDEX('原始数据'!F$2:F$3689,MATCH($C132,'原始数据'!$B$2:$B$3689,0))</f>
        <v>9176</v>
      </c>
      <c r="H132" s="10" t="n">
        <f t="array" ref="H132">INDEX('原始数据'!G$2:G$3689,MATCH($C132,'原始数据'!$B$2:$B$3689,0))</f>
        <v>12685</v>
      </c>
      <c r="I132" s="11" t="n">
        <f t="array" ref="I132">INDEX('原始数据'!H$2:H$3689,MATCH($C132,'原始数据'!$B$2:$B$3689,0))</f>
        <v>10930.5</v>
      </c>
      <c r="J132" s="16" t="n">
        <f>IF(F132=0,I132*2,F132/$N$603+I132)</f>
        <v>15732.092723209</v>
      </c>
      <c r="K132" s="18" t="n">
        <f>ROW(K132)-1</f>
        <v>131</v>
      </c>
      <c r="L132" s="18" t="n">
        <f t="array" ref="L132">INDEX(TOP3277!#REF!,MATCH(C132,TOP3277!$B$501:$B$3035,0))</f>
        <v>1146</v>
      </c>
    </row>
    <row r="133" ht="14.399999999999999" customHeight="1">
      <c r="A133" s="14" t="n">
        <v>1878</v>
      </c>
      <c r="B133" s="10" t="s">
        <v>4499</v>
      </c>
      <c r="C133" s="10" t="s">
        <v>4500</v>
      </c>
      <c r="D133" s="13" t="n">
        <v>27571</v>
      </c>
      <c r="E133" s="13" t="n">
        <v>44041</v>
      </c>
      <c r="F133" s="11" t="n">
        <f>SUM(D133+E133)/2</f>
        <v>35806</v>
      </c>
      <c r="G133" s="12" t="n">
        <v>8352</v>
      </c>
      <c r="H133" s="12" t="n">
        <v>9895</v>
      </c>
      <c r="I133" s="11" t="n">
        <f>SUM(G133+H133)/2</f>
        <v>9123.5</v>
      </c>
      <c r="J133" s="16" t="n">
        <f>IF(F133=0,I133*2,F133/$N$603+I133)</f>
        <v>15555.6833606652</v>
      </c>
      <c r="K133" s="18" t="n">
        <f>ROW(K133)-1</f>
        <v>132</v>
      </c>
      <c r="L133" s="18" t="n">
        <f t="array" ref="L133">INDEX(TOP3277!#REF!,MATCH(C133,TOP3277!$B$501:$B$3035,0))</f>
        <v>1192</v>
      </c>
    </row>
    <row r="134" ht="14.399999999999999" customHeight="1">
      <c r="A134" s="10" t="n">
        <v>277</v>
      </c>
      <c r="B134" s="10" t="s">
        <v>228</v>
      </c>
      <c r="C134" s="10" t="s">
        <v>229</v>
      </c>
      <c r="D134" s="10" t="n">
        <f t="array" ref="D134">INDEX('原始数据'!C$2:C$3689,MATCH($C134,'原始数据'!$B$2:$B$3689,0))</f>
        <v>21990</v>
      </c>
      <c r="E134" s="10" t="n">
        <f t="array" ref="E134">INDEX('原始数据'!D$2:D$3689,MATCH($C134,'原始数据'!$B$2:$B$3689,0))</f>
        <v>35126</v>
      </c>
      <c r="F134" s="11" t="n">
        <f t="array" ref="F134">INDEX('原始数据'!E$2:E$3689,MATCH($C134,'原始数据'!$B$2:$B$3689,0))</f>
        <v>28558</v>
      </c>
      <c r="G134" s="10" t="n">
        <f t="array" ref="G134">INDEX('原始数据'!F$2:F$3689,MATCH($C134,'原始数据'!$B$2:$B$3689,0))</f>
        <v>7955</v>
      </c>
      <c r="H134" s="10" t="n">
        <f t="array" ref="H134">INDEX('原始数据'!G$2:G$3689,MATCH($C134,'原始数据'!$B$2:$B$3689,0))</f>
        <v>11692</v>
      </c>
      <c r="I134" s="11" t="n">
        <f t="array" ref="I134">INDEX('原始数据'!H$2:H$3689,MATCH($C134,'原始数据'!$B$2:$B$3689,0))</f>
        <v>9823.5</v>
      </c>
      <c r="J134" s="16" t="n">
        <f>IF(F134=0,I134*2,F134/$N$603+I134)</f>
        <v>14953.6539522392</v>
      </c>
      <c r="K134" s="18" t="n">
        <f>ROW(K134)-1</f>
        <v>133</v>
      </c>
      <c r="L134" s="18" t="e">
        <f t="array" ref="L134">INDEX(TOP3277!#REF!,MATCH(C134,TOP3277!$B$501:$B$3035,0))</f>
        <v>#N/A</v>
      </c>
    </row>
    <row r="135" ht="14.399999999999999" customHeight="1">
      <c r="A135" s="14" t="n">
        <v>3041</v>
      </c>
      <c r="B135" s="10" t="s">
        <v>8189</v>
      </c>
      <c r="C135" s="10" t="s">
        <v>8190</v>
      </c>
      <c r="D135" s="13" t="n">
        <v>36130</v>
      </c>
      <c r="E135" s="13" t="n">
        <v>57712</v>
      </c>
      <c r="F135" s="11" t="n">
        <f>SUM(D135+E135)/2</f>
        <v>46921</v>
      </c>
      <c r="G135" s="12" t="n">
        <v>5159</v>
      </c>
      <c r="H135" s="12" t="n">
        <v>7309</v>
      </c>
      <c r="I135" s="11" t="n">
        <f>SUM(G135+H135)/2</f>
        <v>6234</v>
      </c>
      <c r="J135" s="16" t="n">
        <f>IF(F135=0,I135*2,F135/$N$603+I135)</f>
        <v>14662.8799493318</v>
      </c>
      <c r="K135" s="18" t="n">
        <f>ROW(K135)-1</f>
        <v>134</v>
      </c>
      <c r="L135" s="18" t="e">
        <f t="array" ref="L135">INDEX(TOP3277!#REF!,MATCH(C135,TOP3277!$B$501:$B$3035,0))</f>
        <v>#N/A</v>
      </c>
    </row>
    <row r="136" ht="14.399999999999999" customHeight="1">
      <c r="A136" s="14" t="n">
        <v>2884</v>
      </c>
      <c r="B136" s="10" t="s">
        <v>4501</v>
      </c>
      <c r="C136" s="10" t="s">
        <v>4502</v>
      </c>
      <c r="D136" s="10" t="n">
        <f t="array" ref="D136">INDEX('原始数据'!C$2:C$3689,MATCH($C136,'原始数据'!$B$2:$B$3689,0))</f>
        <v>20196</v>
      </c>
      <c r="E136" s="10" t="n">
        <f t="array" ref="E136">INDEX('原始数据'!D$2:D$3689,MATCH($C136,'原始数据'!$B$2:$B$3689,0))</f>
        <v>32262</v>
      </c>
      <c r="F136" s="11" t="n">
        <f t="array" ref="F136">INDEX('原始数据'!E$2:E$3689,MATCH($C136,'原始数据'!$B$2:$B$3689,0))</f>
        <v>26229</v>
      </c>
      <c r="G136" s="10" t="n">
        <f t="array" ref="G136">INDEX('原始数据'!F$2:F$3689,MATCH($C136,'原始数据'!$B$2:$B$3689,0))</f>
        <v>8418</v>
      </c>
      <c r="H136" s="10" t="n">
        <f t="array" ref="H136">INDEX('原始数据'!G$2:G$3689,MATCH($C136,'原始数据'!$B$2:$B$3689,0))</f>
        <v>11364</v>
      </c>
      <c r="I136" s="11" t="n">
        <f t="array" ref="I136">INDEX('原始数据'!H$2:H$3689,MATCH($C136,'原始数据'!$B$2:$B$3689,0))</f>
        <v>9891</v>
      </c>
      <c r="J136" s="16" t="n">
        <f>IF(F136=0,I136*2,F136/$N$603+I136)</f>
        <v>14602.7728136873</v>
      </c>
      <c r="K136" s="18" t="n">
        <f>ROW(K136)-1</f>
        <v>135</v>
      </c>
      <c r="L136" s="18" t="n">
        <f t="array" ref="L136">INDEX(TOP3277!#REF!,MATCH(C136,TOP3277!$B$501:$B$3035,0))</f>
        <v>1193</v>
      </c>
    </row>
    <row r="137" ht="14.399999999999999" customHeight="1">
      <c r="A137" s="14" t="n">
        <v>4200</v>
      </c>
      <c r="B137" s="10" t="s">
        <v>116</v>
      </c>
      <c r="C137" s="10" t="s">
        <v>117</v>
      </c>
      <c r="D137" s="13" t="n">
        <v>40087</v>
      </c>
      <c r="E137" s="13" t="n">
        <v>64037</v>
      </c>
      <c r="F137" s="11" t="n">
        <f>SUM(D137+E137)/2</f>
        <v>52062</v>
      </c>
      <c r="G137" s="12" t="n">
        <v>4699</v>
      </c>
      <c r="H137" s="12" t="n">
        <v>5670</v>
      </c>
      <c r="I137" s="11" t="n">
        <f>SUM(G137+H137)/2</f>
        <v>5184.5</v>
      </c>
      <c r="J137" s="16" t="n">
        <f>IF(F137=0,I137*2,F137/$N$603+I137)</f>
        <v>14536.9082590335</v>
      </c>
      <c r="K137" s="18" t="n">
        <f>ROW(K137)-1</f>
        <v>136</v>
      </c>
      <c r="L137" s="18" t="e">
        <f t="array" ref="L137">INDEX(TOP3277!#REF!,MATCH(C137,TOP3277!$B$501:$B$3035,0))</f>
        <v>#N/A</v>
      </c>
    </row>
    <row r="138" ht="14.399999999999999" customHeight="1">
      <c r="A138" s="14" t="n">
        <v>3050</v>
      </c>
      <c r="B138" s="10" t="s">
        <v>110</v>
      </c>
      <c r="C138" s="10" t="s">
        <v>111</v>
      </c>
      <c r="D138" s="13" t="n">
        <v>35231</v>
      </c>
      <c r="E138" s="13" t="n">
        <v>56277</v>
      </c>
      <c r="F138" s="11" t="n">
        <f>SUM(D138+E138)/2</f>
        <v>45754</v>
      </c>
      <c r="G138" s="12" t="n">
        <v>5123</v>
      </c>
      <c r="H138" s="12" t="n">
        <v>7153</v>
      </c>
      <c r="I138" s="11" t="n">
        <f>SUM(G138+H138)/2</f>
        <v>6138</v>
      </c>
      <c r="J138" s="16" t="n">
        <f>IF(F138=0,I138*2,F138/$N$603+I138)</f>
        <v>14357.2402805082</v>
      </c>
      <c r="K138" s="18" t="n">
        <f>ROW(K138)-1</f>
        <v>137</v>
      </c>
      <c r="L138" s="18" t="e">
        <f t="array" ref="L138">INDEX(TOP3277!#REF!,MATCH(C138,TOP3277!$B$501:$B$3035,0))</f>
        <v>#N/A</v>
      </c>
    </row>
    <row r="139" ht="14.399999999999999" customHeight="1">
      <c r="A139" s="10" t="n">
        <v>280</v>
      </c>
      <c r="B139" s="10" t="s">
        <v>108</v>
      </c>
      <c r="C139" s="10" t="s">
        <v>109</v>
      </c>
      <c r="D139" s="10" t="n">
        <f t="array" ref="D139">INDEX('原始数据'!C$2:C$3689,MATCH($C139,'原始数据'!$B$2:$B$3689,0))</f>
        <v>44918</v>
      </c>
      <c r="E139" s="10" t="n">
        <f t="array" ref="E139">INDEX('原始数据'!D$2:D$3689,MATCH($C139,'原始数据'!$B$2:$B$3689,0))</f>
        <v>71754</v>
      </c>
      <c r="F139" s="11" t="n">
        <f t="array" ref="F139">INDEX('原始数据'!E$2:E$3689,MATCH($C139,'原始数据'!$B$2:$B$3689,0))</f>
        <v>58336</v>
      </c>
      <c r="G139" s="10" t="n">
        <f t="array" ref="G139">INDEX('原始数据'!F$2:F$3689,MATCH($C139,'原始数据'!$B$2:$B$3689,0))</f>
        <v>2233</v>
      </c>
      <c r="H139" s="10" t="n">
        <f t="array" ref="H139">INDEX('原始数据'!G$2:G$3689,MATCH($C139,'原始数据'!$B$2:$B$3689,0))</f>
        <v>3606</v>
      </c>
      <c r="I139" s="11" t="n">
        <f t="array" ref="I139">INDEX('原始数据'!H$2:H$3689,MATCH($C139,'原始数据'!$B$2:$B$3689,0))</f>
        <v>2919.5</v>
      </c>
      <c r="J139" s="16" t="n">
        <f>IF(F139=0,I139*2,F139/$N$603+I139)</f>
        <v>13398.9684837113</v>
      </c>
      <c r="K139" s="18" t="n">
        <f>ROW(K139)-1</f>
        <v>138</v>
      </c>
      <c r="L139" s="18" t="n">
        <f t="array" ref="L139">INDEX(TOP3277!#REF!,MATCH(C139,TOP3277!$B$501:$B$3035,0))</f>
        <v>1195</v>
      </c>
    </row>
    <row r="140" ht="14.399999999999999" customHeight="1">
      <c r="A140" s="14" t="n">
        <v>3816</v>
      </c>
      <c r="B140" s="10" t="s">
        <v>104</v>
      </c>
      <c r="C140" s="10" t="s">
        <v>105</v>
      </c>
      <c r="D140" s="10" t="n">
        <f t="array" ref="D140">INDEX('原始数据'!C$2:C$3689,MATCH($C140,'原始数据'!$B$2:$B$3689,0))</f>
        <v>37401</v>
      </c>
      <c r="E140" s="10" t="n">
        <f t="array" ref="E140">INDEX('原始数据'!D$2:D$3689,MATCH($C140,'原始数据'!$B$2:$B$3689,0))</f>
        <v>59745</v>
      </c>
      <c r="F140" s="11" t="n">
        <f t="array" ref="F140">INDEX('原始数据'!E$2:E$3689,MATCH($C140,'原始数据'!$B$2:$B$3689,0))</f>
        <v>48573</v>
      </c>
      <c r="G140" s="10" t="n">
        <f t="array" ref="G140">INDEX('原始数据'!F$2:F$3689,MATCH($C140,'原始数据'!$B$2:$B$3689,0))</f>
        <v>3525</v>
      </c>
      <c r="H140" s="10" t="n">
        <f t="array" ref="H140">INDEX('原始数据'!G$2:G$3689,MATCH($C140,'原始数据'!$B$2:$B$3689,0))</f>
        <v>5738</v>
      </c>
      <c r="I140" s="11" t="n">
        <f t="array" ref="I140">INDEX('原始数据'!H$2:H$3689,MATCH($C140,'原始数据'!$B$2:$B$3689,0))</f>
        <v>4631.5</v>
      </c>
      <c r="J140" s="16" t="n">
        <f>IF(F140=0,I140*2,F140/$N$603+I140)</f>
        <v>13357.1449303913</v>
      </c>
      <c r="K140" s="18" t="n">
        <f>ROW(K140)-1</f>
        <v>139</v>
      </c>
      <c r="L140" s="18" t="n">
        <f t="array" ref="L140">INDEX(TOP3277!#REF!,MATCH(C140,TOP3277!$B$501:$B$3035,0))</f>
        <v>1208</v>
      </c>
    </row>
    <row r="141" ht="14.399999999999999" customHeight="1">
      <c r="A141" s="14" t="n">
        <v>2642</v>
      </c>
      <c r="B141" s="10" t="s">
        <v>4581</v>
      </c>
      <c r="C141" s="10" t="s">
        <v>4582</v>
      </c>
      <c r="D141" s="10" t="n">
        <f t="array" ref="D141">INDEX('原始数据'!C$2:C$3689,MATCH($C141,'原始数据'!$B$2:$B$3689,0))</f>
        <v>27410</v>
      </c>
      <c r="E141" s="10" t="n">
        <f t="array" ref="E141">INDEX('原始数据'!D$2:D$3689,MATCH($C141,'原始数据'!$B$2:$B$3689,0))</f>
        <v>43786</v>
      </c>
      <c r="F141" s="11" t="n">
        <f t="array" ref="F141">INDEX('原始数据'!E$2:E$3689,MATCH($C141,'原始数据'!$B$2:$B$3689,0))</f>
        <v>35598</v>
      </c>
      <c r="G141" s="10" t="n">
        <f t="array" ref="G141">INDEX('原始数据'!F$2:F$3689,MATCH($C141,'原始数据'!$B$2:$B$3689,0))</f>
        <v>5184</v>
      </c>
      <c r="H141" s="10" t="n">
        <f t="array" ref="H141">INDEX('原始数据'!G$2:G$3689,MATCH($C141,'原始数据'!$B$2:$B$3689,0))</f>
        <v>8538</v>
      </c>
      <c r="I141" s="11" t="n">
        <f t="array" ref="I141">INDEX('原始数据'!H$2:H$3689,MATCH($C141,'原始数据'!$B$2:$B$3689,0))</f>
        <v>6861</v>
      </c>
      <c r="J141" s="16" t="n">
        <f>IF(F141=0,I141*2,F141/$N$603+I141)</f>
        <v>13255.8182783042</v>
      </c>
      <c r="K141" s="18" t="n">
        <f>ROW(K141)-1</f>
        <v>140</v>
      </c>
      <c r="L141" s="18" t="n">
        <f t="array" ref="L141">INDEX(TOP3277!#REF!,MATCH(C141,TOP3277!$B$501:$B$3035,0))</f>
        <v>1236</v>
      </c>
    </row>
    <row r="142" ht="14.399999999999999" customHeight="1">
      <c r="A142" s="14" t="n">
        <v>3028</v>
      </c>
      <c r="B142" s="10" t="s">
        <v>8191</v>
      </c>
      <c r="C142" s="10" t="s">
        <v>8192</v>
      </c>
      <c r="D142" s="10"/>
      <c r="E142" s="10"/>
      <c r="F142" s="11" t="n">
        <f>SUM(D142+E142)/2</f>
        <v>0</v>
      </c>
      <c r="G142" s="12" t="n">
        <v>5320</v>
      </c>
      <c r="H142" s="12" t="n">
        <v>7751</v>
      </c>
      <c r="I142" s="11" t="n">
        <f>SUM(G142+H142)/2</f>
        <v>6535.5</v>
      </c>
      <c r="J142" s="16" t="n">
        <f>IF(F142=0,I142*2,F142/$N$603+I142)</f>
        <v>13071</v>
      </c>
      <c r="K142" s="18" t="n">
        <f>ROW(K142)-1</f>
        <v>141</v>
      </c>
      <c r="L142" s="18" t="e">
        <f t="array" ref="L142">INDEX(TOP3277!#REF!,MATCH(C142,TOP3277!$B$501:$B$3035,0))</f>
        <v>#N/A</v>
      </c>
    </row>
    <row r="143" ht="14.399999999999999" customHeight="1">
      <c r="A143" s="14" t="n">
        <v>11709</v>
      </c>
      <c r="B143" s="10" t="s">
        <v>8193</v>
      </c>
      <c r="C143" s="10" t="s">
        <v>4616</v>
      </c>
      <c r="D143" s="10" t="n">
        <f t="array" ref="D143">INDEX('原始数据'!C$2:C$3689,MATCH($C143,'原始数据'!$B$2:$B$3689,0))</f>
        <v>27331</v>
      </c>
      <c r="E143" s="10" t="n">
        <f t="array" ref="E143">INDEX('原始数据'!D$2:D$3689,MATCH($C143,'原始数据'!$B$2:$B$3689,0))</f>
        <v>43659</v>
      </c>
      <c r="F143" s="11" t="n">
        <f t="array" ref="F143">INDEX('原始数据'!E$2:E$3689,MATCH($C143,'原始数据'!$B$2:$B$3689,0))</f>
        <v>35495</v>
      </c>
      <c r="G143" s="10" t="n">
        <f t="array" ref="G143">INDEX('原始数据'!F$2:F$3689,MATCH($C143,'原始数据'!$B$2:$B$3689,0))</f>
        <v>5266</v>
      </c>
      <c r="H143" s="10" t="n">
        <f t="array" ref="H143">INDEX('原始数据'!G$2:G$3689,MATCH($C143,'原始数据'!$B$2:$B$3689,0))</f>
        <v>7601</v>
      </c>
      <c r="I143" s="11" t="n">
        <f t="array" ref="I143">INDEX('原始数据'!H$2:H$3689,MATCH($C143,'原始数据'!$B$2:$B$3689,0))</f>
        <v>6433.5</v>
      </c>
      <c r="J143" s="16" t="n">
        <f>IF(F143=0,I143*2,F143/$N$603+I143)</f>
        <v>12809.8153769428</v>
      </c>
      <c r="K143" s="18" t="n">
        <f>ROW(K143)-1</f>
        <v>142</v>
      </c>
      <c r="L143" s="18" t="n">
        <f t="array" ref="L143">INDEX(TOP3277!#REF!,MATCH(C143,TOP3277!$B$501:$B$3035,0))</f>
        <v>1253</v>
      </c>
    </row>
    <row r="144" ht="14.399999999999999" customHeight="1">
      <c r="A144" s="14" t="n">
        <v>4510</v>
      </c>
      <c r="B144" s="10" t="s">
        <v>112</v>
      </c>
      <c r="C144" s="10" t="s">
        <v>113</v>
      </c>
      <c r="D144" s="10" t="n">
        <f t="array" ref="D144">INDEX('原始数据'!C$2:C$3689,MATCH($C144,'原始数据'!$B$2:$B$3689,0))</f>
        <v>42954</v>
      </c>
      <c r="E144" s="10" t="n">
        <f t="array" ref="E144">INDEX('原始数据'!D$2:D$3689,MATCH($C144,'原始数据'!$B$2:$B$3689,0))</f>
        <v>68616</v>
      </c>
      <c r="F144" s="11" t="n">
        <f t="array" ref="F144">INDEX('原始数据'!E$2:E$3689,MATCH($C144,'原始数据'!$B$2:$B$3689,0))</f>
        <v>55785</v>
      </c>
      <c r="G144" s="10" t="n">
        <f t="array" ref="G144">INDEX('原始数据'!F$2:F$3689,MATCH($C144,'原始数据'!$B$2:$B$3689,0))</f>
        <v>2448</v>
      </c>
      <c r="H144" s="10" t="n">
        <f t="array" ref="H144">INDEX('原始数据'!G$2:G$3689,MATCH($C144,'原始数据'!$B$2:$B$3689,0))</f>
        <v>2983</v>
      </c>
      <c r="I144" s="11" t="n">
        <f t="array" ref="I144">INDEX('原始数据'!H$2:H$3689,MATCH($C144,'原始数据'!$B$2:$B$3689,0))</f>
        <v>2715.5</v>
      </c>
      <c r="J144" s="16" t="n">
        <f>IF(F144=0,I144*2,F144/$N$603+I144)</f>
        <v>12736.7073053318</v>
      </c>
      <c r="K144" s="18" t="n">
        <f>ROW(K144)-1</f>
        <v>143</v>
      </c>
      <c r="L144" s="18" t="n">
        <f t="array" ref="L144">INDEX(TOP3277!#REF!,MATCH(C144,TOP3277!$B$501:$B$3035,0))</f>
        <v>1227</v>
      </c>
    </row>
    <row r="145" ht="14.399999999999999" customHeight="1">
      <c r="A145" s="14" t="n">
        <v>2831</v>
      </c>
      <c r="B145" s="10" t="s">
        <v>4619</v>
      </c>
      <c r="C145" s="10" t="s">
        <v>4620</v>
      </c>
      <c r="D145" s="10" t="n">
        <f t="array" ref="D145">INDEX('原始数据'!C$2:C$3689,MATCH($C145,'原始数据'!$B$2:$B$3689,0))</f>
        <v>29465</v>
      </c>
      <c r="E145" s="10" t="n">
        <f t="array" ref="E145">INDEX('原始数据'!D$2:D$3689,MATCH($C145,'原始数据'!$B$2:$B$3689,0))</f>
        <v>47067</v>
      </c>
      <c r="F145" s="11" t="n">
        <f t="array" ref="F145">INDEX('原始数据'!E$2:E$3689,MATCH($C145,'原始数据'!$B$2:$B$3689,0))</f>
        <v>38266</v>
      </c>
      <c r="G145" s="10" t="n">
        <f t="array" ref="G145">INDEX('原始数据'!F$2:F$3689,MATCH($C145,'原始数据'!$B$2:$B$3689,0))</f>
        <v>4913</v>
      </c>
      <c r="H145" s="10" t="n">
        <f t="array" ref="H145">INDEX('原始数据'!G$2:G$3689,MATCH($C145,'原始数据'!$B$2:$B$3689,0))</f>
        <v>6677</v>
      </c>
      <c r="I145" s="11" t="n">
        <f t="array" ref="I145">INDEX('原始数据'!H$2:H$3689,MATCH($C145,'原始数据'!$B$2:$B$3689,0))</f>
        <v>5795</v>
      </c>
      <c r="J145" s="16" t="n">
        <f>IF(F145=0,I145*2,F145/$N$603+I145)</f>
        <v>12669.0973155118</v>
      </c>
      <c r="K145" s="18" t="n">
        <f>ROW(K145)-1</f>
        <v>144</v>
      </c>
      <c r="L145" s="18" t="n">
        <f t="array" ref="L145">INDEX(TOP3277!#REF!,MATCH(C145,TOP3277!$B$501:$B$3035,0))</f>
        <v>1255</v>
      </c>
    </row>
    <row r="146" ht="14.399999999999999" customHeight="1">
      <c r="A146" s="14" t="n">
        <v>3803</v>
      </c>
      <c r="B146" s="10" t="s">
        <v>4647</v>
      </c>
      <c r="C146" s="10" t="s">
        <v>4648</v>
      </c>
      <c r="D146" s="10" t="n">
        <f t="array" ref="D146">INDEX('原始数据'!C$2:C$3689,MATCH($C146,'原始数据'!$B$2:$B$3689,0))</f>
        <v>23936</v>
      </c>
      <c r="E146" s="10" t="n">
        <f t="array" ref="E146">INDEX('原始数据'!D$2:D$3689,MATCH($C146,'原始数据'!$B$2:$B$3689,0))</f>
        <v>38236</v>
      </c>
      <c r="F146" s="11" t="n">
        <f t="array" ref="F146">INDEX('原始数据'!E$2:E$3689,MATCH($C146,'原始数据'!$B$2:$B$3689,0))</f>
        <v>31086</v>
      </c>
      <c r="G146" s="10" t="n">
        <f t="array" ref="G146">INDEX('原始数据'!F$2:F$3689,MATCH($C146,'原始数据'!$B$2:$B$3689,0))</f>
        <v>5613</v>
      </c>
      <c r="H146" s="10" t="n">
        <f t="array" ref="H146">INDEX('原始数据'!G$2:G$3689,MATCH($C146,'原始数据'!$B$2:$B$3689,0))</f>
        <v>8240</v>
      </c>
      <c r="I146" s="11" t="n">
        <f t="array" ref="I146">INDEX('原始数据'!H$2:H$3689,MATCH($C146,'原始数据'!$B$2:$B$3689,0))</f>
        <v>6926.5</v>
      </c>
      <c r="J146" s="16" t="n">
        <f>IF(F146=0,I146*2,F146/$N$603+I146)</f>
        <v>12510.7834147807</v>
      </c>
      <c r="K146" s="18" t="n">
        <f>ROW(K146)-1</f>
        <v>145</v>
      </c>
      <c r="L146" s="18" t="n">
        <f t="array" ref="L146">INDEX(TOP3277!#REF!,MATCH(C146,TOP3277!$B$501:$B$3035,0))</f>
        <v>1269</v>
      </c>
    </row>
    <row r="147" ht="14.399999999999999" customHeight="1">
      <c r="A147" s="14" t="n">
        <v>7948</v>
      </c>
      <c r="B147" s="10" t="s">
        <v>114</v>
      </c>
      <c r="C147" s="10" t="s">
        <v>115</v>
      </c>
      <c r="D147" s="13" t="n">
        <v>46060</v>
      </c>
      <c r="E147" s="13" t="n">
        <v>73574</v>
      </c>
      <c r="F147" s="11" t="n">
        <f>SUM(D147+E147)/2</f>
        <v>59817</v>
      </c>
      <c r="G147" s="12" t="n">
        <v>1366</v>
      </c>
      <c r="H147" s="12" t="n">
        <v>1969</v>
      </c>
      <c r="I147" s="11" t="n">
        <f>SUM(G147+H147)/2</f>
        <v>1667.5</v>
      </c>
      <c r="J147" s="16" t="n">
        <f>IF(F147=0,I147*2,F147/$N$603+I147)</f>
        <v>12413.0150557145</v>
      </c>
      <c r="K147" s="18" t="n">
        <f>ROW(K147)-1</f>
        <v>146</v>
      </c>
      <c r="L147" s="18" t="e">
        <f t="array" ref="L147">INDEX(TOP3277!#REF!,MATCH(C147,TOP3277!$B$501:$B$3035,0))</f>
        <v>#N/A</v>
      </c>
    </row>
    <row r="148" ht="14.399999999999999" customHeight="1">
      <c r="A148" s="14" t="n">
        <v>3218</v>
      </c>
      <c r="B148" s="10" t="s">
        <v>8194</v>
      </c>
      <c r="C148" s="10" t="s">
        <v>8195</v>
      </c>
      <c r="D148" s="13" t="n">
        <v>10615</v>
      </c>
      <c r="E148" s="13" t="n">
        <v>16959</v>
      </c>
      <c r="F148" s="11" t="n">
        <f>SUM(D148+E148)/2</f>
        <v>13787</v>
      </c>
      <c r="G148" s="12" t="n">
        <v>7481</v>
      </c>
      <c r="H148" s="12" t="n">
        <v>12063</v>
      </c>
      <c r="I148" s="11" t="n">
        <f>SUM(G148+H148)/2</f>
        <v>9772</v>
      </c>
      <c r="J148" s="16" t="n">
        <f>IF(F148=0,I148*2,F148/$N$603+I148)</f>
        <v>12248.6941851503</v>
      </c>
      <c r="K148" s="18" t="n">
        <f>ROW(K148)-1</f>
        <v>147</v>
      </c>
      <c r="L148" s="18" t="e">
        <f t="array" ref="L148">INDEX(TOP3277!#REF!,MATCH(C148,TOP3277!$B$501:$B$3035,0))</f>
        <v>#N/A</v>
      </c>
    </row>
    <row r="149" ht="14.399999999999999" customHeight="1">
      <c r="A149" s="14" t="n">
        <v>2933</v>
      </c>
      <c r="B149" s="10" t="s">
        <v>222</v>
      </c>
      <c r="C149" s="10" t="s">
        <v>223</v>
      </c>
      <c r="D149" s="10" t="n">
        <f t="array" ref="D149">INDEX('原始数据'!C$2:C$3689,MATCH($C149,'原始数据'!$B$2:$B$3689,0))</f>
        <v>25319</v>
      </c>
      <c r="E149" s="10" t="n">
        <f t="array" ref="E149">INDEX('原始数据'!D$2:D$3689,MATCH($C149,'原始数据'!$B$2:$B$3689,0))</f>
        <v>40447</v>
      </c>
      <c r="F149" s="11" t="n">
        <f t="array" ref="F149">INDEX('原始数据'!E$2:E$3689,MATCH($C149,'原始数据'!$B$2:$B$3689,0))</f>
        <v>32883</v>
      </c>
      <c r="G149" s="10" t="n">
        <f t="array" ref="G149">INDEX('原始数据'!F$2:F$3689,MATCH($C149,'原始数据'!$B$2:$B$3689,0))</f>
        <v>5087</v>
      </c>
      <c r="H149" s="10" t="n">
        <f t="array" ref="H149">INDEX('原始数据'!G$2:G$3689,MATCH($C149,'原始数据'!$B$2:$B$3689,0))</f>
        <v>7200</v>
      </c>
      <c r="I149" s="11" t="n">
        <f t="array" ref="I149">INDEX('原始数据'!H$2:H$3689,MATCH($C149,'原始数据'!$B$2:$B$3689,0))</f>
        <v>6143.5</v>
      </c>
      <c r="J149" s="16" t="n">
        <f>IF(F149=0,I149*2,F149/$N$603+I149)</f>
        <v>12050.5961696016</v>
      </c>
      <c r="K149" s="18" t="n">
        <f>ROW(K149)-1</f>
        <v>148</v>
      </c>
      <c r="L149" s="18" t="n">
        <f t="array" ref="L149">INDEX(TOP3277!#REF!,MATCH(C149,TOP3277!$B$501:$B$3035,0))</f>
        <v>1283</v>
      </c>
    </row>
    <row r="150" ht="14.399999999999999" customHeight="1">
      <c r="A150" s="14" t="n">
        <v>3192</v>
      </c>
      <c r="B150" s="10" t="s">
        <v>4723</v>
      </c>
      <c r="C150" s="10" t="s">
        <v>4724</v>
      </c>
      <c r="D150" s="10" t="n">
        <f t="array" ref="D150">INDEX('原始数据'!C$2:C$3689,MATCH($C150,'原始数据'!$B$2:$B$3689,0))</f>
        <v>24383</v>
      </c>
      <c r="E150" s="10" t="n">
        <f t="array" ref="E150">INDEX('原始数据'!D$2:D$3689,MATCH($C150,'原始数据'!$B$2:$B$3689,0))</f>
        <v>38951</v>
      </c>
      <c r="F150" s="11" t="n">
        <f t="array" ref="F150">INDEX('原始数据'!E$2:E$3689,MATCH($C150,'原始数据'!$B$2:$B$3689,0))</f>
        <v>31667</v>
      </c>
      <c r="G150" s="10" t="n">
        <f t="array" ref="G150">INDEX('原始数据'!F$2:F$3689,MATCH($C150,'原始数据'!$B$2:$B$3689,0))</f>
        <v>4657</v>
      </c>
      <c r="H150" s="10" t="n">
        <f t="array" ref="H150">INDEX('原始数据'!G$2:G$3689,MATCH($C150,'原始数据'!$B$2:$B$3689,0))</f>
        <v>7284</v>
      </c>
      <c r="I150" s="11" t="n">
        <f t="array" ref="I150">INDEX('原始数据'!H$2:H$3689,MATCH($C150,'原始数据'!$B$2:$B$3689,0))</f>
        <v>5970.5</v>
      </c>
      <c r="J150" s="16" t="n">
        <f>IF(F150=0,I150*2,F150/$N$603+I150)</f>
        <v>11659.1541496449</v>
      </c>
      <c r="K150" s="18" t="n">
        <f>ROW(K150)-1</f>
        <v>149</v>
      </c>
      <c r="L150" s="18" t="n">
        <f t="array" ref="L150">INDEX(TOP3277!#REF!,MATCH(C150,TOP3277!$B$501:$B$3035,0))</f>
        <v>1308</v>
      </c>
    </row>
    <row r="151" ht="14.399999999999999" customHeight="1">
      <c r="A151" s="14" t="n">
        <v>15744</v>
      </c>
      <c r="B151" s="10" t="s">
        <v>8196</v>
      </c>
      <c r="C151" s="10" t="s">
        <v>8197</v>
      </c>
      <c r="D151" s="13" t="n">
        <v>46417</v>
      </c>
      <c r="E151" s="13" t="n">
        <v>74147</v>
      </c>
      <c r="F151" s="11" t="n">
        <f>SUM(D151+E151)/2</f>
        <v>60282</v>
      </c>
      <c r="G151" s="18" t="n">
        <v>632</v>
      </c>
      <c r="H151" s="18" t="n">
        <v>924</v>
      </c>
      <c r="I151" s="11" t="n">
        <f>SUM(G151+H151)/2</f>
        <v>778</v>
      </c>
      <c r="J151" s="16" t="n">
        <f>IF(F151=0,I151*2,F151/$N$603+I151)</f>
        <v>11607.0475715696</v>
      </c>
      <c r="K151" s="18" t="n">
        <f>ROW(K151)-1</f>
        <v>150</v>
      </c>
      <c r="L151" s="18" t="e">
        <f t="array" ref="L151">INDEX(TOP3277!#REF!,MATCH(C151,TOP3277!$B$501:$B$3035,0))</f>
        <v>#N/A</v>
      </c>
    </row>
    <row r="152" ht="14.399999999999999" customHeight="1">
      <c r="A152" s="14" t="n">
        <v>2658</v>
      </c>
      <c r="B152" s="10" t="s">
        <v>8198</v>
      </c>
      <c r="C152" s="10" t="s">
        <v>8199</v>
      </c>
      <c r="D152" s="13" t="n">
        <v>9642</v>
      </c>
      <c r="E152" s="13" t="n">
        <v>15404</v>
      </c>
      <c r="F152" s="11" t="n">
        <f>SUM(D152+E152)/2</f>
        <v>12523</v>
      </c>
      <c r="G152" s="12" t="n">
        <v>8271</v>
      </c>
      <c r="H152" s="12" t="n">
        <v>9784</v>
      </c>
      <c r="I152" s="11" t="n">
        <f>SUM(G152+H152)/2</f>
        <v>9027.5</v>
      </c>
      <c r="J152" s="16" t="n">
        <f>IF(F152=0,I152*2,F152/$N$603+I152)</f>
        <v>11277.1294538795</v>
      </c>
      <c r="K152" s="18" t="n">
        <f>ROW(K152)-1</f>
        <v>151</v>
      </c>
      <c r="L152" s="18" t="e">
        <f t="array" ref="L152">INDEX(TOP3277!#REF!,MATCH(C152,TOP3277!$B$501:$B$3035,0))</f>
        <v>#N/A</v>
      </c>
    </row>
    <row r="153" ht="14.399999999999999" customHeight="1">
      <c r="A153" s="14" t="n">
        <v>3874</v>
      </c>
      <c r="B153" s="10" t="s">
        <v>118</v>
      </c>
      <c r="C153" s="10" t="s">
        <v>119</v>
      </c>
      <c r="D153" s="13" t="n">
        <v>25237</v>
      </c>
      <c r="E153" s="13" t="n">
        <v>40313</v>
      </c>
      <c r="F153" s="11" t="n">
        <f>SUM(D153+E153)/2</f>
        <v>32775</v>
      </c>
      <c r="G153" s="12" t="n">
        <v>3869</v>
      </c>
      <c r="H153" s="12" t="n">
        <v>6781</v>
      </c>
      <c r="I153" s="11" t="n">
        <f>SUM(G153+H153)/2</f>
        <v>5325</v>
      </c>
      <c r="J153" s="16" t="n">
        <f>IF(F153=0,I153*2,F153/$N$603+I153)</f>
        <v>11212.6950691449</v>
      </c>
      <c r="K153" s="18" t="n">
        <f>ROW(K153)-1</f>
        <v>152</v>
      </c>
      <c r="L153" s="18" t="e">
        <f t="array" ref="L153">INDEX(TOP3277!#REF!,MATCH(C153,TOP3277!$B$501:$B$3035,0))</f>
        <v>#N/A</v>
      </c>
    </row>
    <row r="154" ht="14.399999999999999" customHeight="1">
      <c r="A154" s="14" t="n">
        <v>3864</v>
      </c>
      <c r="B154" s="10" t="s">
        <v>8200</v>
      </c>
      <c r="C154" s="10" t="s">
        <v>8201</v>
      </c>
      <c r="D154" s="13" t="n">
        <v>23539</v>
      </c>
      <c r="E154" s="13" t="n">
        <v>37603</v>
      </c>
      <c r="F154" s="11" t="n">
        <f>SUM(D154+E154)/2</f>
        <v>30571</v>
      </c>
      <c r="G154" s="12" t="n">
        <v>4914</v>
      </c>
      <c r="H154" s="12" t="n">
        <v>6520</v>
      </c>
      <c r="I154" s="11" t="n">
        <f>SUM(G154+H154)/2</f>
        <v>5717</v>
      </c>
      <c r="J154" s="16" t="n">
        <f>IF(F154=0,I154*2,F154/$N$603+I154)</f>
        <v>11208.7689079734</v>
      </c>
      <c r="K154" s="18" t="n">
        <f>ROW(K154)-1</f>
        <v>153</v>
      </c>
      <c r="L154" s="18" t="e">
        <f t="array" ref="L154">INDEX(TOP3277!#REF!,MATCH(C154,TOP3277!$B$501:$B$3035,0))</f>
        <v>#N/A</v>
      </c>
    </row>
    <row r="155" ht="14.399999999999999" customHeight="1">
      <c r="A155" s="14" t="n">
        <v>4217</v>
      </c>
      <c r="B155" s="10" t="s">
        <v>120</v>
      </c>
      <c r="C155" s="10" t="s">
        <v>121</v>
      </c>
      <c r="D155" s="13" t="n">
        <v>29073</v>
      </c>
      <c r="E155" s="13" t="n">
        <v>46441</v>
      </c>
      <c r="F155" s="11" t="n">
        <f>SUM(D155+E155)/2</f>
        <v>37757</v>
      </c>
      <c r="G155" s="12" t="n">
        <v>3533</v>
      </c>
      <c r="H155" s="12" t="n">
        <v>4993</v>
      </c>
      <c r="I155" s="11" t="n">
        <f>SUM(G155+H155)/2</f>
        <v>4263</v>
      </c>
      <c r="J155" s="16" t="n">
        <f>IF(F155=0,I155*2,F155/$N$603+I155)</f>
        <v>11045.6606476188</v>
      </c>
      <c r="K155" s="18" t="n">
        <f>ROW(K155)-1</f>
        <v>154</v>
      </c>
      <c r="L155" s="18" t="e">
        <f t="array" ref="L155">INDEX(TOP3277!#REF!,MATCH(C155,TOP3277!$B$501:$B$3035,0))</f>
        <v>#N/A</v>
      </c>
    </row>
    <row r="156" ht="14.399999999999999" customHeight="1">
      <c r="A156" s="10" t="n">
        <v>396</v>
      </c>
      <c r="B156" s="10" t="s">
        <v>206</v>
      </c>
      <c r="C156" s="10" t="s">
        <v>207</v>
      </c>
      <c r="D156" s="13" t="n">
        <v>27305</v>
      </c>
      <c r="E156" s="13" t="n">
        <v>43615</v>
      </c>
      <c r="F156" s="11" t="n">
        <f>SUM(D156+E156)/2</f>
        <v>35460</v>
      </c>
      <c r="G156" s="12" t="n">
        <v>3114</v>
      </c>
      <c r="H156" s="12" t="n">
        <v>5747</v>
      </c>
      <c r="I156" s="11" t="n">
        <f>SUM(G156+H156)/2</f>
        <v>4430.5</v>
      </c>
      <c r="J156" s="16" t="n">
        <f>IF(F156=0,I156*2,F156/$N$603+I156)</f>
        <v>10800.5279832762</v>
      </c>
      <c r="K156" s="18" t="n">
        <f>ROW(K156)-1</f>
        <v>155</v>
      </c>
      <c r="L156" s="18" t="e">
        <f t="array" ref="L156">INDEX(TOP3277!#REF!,MATCH(C156,TOP3277!$B$501:$B$3035,0))</f>
        <v>#N/A</v>
      </c>
    </row>
    <row r="157" ht="14.399999999999999" customHeight="1">
      <c r="A157" s="14" t="n">
        <v>2701</v>
      </c>
      <c r="B157" s="10" t="s">
        <v>124</v>
      </c>
      <c r="C157" s="10" t="s">
        <v>125</v>
      </c>
      <c r="D157" s="10" t="n">
        <f t="array" ref="D157">INDEX('原始数据'!C$2:C$3689,MATCH($C157,'原始数据'!$B$2:$B$3689,0))</f>
        <v>21889</v>
      </c>
      <c r="E157" s="10" t="n">
        <f t="array" ref="E157">INDEX('原始数据'!D$2:D$3689,MATCH($C157,'原始数据'!$B$2:$B$3689,0))</f>
        <v>34967</v>
      </c>
      <c r="F157" s="11" t="n">
        <f t="array" ref="F157">INDEX('原始数据'!E$2:E$3689,MATCH($C157,'原始数据'!$B$2:$B$3689,0))</f>
        <v>28428</v>
      </c>
      <c r="G157" s="10" t="n">
        <f t="array" ref="G157">INDEX('原始数据'!F$2:F$3689,MATCH($C157,'原始数据'!$B$2:$B$3689,0))</f>
        <v>4427</v>
      </c>
      <c r="H157" s="10" t="n">
        <f t="array" ref="H157">INDEX('原始数据'!G$2:G$3689,MATCH($C157,'原始数据'!$B$2:$B$3689,0))</f>
        <v>6604</v>
      </c>
      <c r="I157" s="11" t="n">
        <f t="array" ref="I157">INDEX('原始数据'!H$2:H$3689,MATCH($C157,'原始数据'!$B$2:$B$3689,0))</f>
        <v>5515.5</v>
      </c>
      <c r="J157" s="16" t="n">
        <f>IF(F157=0,I157*2,F157/$N$603+I157)</f>
        <v>10622.3007757636</v>
      </c>
      <c r="K157" s="18" t="n">
        <f>ROW(K157)-1</f>
        <v>156</v>
      </c>
      <c r="L157" s="18" t="n">
        <f t="array" ref="L157">INDEX(TOP3277!#REF!,MATCH(C157,TOP3277!$B$501:$B$3035,0))</f>
        <v>1359</v>
      </c>
    </row>
    <row r="158" ht="14.399999999999999" customHeight="1">
      <c r="A158" s="14" t="n">
        <v>4754</v>
      </c>
      <c r="B158" s="10" t="s">
        <v>8202</v>
      </c>
      <c r="C158" s="10" t="s">
        <v>4832</v>
      </c>
      <c r="D158" s="10" t="n">
        <f t="array" ref="D158">INDEX('原始数据'!C$2:C$3689,MATCH($C158,'原始数据'!$B$2:$B$3689,0))</f>
        <v>24075</v>
      </c>
      <c r="E158" s="10" t="n">
        <f t="array" ref="E158">INDEX('原始数据'!D$2:D$3689,MATCH($C158,'原始数据'!$B$2:$B$3689,0))</f>
        <v>38457</v>
      </c>
      <c r="F158" s="11" t="n">
        <f t="array" ref="F158">INDEX('原始数据'!E$2:E$3689,MATCH($C158,'原始数据'!$B$2:$B$3689,0))</f>
        <v>31266</v>
      </c>
      <c r="G158" s="10" t="n">
        <f t="array" ref="G158">INDEX('原始数据'!F$2:F$3689,MATCH($C158,'原始数据'!$B$2:$B$3689,0))</f>
        <v>4301</v>
      </c>
      <c r="H158" s="10" t="n">
        <f t="array" ref="H158">INDEX('原始数据'!G$2:G$3689,MATCH($C158,'原始数据'!$B$2:$B$3689,0))</f>
        <v>5431</v>
      </c>
      <c r="I158" s="11" t="n">
        <f t="array" ref="I158">INDEX('原始数据'!H$2:H$3689,MATCH($C158,'原始数据'!$B$2:$B$3689,0))</f>
        <v>4866</v>
      </c>
      <c r="J158" s="16" t="n">
        <f>IF(F158=0,I158*2,F158/$N$603+I158)</f>
        <v>10482.6185822085</v>
      </c>
      <c r="K158" s="18" t="n">
        <f>ROW(K158)-1</f>
        <v>157</v>
      </c>
      <c r="L158" s="18" t="n">
        <f t="array" ref="L158">INDEX(TOP3277!#REF!,MATCH(C158,TOP3277!$B$501:$B$3035,0))</f>
        <v>1365</v>
      </c>
    </row>
    <row r="159" ht="14.399999999999999" customHeight="1">
      <c r="A159" s="14" t="n">
        <v>3517</v>
      </c>
      <c r="B159" s="10" t="s">
        <v>4823</v>
      </c>
      <c r="C159" s="10" t="s">
        <v>4824</v>
      </c>
      <c r="D159" s="10" t="n">
        <f t="array" ref="D159">INDEX('原始数据'!C$2:C$3689,MATCH($C159,'原始数据'!$B$2:$B$3689,0))</f>
        <v>27103</v>
      </c>
      <c r="E159" s="10" t="n">
        <f t="array" ref="E159">INDEX('原始数据'!D$2:D$3689,MATCH($C159,'原始数据'!$B$2:$B$3689,0))</f>
        <v>43296</v>
      </c>
      <c r="F159" s="11" t="n">
        <f t="array" ref="F159">INDEX('原始数据'!E$2:E$3689,MATCH($C159,'原始数据'!$B$2:$B$3689,0))</f>
        <v>35199.5</v>
      </c>
      <c r="G159" s="10" t="n">
        <f t="array" ref="G159">INDEX('原始数据'!F$2:F$3689,MATCH($C159,'原始数据'!$B$2:$B$3689,0))</f>
        <v>3106</v>
      </c>
      <c r="H159" s="10" t="n">
        <f t="array" ref="H159">INDEX('原始数据'!G$2:G$3689,MATCH($C159,'原始数据'!$B$2:$B$3689,0))</f>
        <v>5011</v>
      </c>
      <c r="I159" s="11" t="n">
        <f t="array" ref="I159">INDEX('原始数据'!H$2:H$3689,MATCH($C159,'原始数据'!$B$2:$B$3689,0))</f>
        <v>4058.5</v>
      </c>
      <c r="J159" s="16" t="n">
        <f>IF(F159=0,I159*2,F159/$N$603+I159)</f>
        <v>10381.7318104155</v>
      </c>
      <c r="K159" s="18" t="n">
        <f>ROW(K159)-1</f>
        <v>158</v>
      </c>
      <c r="L159" s="18" t="n">
        <f t="array" ref="L159">INDEX(TOP3277!#REF!,MATCH(C159,TOP3277!$B$501:$B$3035,0))</f>
        <v>1361</v>
      </c>
    </row>
    <row r="160" ht="14.399999999999999" customHeight="1">
      <c r="A160" s="10" t="n">
        <v>286</v>
      </c>
      <c r="B160" s="10" t="s">
        <v>126</v>
      </c>
      <c r="C160" s="10" t="s">
        <v>127</v>
      </c>
      <c r="D160" s="13" t="n">
        <v>38385</v>
      </c>
      <c r="E160" s="13" t="n">
        <v>61319</v>
      </c>
      <c r="F160" s="11" t="n">
        <f>SUM(D160+E160)/2</f>
        <v>49852</v>
      </c>
      <c r="G160" s="18" t="n">
        <v>779</v>
      </c>
      <c r="H160" s="12" t="n">
        <v>1552</v>
      </c>
      <c r="I160" s="11" t="n">
        <f>SUM(G160+H160)/2</f>
        <v>1165.5</v>
      </c>
      <c r="J160" s="16" t="n">
        <f>IF(F160=0,I160*2,F160/$N$603+I160)</f>
        <v>10120.9042589477</v>
      </c>
      <c r="K160" s="18" t="n">
        <f>ROW(K160)-1</f>
        <v>159</v>
      </c>
      <c r="L160" s="18" t="n">
        <f t="array" ref="L160">INDEX(TOP3277!#REF!,MATCH(C160,TOP3277!$B$501:$B$3035,0))</f>
        <v>1350</v>
      </c>
    </row>
    <row r="161" ht="14.399999999999999" customHeight="1">
      <c r="A161" s="14" t="n">
        <v>3693</v>
      </c>
      <c r="B161" s="10" t="s">
        <v>8203</v>
      </c>
      <c r="C161" s="10" t="s">
        <v>8204</v>
      </c>
      <c r="D161" s="13" t="n">
        <v>17012</v>
      </c>
      <c r="E161" s="13" t="n">
        <v>27176</v>
      </c>
      <c r="F161" s="11" t="n">
        <f>SUM(D161+E161)/2</f>
        <v>22094</v>
      </c>
      <c r="G161" s="12" t="n">
        <v>4894</v>
      </c>
      <c r="H161" s="12" t="n">
        <v>6919</v>
      </c>
      <c r="I161" s="11" t="n">
        <f>SUM(G161+H161)/2</f>
        <v>5906.5</v>
      </c>
      <c r="J161" s="16" t="n">
        <f>IF(F161=0,I161*2,F161/$N$603+I161)</f>
        <v>9875.46216194318</v>
      </c>
      <c r="K161" s="18" t="n">
        <f>ROW(K161)-1</f>
        <v>160</v>
      </c>
      <c r="L161" s="18" t="e">
        <f t="array" ref="L161">INDEX(TOP3277!#REF!,MATCH(C161,TOP3277!$B$501:$B$3035,0))</f>
        <v>#N/A</v>
      </c>
    </row>
    <row r="162" ht="14.399999999999999" customHeight="1">
      <c r="A162" s="14" t="n">
        <v>4016</v>
      </c>
      <c r="B162" s="10" t="s">
        <v>8030</v>
      </c>
      <c r="C162" s="10" t="s">
        <v>8205</v>
      </c>
      <c r="D162" s="13" t="n">
        <v>5693</v>
      </c>
      <c r="E162" s="13" t="n">
        <v>9095</v>
      </c>
      <c r="F162" s="11" t="n">
        <f>SUM(D162+E162)/2</f>
        <v>7394</v>
      </c>
      <c r="G162" s="12" t="n">
        <v>6810</v>
      </c>
      <c r="H162" s="12" t="n">
        <v>10194</v>
      </c>
      <c r="I162" s="11" t="n">
        <f>SUM(G162+H162)/2</f>
        <v>8502</v>
      </c>
      <c r="J162" s="16" t="n">
        <f>IF(F162=0,I162*2,F162/$N$603+I162)</f>
        <v>9830.25682200633</v>
      </c>
      <c r="K162" s="18" t="n">
        <f>ROW(K162)-1</f>
        <v>161</v>
      </c>
      <c r="L162" s="18" t="e">
        <f t="array" ref="L162">INDEX(TOP3277!#REF!,MATCH(C162,TOP3277!$B$501:$B$3035,0))</f>
        <v>#N/A</v>
      </c>
    </row>
    <row r="163" ht="14.399999999999999" customHeight="1">
      <c r="A163" s="14" t="n">
        <v>4135</v>
      </c>
      <c r="B163" s="10" t="s">
        <v>128</v>
      </c>
      <c r="C163" s="10" t="s">
        <v>129</v>
      </c>
      <c r="D163" s="13" t="n">
        <v>25835</v>
      </c>
      <c r="E163" s="13" t="n">
        <v>41269</v>
      </c>
      <c r="F163" s="11" t="n">
        <f>SUM(D163+E163)/2</f>
        <v>33552</v>
      </c>
      <c r="G163" s="12" t="n">
        <v>2780</v>
      </c>
      <c r="H163" s="12" t="n">
        <v>4329</v>
      </c>
      <c r="I163" s="11" t="n">
        <f>SUM(G163+H163)/2</f>
        <v>3554.5</v>
      </c>
      <c r="J163" s="16" t="n">
        <f>IF(F163=0,I163*2,F163/$N$603+I163)</f>
        <v>9581.77520854158</v>
      </c>
      <c r="K163" s="18" t="n">
        <f>ROW(K163)-1</f>
        <v>162</v>
      </c>
      <c r="L163" s="18" t="e">
        <f t="array" ref="L163">INDEX(TOP3277!#REF!,MATCH(C163,TOP3277!$B$501:$B$3035,0))</f>
        <v>#N/A</v>
      </c>
    </row>
    <row r="164" ht="14.399999999999999" customHeight="1">
      <c r="A164" s="14" t="n">
        <v>3640</v>
      </c>
      <c r="B164" s="10" t="s">
        <v>8206</v>
      </c>
      <c r="C164" s="10" t="s">
        <v>8207</v>
      </c>
      <c r="D164" s="13" t="n">
        <v>15160</v>
      </c>
      <c r="E164" s="13" t="n">
        <v>24218</v>
      </c>
      <c r="F164" s="11" t="n">
        <f>SUM(D164+E164)/2</f>
        <v>19689</v>
      </c>
      <c r="G164" s="12" t="n">
        <v>5379</v>
      </c>
      <c r="H164" s="12" t="n">
        <v>6507</v>
      </c>
      <c r="I164" s="11" t="n">
        <f>SUM(G164+H164)/2</f>
        <v>5943</v>
      </c>
      <c r="J164" s="16" t="n">
        <f>IF(F164=0,I164*2,F164/$N$603+I164)</f>
        <v>9479.92839714399</v>
      </c>
      <c r="K164" s="18" t="n">
        <f>ROW(K164)-1</f>
        <v>163</v>
      </c>
      <c r="L164" s="18" t="e">
        <f t="array" ref="L164">INDEX(TOP3277!#REF!,MATCH(C164,TOP3277!$B$501:$B$3035,0))</f>
        <v>#N/A</v>
      </c>
    </row>
    <row r="165" ht="14.399999999999999" customHeight="1">
      <c r="A165" s="14" t="n">
        <v>5332</v>
      </c>
      <c r="B165" s="10" t="s">
        <v>216</v>
      </c>
      <c r="C165" s="10" t="s">
        <v>8208</v>
      </c>
      <c r="D165" s="13" t="n">
        <v>29898</v>
      </c>
      <c r="E165" s="13" t="n">
        <v>47760</v>
      </c>
      <c r="F165" s="11" t="n">
        <f>SUM(D165+E165)/2</f>
        <v>38829</v>
      </c>
      <c r="G165" s="12" t="n">
        <v>1005</v>
      </c>
      <c r="H165" s="12" t="n">
        <v>3961</v>
      </c>
      <c r="I165" s="11" t="n">
        <f>SUM(G165+H165)/2</f>
        <v>2483</v>
      </c>
      <c r="J165" s="16" t="n">
        <f>IF(F165=0,I165*2,F165/$N$603+I165)</f>
        <v>9458.23453363319</v>
      </c>
      <c r="K165" s="18" t="n">
        <f>ROW(K165)-1</f>
        <v>164</v>
      </c>
      <c r="L165" s="18" t="e">
        <f t="array" ref="L165">INDEX(TOP3277!#REF!,MATCH(C165,TOP3277!$B$501:$B$3035,0))</f>
        <v>#N/A</v>
      </c>
    </row>
    <row r="166" ht="14.399999999999999" customHeight="1">
      <c r="A166" s="14" t="n">
        <v>7225</v>
      </c>
      <c r="B166" s="10" t="s">
        <v>8209</v>
      </c>
      <c r="C166" s="10" t="s">
        <v>131</v>
      </c>
      <c r="D166" s="13" t="n">
        <v>26325</v>
      </c>
      <c r="E166" s="13" t="n">
        <v>42051</v>
      </c>
      <c r="F166" s="11" t="n">
        <f>SUM(D166+E166)/2</f>
        <v>34188</v>
      </c>
      <c r="G166" s="12" t="n">
        <v>2578</v>
      </c>
      <c r="H166" s="12" t="n">
        <v>3454</v>
      </c>
      <c r="I166" s="11" t="n">
        <f>SUM(G166+H166)/2</f>
        <v>3016</v>
      </c>
      <c r="J166" s="16" t="n">
        <f>IF(F166=0,I166*2,F166/$N$603+I166)</f>
        <v>9157.52613345313</v>
      </c>
      <c r="K166" s="18" t="n">
        <f>ROW(K166)-1</f>
        <v>165</v>
      </c>
      <c r="L166" s="18" t="n">
        <f t="array" ref="L166">INDEX(TOP3277!#REF!,MATCH(C166,TOP3277!$B$501:$B$3035,0))</f>
        <v>1500</v>
      </c>
    </row>
    <row r="167" ht="14.399999999999999" customHeight="1">
      <c r="A167" s="14" t="n">
        <v>3925</v>
      </c>
      <c r="B167" s="10" t="s">
        <v>8210</v>
      </c>
      <c r="C167" s="10" t="s">
        <v>8211</v>
      </c>
      <c r="D167" s="13" t="n">
        <v>25420</v>
      </c>
      <c r="E167" s="13" t="n">
        <v>40608</v>
      </c>
      <c r="F167" s="11" t="n">
        <f>SUM(D167+E167)/2</f>
        <v>33014</v>
      </c>
      <c r="G167" s="12" t="n">
        <v>2803</v>
      </c>
      <c r="H167" s="12" t="n">
        <v>3619</v>
      </c>
      <c r="I167" s="11" t="n">
        <f>SUM(G167+H167)/2</f>
        <v>3211</v>
      </c>
      <c r="J167" s="16" t="n">
        <f>IF(F167=0,I167*2,F167/$N$603+I167)</f>
        <v>9141.62898589627</v>
      </c>
      <c r="K167" s="18" t="n">
        <f>ROW(K167)-1</f>
        <v>166</v>
      </c>
      <c r="L167" s="18" t="e">
        <f t="array" ref="L167">INDEX(TOP3277!#REF!,MATCH(C167,TOP3277!$B$501:$B$3035,0))</f>
        <v>#N/A</v>
      </c>
    </row>
    <row r="168" ht="14.399999999999999" customHeight="1">
      <c r="A168" s="14" t="n">
        <v>5724</v>
      </c>
      <c r="B168" s="10" t="s">
        <v>136</v>
      </c>
      <c r="C168" s="10" t="s">
        <v>137</v>
      </c>
      <c r="D168" s="10"/>
      <c r="E168" s="10"/>
      <c r="F168" s="11" t="n">
        <f>SUM(D168+E168)/2</f>
        <v>0</v>
      </c>
      <c r="G168" s="12" t="n">
        <v>3526</v>
      </c>
      <c r="H168" s="12" t="n">
        <v>5559</v>
      </c>
      <c r="I168" s="11" t="n">
        <f>SUM(G168+H168)/2</f>
        <v>4542.5</v>
      </c>
      <c r="J168" s="16" t="n">
        <f>IF(F168=0,I168*2,F168/$N$603+I168)</f>
        <v>9085</v>
      </c>
      <c r="K168" s="18" t="n">
        <f>ROW(K168)-1</f>
        <v>167</v>
      </c>
      <c r="L168" s="18" t="e">
        <f t="array" ref="L168">INDEX(TOP3277!#REF!,MATCH(C168,TOP3277!$B$501:$B$3035,0))</f>
        <v>#N/A</v>
      </c>
    </row>
    <row r="169" ht="14.399999999999999" customHeight="1">
      <c r="A169" s="10" t="n">
        <v>282</v>
      </c>
      <c r="B169" s="10" t="s">
        <v>132</v>
      </c>
      <c r="C169" s="10" t="s">
        <v>133</v>
      </c>
      <c r="D169" s="10" t="n">
        <f t="array" ref="D169">INDEX('原始数据'!C$2:C$3689,MATCH($C169,'原始数据'!$B$2:$B$3689,0))</f>
        <v>11735</v>
      </c>
      <c r="E169" s="10" t="n">
        <f t="array" ref="E169">INDEX('原始数据'!D$2:D$3689,MATCH($C169,'原始数据'!$B$2:$B$3689,0))</f>
        <v>18749</v>
      </c>
      <c r="F169" s="11" t="n">
        <f t="array" ref="F169">INDEX('原始数据'!E$2:E$3689,MATCH($C169,'原始数据'!$B$2:$B$3689,0))</f>
        <v>15242</v>
      </c>
      <c r="G169" s="10" t="n">
        <f t="array" ref="G169">INDEX('原始数据'!F$2:F$3689,MATCH($C169,'原始数据'!$B$2:$B$3689,0))</f>
        <v>5637</v>
      </c>
      <c r="H169" s="10" t="n">
        <f t="array" ref="H169">INDEX('原始数据'!G$2:G$3689,MATCH($C169,'原始数据'!$B$2:$B$3689,0))</f>
        <v>6573</v>
      </c>
      <c r="I169" s="11" t="n">
        <f t="array" ref="I169">INDEX('原始数据'!H$2:H$3689,MATCH($C169,'原始数据'!$B$2:$B$3689,0))</f>
        <v>6105</v>
      </c>
      <c r="J169" s="16" t="n">
        <f>IF(F169=0,I169*2,F169/$N$603+I169)</f>
        <v>8843.07012185833</v>
      </c>
      <c r="K169" s="18" t="n">
        <f>ROW(K169)-1</f>
        <v>168</v>
      </c>
      <c r="L169" s="18" t="n">
        <f t="array" ref="L169">INDEX(TOP3277!#REF!,MATCH(C169,TOP3277!$B$501:$B$3035,0))</f>
        <v>1464</v>
      </c>
    </row>
    <row r="170" ht="14.399999999999999" customHeight="1">
      <c r="A170" s="14" t="n">
        <v>2644</v>
      </c>
      <c r="B170" s="10" t="s">
        <v>5039</v>
      </c>
      <c r="C170" s="10" t="s">
        <v>5040</v>
      </c>
      <c r="D170" s="10" t="n">
        <f t="array" ref="D170">INDEX('原始数据'!C$2:C$3689,MATCH($C170,'原始数据'!$B$2:$B$3689,0))</f>
        <v>10370</v>
      </c>
      <c r="E170" s="10" t="n">
        <f t="array" ref="E170">INDEX('原始数据'!D$2:D$3689,MATCH($C170,'原始数据'!$B$2:$B$3689,0))</f>
        <v>16560</v>
      </c>
      <c r="F170" s="11" t="n">
        <f t="array" ref="F170">INDEX('原始数据'!E$2:E$3689,MATCH($C170,'原始数据'!$B$2:$B$3689,0))</f>
        <v>13465</v>
      </c>
      <c r="G170" s="10" t="n">
        <f t="array" ref="G170">INDEX('原始数据'!F$2:F$3689,MATCH($C170,'原始数据'!$B$2:$B$3689,0))</f>
        <v>5763</v>
      </c>
      <c r="H170" s="10" t="n">
        <f t="array" ref="H170">INDEX('原始数据'!G$2:G$3689,MATCH($C170,'原始数据'!$B$2:$B$3689,0))</f>
        <v>7074</v>
      </c>
      <c r="I170" s="11" t="n">
        <f t="array" ref="I170">INDEX('原始数据'!H$2:H$3689,MATCH($C170,'原始数据'!$B$2:$B$3689,0))</f>
        <v>6418.5</v>
      </c>
      <c r="J170" s="16" t="n">
        <f>IF(F170=0,I170*2,F170/$N$603+I170)</f>
        <v>8837.35016341835</v>
      </c>
      <c r="K170" s="18" t="n">
        <f>ROW(K170)-1</f>
        <v>169</v>
      </c>
      <c r="L170" s="18" t="n">
        <f t="array" ref="L170">INDEX(TOP3277!#REF!,MATCH(C170,TOP3277!$B$501:$B$3035,0))</f>
        <v>1470</v>
      </c>
    </row>
    <row r="171" ht="14.399999999999999" customHeight="1">
      <c r="A171" s="14" t="n">
        <v>2653</v>
      </c>
      <c r="B171" s="10" t="s">
        <v>8212</v>
      </c>
      <c r="C171" s="10" t="s">
        <v>8213</v>
      </c>
      <c r="D171" s="13" t="n">
        <v>4822</v>
      </c>
      <c r="E171" s="13" t="n">
        <v>7702</v>
      </c>
      <c r="F171" s="11" t="n">
        <f>SUM(D171+E171)/2</f>
        <v>6262</v>
      </c>
      <c r="G171" s="12" t="n">
        <v>7170</v>
      </c>
      <c r="H171" s="12" t="n">
        <v>8102</v>
      </c>
      <c r="I171" s="11" t="n">
        <f>SUM(G171+H171)/2</f>
        <v>7636</v>
      </c>
      <c r="J171" s="16" t="n">
        <f>IF(F171=0,I171*2,F171/$N$603+I171)</f>
        <v>8760.90454684929</v>
      </c>
      <c r="K171" s="18" t="n">
        <f>ROW(K171)-1</f>
        <v>170</v>
      </c>
      <c r="L171" s="18" t="e">
        <f t="array" ref="L171">INDEX(TOP3277!#REF!,MATCH(C171,TOP3277!$B$501:$B$3035,0))</f>
        <v>#N/A</v>
      </c>
    </row>
    <row r="172" ht="14.399999999999999" customHeight="1">
      <c r="A172" s="14" t="n">
        <v>5125</v>
      </c>
      <c r="B172" s="10" t="s">
        <v>138</v>
      </c>
      <c r="C172" s="10" t="s">
        <v>139</v>
      </c>
      <c r="D172" s="13" t="n">
        <v>21879</v>
      </c>
      <c r="E172" s="13" t="n">
        <v>34951</v>
      </c>
      <c r="F172" s="11" t="n">
        <f>SUM(D172+E172)/2</f>
        <v>28415</v>
      </c>
      <c r="G172" s="12" t="n">
        <v>2411</v>
      </c>
      <c r="H172" s="12" t="n">
        <v>3390</v>
      </c>
      <c r="I172" s="11" t="n">
        <f>SUM(G172+H172)/2</f>
        <v>2900.5</v>
      </c>
      <c r="J172" s="16" t="n">
        <f>IF(F172=0,I172*2,F172/$N$603+I172)</f>
        <v>8004.96545811603</v>
      </c>
      <c r="K172" s="18" t="n">
        <f>ROW(K172)-1</f>
        <v>171</v>
      </c>
      <c r="L172" s="18" t="e">
        <f t="array" ref="L172">INDEX(TOP3277!#REF!,MATCH(C172,TOP3277!$B$501:$B$3035,0))</f>
        <v>#N/A</v>
      </c>
    </row>
    <row r="173" ht="14.399999999999999" customHeight="1">
      <c r="A173" s="14" t="n">
        <v>11343</v>
      </c>
      <c r="B173" s="10" t="s">
        <v>134</v>
      </c>
      <c r="C173" s="10" t="s">
        <v>135</v>
      </c>
      <c r="D173" s="13" t="n">
        <v>30327</v>
      </c>
      <c r="E173" s="13" t="n">
        <v>48443</v>
      </c>
      <c r="F173" s="11" t="n">
        <f>SUM(D173+E173)/2</f>
        <v>39385</v>
      </c>
      <c r="G173" s="18" t="n">
        <v>674</v>
      </c>
      <c r="H173" s="12" t="n">
        <v>1115</v>
      </c>
      <c r="I173" s="11" t="n">
        <f>SUM(G173+H173)/2</f>
        <v>894.5</v>
      </c>
      <c r="J173" s="16" t="n">
        <f>IF(F173=0,I173*2,F173/$N$603+I173)</f>
        <v>7969.61427302128</v>
      </c>
      <c r="K173" s="18" t="n">
        <f>ROW(K173)-1</f>
        <v>172</v>
      </c>
      <c r="L173" s="18" t="e">
        <f t="array" ref="L173">INDEX(TOP3277!#REF!,MATCH(C173,TOP3277!$B$501:$B$3035,0))</f>
        <v>#N/A</v>
      </c>
    </row>
    <row r="174" ht="14.399999999999999" customHeight="1">
      <c r="A174" s="14" t="n">
        <v>2812</v>
      </c>
      <c r="B174" s="10" t="s">
        <v>6759</v>
      </c>
      <c r="C174" s="10" t="s">
        <v>6760</v>
      </c>
      <c r="D174" s="10" t="n">
        <f t="array" ref="D174">INDEX('原始数据'!C$2:C$3689,MATCH($C174,'原始数据'!$B$2:$B$3689,0))</f>
        <v>1993</v>
      </c>
      <c r="E174" s="10" t="n">
        <f t="array" ref="E174">INDEX('原始数据'!D$2:D$3689,MATCH($C174,'原始数据'!$B$2:$B$3689,0))</f>
        <v>3183</v>
      </c>
      <c r="F174" s="11" t="n">
        <f t="array" ref="F174">INDEX('原始数据'!E$2:E$3689,MATCH($C174,'原始数据'!$B$2:$B$3689,0))</f>
        <v>2588</v>
      </c>
      <c r="G174" s="10" t="n">
        <f t="array" ref="G174">INDEX('原始数据'!F$2:F$3689,MATCH($C174,'原始数据'!$B$2:$B$3689,0))</f>
        <v>5949</v>
      </c>
      <c r="H174" s="10" t="n">
        <f t="array" ref="H174">INDEX('原始数据'!G$2:G$3689,MATCH($C174,'原始数据'!$B$2:$B$3689,0))</f>
        <v>8670</v>
      </c>
      <c r="I174" s="11" t="n">
        <f t="array" ref="I174">INDEX('原始数据'!H$2:H$3689,MATCH($C174,'原始数据'!$B$2:$B$3689,0))</f>
        <v>7309.5</v>
      </c>
      <c r="J174" s="16" t="n">
        <f>IF(F174=0,I174*2,F174/$N$603+I174)</f>
        <v>7774.40785168412</v>
      </c>
      <c r="K174" s="18" t="n">
        <f>ROW(K174)-1</f>
        <v>173</v>
      </c>
      <c r="L174" s="18" t="e">
        <f t="array" ref="L174">INDEX(TOP3277!#REF!,MATCH(C174,TOP3277!$B$501:$B$3035,0))</f>
        <v>#N/A</v>
      </c>
    </row>
    <row r="175" ht="14.399999999999999" customHeight="1">
      <c r="A175" s="10" t="n">
        <v>283</v>
      </c>
      <c r="B175" s="10" t="s">
        <v>6666</v>
      </c>
      <c r="C175" s="10" t="s">
        <v>237</v>
      </c>
      <c r="D175" s="10" t="n">
        <f t="array" ref="D175">INDEX('原始数据'!C$2:C$3689,MATCH($C175,'原始数据'!$B$2:$B$3689,0))</f>
        <v>16240</v>
      </c>
      <c r="E175" s="10" t="n">
        <f t="array" ref="E175">INDEX('原始数据'!D$2:D$3689,MATCH($C175,'原始数据'!$B$2:$B$3689,0))</f>
        <v>25940</v>
      </c>
      <c r="F175" s="11" t="n">
        <f t="array" ref="F175">INDEX('原始数据'!E$2:E$3689,MATCH($C175,'原始数据'!$B$2:$B$3689,0))</f>
        <v>21090</v>
      </c>
      <c r="G175" s="10" t="n">
        <f t="array" ref="G175">INDEX('原始数据'!F$2:F$3689,MATCH($C175,'原始数据'!$B$2:$B$3689,0))</f>
        <v>3039</v>
      </c>
      <c r="H175" s="10" t="n">
        <f t="array" ref="H175">INDEX('原始数据'!G$2:G$3689,MATCH($C175,'原始数据'!$B$2:$B$3689,0))</f>
        <v>4760</v>
      </c>
      <c r="I175" s="11" t="n">
        <f t="array" ref="I175">INDEX('原始数据'!H$2:H$3689,MATCH($C175,'原始数据'!$B$2:$B$3689,0))</f>
        <v>3899.5</v>
      </c>
      <c r="J175" s="16" t="n">
        <f>IF(F175=0,I175*2,F175/$N$603+I175)</f>
        <v>7688.10378362368</v>
      </c>
      <c r="K175" s="18" t="n">
        <f>ROW(K175)-1</f>
        <v>174</v>
      </c>
      <c r="L175" s="18" t="e">
        <f t="array" ref="L175">INDEX(TOP3277!#REF!,MATCH(C175,TOP3277!$B$501:$B$3035,0))</f>
        <v>#N/A</v>
      </c>
    </row>
    <row r="176" ht="14.399999999999999" customHeight="1">
      <c r="A176" s="14" t="n">
        <v>2801</v>
      </c>
      <c r="B176" s="10" t="s">
        <v>5125</v>
      </c>
      <c r="C176" s="10" t="s">
        <v>5126</v>
      </c>
      <c r="D176" s="10" t="n">
        <f t="array" ref="D176">INDEX('原始数据'!C$2:C$3689,MATCH($C176,'原始数据'!$B$2:$B$3689,0))</f>
        <v>3914</v>
      </c>
      <c r="E176" s="10" t="n">
        <f t="array" ref="E176">INDEX('原始数据'!D$2:D$3689,MATCH($C176,'原始数据'!$B$2:$B$3689,0))</f>
        <v>6250</v>
      </c>
      <c r="F176" s="11" t="n">
        <f t="array" ref="F176">INDEX('原始数据'!E$2:E$3689,MATCH($C176,'原始数据'!$B$2:$B$3689,0))</f>
        <v>5082</v>
      </c>
      <c r="G176" s="10" t="n">
        <f t="array" ref="G176">INDEX('原始数据'!F$2:F$3689,MATCH($C176,'原始数据'!$B$2:$B$3689,0))</f>
        <v>5151</v>
      </c>
      <c r="H176" s="10" t="n">
        <f t="array" ref="H176">INDEX('原始数据'!G$2:G$3689,MATCH($C176,'原始数据'!$B$2:$B$3689,0))</f>
        <v>8034</v>
      </c>
      <c r="I176" s="11" t="n">
        <f t="array" ref="I176">INDEX('原始数据'!H$2:H$3689,MATCH($C176,'原始数据'!$B$2:$B$3689,0))</f>
        <v>6592.5</v>
      </c>
      <c r="J176" s="16" t="n">
        <f>IF(F176=0,I176*2,F176/$N$603+I176)</f>
        <v>7505.42956037817</v>
      </c>
      <c r="K176" s="18" t="n">
        <f>ROW(K176)-1</f>
        <v>175</v>
      </c>
      <c r="L176" s="18" t="n">
        <f t="array" ref="L176">INDEX(TOP3277!#REF!,MATCH(C176,TOP3277!$B$501:$B$3035,0))</f>
        <v>1516</v>
      </c>
    </row>
    <row r="177" ht="14.399999999999999" customHeight="1">
      <c r="A177" s="14" t="n">
        <v>2489</v>
      </c>
      <c r="B177" s="10" t="s">
        <v>5117</v>
      </c>
      <c r="C177" s="10" t="s">
        <v>5118</v>
      </c>
      <c r="D177" s="10" t="n">
        <f t="array" ref="D177">INDEX('原始数据'!C$2:C$3689,MATCH($C177,'原始数据'!$B$2:$B$3689,0))</f>
        <v>11178</v>
      </c>
      <c r="E177" s="10" t="n">
        <f t="array" ref="E177">INDEX('原始数据'!D$2:D$3689,MATCH($C177,'原始数据'!$B$2:$B$3689,0))</f>
        <v>17856</v>
      </c>
      <c r="F177" s="11" t="n">
        <f t="array" ref="F177">INDEX('原始数据'!E$2:E$3689,MATCH($C177,'原始数据'!$B$2:$B$3689,0))</f>
        <v>14517</v>
      </c>
      <c r="G177" s="10" t="n">
        <f t="array" ref="G177">INDEX('原始数据'!F$2:F$3689,MATCH($C177,'原始数据'!$B$2:$B$3689,0))</f>
        <v>3591</v>
      </c>
      <c r="H177" s="10" t="n">
        <f t="array" ref="H177">INDEX('原始数据'!G$2:G$3689,MATCH($C177,'原始数据'!$B$2:$B$3689,0))</f>
        <v>5909</v>
      </c>
      <c r="I177" s="11" t="n">
        <f t="array" ref="I177">INDEX('原始数据'!H$2:H$3689,MATCH($C177,'原始数据'!$B$2:$B$3689,0))</f>
        <v>4750</v>
      </c>
      <c r="J177" s="16" t="n">
        <f>IF(F177=0,I177*2,F177/$N$603+I177)</f>
        <v>7357.83125305192</v>
      </c>
      <c r="K177" s="18" t="n">
        <f>ROW(K177)-1</f>
        <v>176</v>
      </c>
      <c r="L177" s="18" t="n">
        <f t="array" ref="L177">INDEX(TOP3277!#REF!,MATCH(C177,TOP3277!$B$501:$B$3035,0))</f>
        <v>1511</v>
      </c>
    </row>
    <row r="178" ht="14.399999999999999" customHeight="1">
      <c r="A178" s="14" t="n">
        <v>4094</v>
      </c>
      <c r="B178" s="10" t="s">
        <v>8214</v>
      </c>
      <c r="C178" s="10" t="s">
        <v>8215</v>
      </c>
      <c r="D178" s="13" t="n">
        <v>6783</v>
      </c>
      <c r="E178" s="13" t="n">
        <v>10835</v>
      </c>
      <c r="F178" s="11" t="n">
        <f>SUM(D178+E178)/2</f>
        <v>8809</v>
      </c>
      <c r="G178" s="12" t="n">
        <v>4489</v>
      </c>
      <c r="H178" s="12" t="n">
        <v>6998</v>
      </c>
      <c r="I178" s="11" t="n">
        <f>SUM(G178+H178)/2</f>
        <v>5743.5</v>
      </c>
      <c r="J178" s="16" t="n">
        <f>IF(F178=0,I178*2,F178/$N$603+I178)</f>
        <v>7325.94716595263</v>
      </c>
      <c r="K178" s="18" t="n">
        <f>ROW(K178)-1</f>
        <v>177</v>
      </c>
      <c r="L178" s="18" t="e">
        <f t="array" ref="L178">INDEX(TOP3277!#REF!,MATCH(C178,TOP3277!$B$501:$B$3035,0))</f>
        <v>#N/A</v>
      </c>
    </row>
    <row r="179" ht="14.399999999999999" customHeight="1">
      <c r="A179" s="14" t="n">
        <v>6647</v>
      </c>
      <c r="B179" s="10" t="s">
        <v>224</v>
      </c>
      <c r="C179" s="10" t="s">
        <v>225</v>
      </c>
      <c r="D179" s="13" t="n">
        <v>22795</v>
      </c>
      <c r="E179" s="13" t="n">
        <v>36413</v>
      </c>
      <c r="F179" s="11" t="n">
        <f>SUM(D179+E179)/2</f>
        <v>29604</v>
      </c>
      <c r="G179" s="12" t="n">
        <v>1790</v>
      </c>
      <c r="H179" s="12" t="n">
        <v>2211</v>
      </c>
      <c r="I179" s="11" t="n">
        <f>SUM(G179+H179)/2</f>
        <v>2000.5</v>
      </c>
      <c r="J179" s="16" t="n">
        <f>IF(F179=0,I179*2,F179/$N$603+I179)</f>
        <v>7318.55720295854</v>
      </c>
      <c r="K179" s="18" t="n">
        <f>ROW(K179)-1</f>
        <v>178</v>
      </c>
      <c r="L179" s="18" t="e">
        <f t="array" ref="L179">INDEX(TOP3277!#REF!,MATCH(C179,TOP3277!$B$501:$B$3035,0))</f>
        <v>#N/A</v>
      </c>
    </row>
    <row r="180" ht="14.399999999999999" customHeight="1">
      <c r="A180" s="14" t="n">
        <v>4041</v>
      </c>
      <c r="B180" s="10" t="s">
        <v>8216</v>
      </c>
      <c r="C180" s="10" t="s">
        <v>8217</v>
      </c>
      <c r="D180" s="13" t="n">
        <v>3335</v>
      </c>
      <c r="E180" s="13" t="n">
        <v>5327</v>
      </c>
      <c r="F180" s="11" t="n">
        <f>SUM(D180+E180)/2</f>
        <v>4331</v>
      </c>
      <c r="G180" s="12" t="n">
        <v>5535</v>
      </c>
      <c r="H180" s="12" t="n">
        <v>7131</v>
      </c>
      <c r="I180" s="11" t="n">
        <f>SUM(G180+H180)/2</f>
        <v>6333</v>
      </c>
      <c r="J180" s="16" t="n">
        <f>IF(F180=0,I180*2,F180/$N$603+I180)</f>
        <v>7111.02005627663</v>
      </c>
      <c r="K180" s="18" t="n">
        <f>ROW(K180)-1</f>
        <v>179</v>
      </c>
      <c r="L180" s="18" t="e">
        <f t="array" ref="L180">INDEX(TOP3277!#REF!,MATCH(C180,TOP3277!$B$501:$B$3035,0))</f>
        <v>#N/A</v>
      </c>
    </row>
    <row r="181" ht="14.399999999999999" customHeight="1">
      <c r="A181" s="14" t="n">
        <v>3628</v>
      </c>
      <c r="B181" s="10" t="s">
        <v>8218</v>
      </c>
      <c r="C181" s="10" t="s">
        <v>8219</v>
      </c>
      <c r="D181" s="13" t="n">
        <v>9758</v>
      </c>
      <c r="E181" s="13" t="n">
        <v>15588</v>
      </c>
      <c r="F181" s="11" t="n">
        <f>SUM(D181+E181)/2</f>
        <v>12673</v>
      </c>
      <c r="G181" s="12" t="n">
        <v>4319</v>
      </c>
      <c r="H181" s="12" t="n">
        <v>5343</v>
      </c>
      <c r="I181" s="11" t="n">
        <f>SUM(G181+H181)/2</f>
        <v>4831</v>
      </c>
      <c r="J181" s="16" t="n">
        <f>IF(F181=0,I181*2,F181/$N$603+I181)</f>
        <v>7107.57542673603</v>
      </c>
      <c r="K181" s="18" t="n">
        <f>ROW(K181)-1</f>
        <v>180</v>
      </c>
      <c r="L181" s="18" t="e">
        <f t="array" ref="L181">INDEX(TOP3277!#REF!,MATCH(C181,TOP3277!$B$501:$B$3035,0))</f>
        <v>#N/A</v>
      </c>
    </row>
    <row r="182" ht="14.399999999999999" customHeight="1">
      <c r="A182" s="14" t="n">
        <v>3589</v>
      </c>
      <c r="B182" s="10" t="s">
        <v>8220</v>
      </c>
      <c r="C182" s="10" t="s">
        <v>141</v>
      </c>
      <c r="D182" s="10" t="n">
        <f t="array" ref="D182">INDEX('原始数据'!C$2:C$3689,MATCH($C182,'原始数据'!$B$2:$B$3689,0))</f>
        <v>13507</v>
      </c>
      <c r="E182" s="10" t="n">
        <f t="array" ref="E182">INDEX('原始数据'!D$2:D$3689,MATCH($C182,'原始数据'!$B$2:$B$3689,0))</f>
        <v>21575</v>
      </c>
      <c r="F182" s="11" t="n">
        <f t="array" ref="F182">INDEX('原始数据'!E$2:E$3689,MATCH($C182,'原始数据'!$B$2:$B$3689,0))</f>
        <v>17541</v>
      </c>
      <c r="G182" s="10" t="n">
        <f t="array" ref="G182">INDEX('原始数据'!F$2:F$3689,MATCH($C182,'原始数据'!$B$2:$B$3689,0))</f>
        <v>2969</v>
      </c>
      <c r="H182" s="10" t="n">
        <f t="array" ref="H182">INDEX('原始数据'!G$2:G$3689,MATCH($C182,'原始数据'!$B$2:$B$3689,0))</f>
        <v>4701</v>
      </c>
      <c r="I182" s="11" t="n">
        <f t="array" ref="I182">INDEX('原始数据'!H$2:H$3689,MATCH($C182,'原始数据'!$B$2:$B$3689,0))</f>
        <v>3835</v>
      </c>
      <c r="J182" s="16" t="n">
        <f>IF(F182=0,I182*2,F182/$N$603+I182)</f>
        <v>6986.06206583893</v>
      </c>
      <c r="K182" s="18" t="n">
        <f>ROW(K182)-1</f>
        <v>181</v>
      </c>
      <c r="L182" s="18" t="n">
        <f t="array" ref="L182">INDEX(TOP3277!#REF!,MATCH(C182,TOP3277!$B$501:$B$3035,0))</f>
        <v>1523</v>
      </c>
    </row>
    <row r="183" ht="14.399999999999999" customHeight="1">
      <c r="A183" s="14" t="n">
        <v>5719</v>
      </c>
      <c r="B183" s="10" t="s">
        <v>8221</v>
      </c>
      <c r="C183" s="10" t="s">
        <v>8222</v>
      </c>
      <c r="D183" s="13" t="n">
        <v>16534</v>
      </c>
      <c r="E183" s="13" t="n">
        <v>26412</v>
      </c>
      <c r="F183" s="11" t="n">
        <f>SUM(D183+E183)/2</f>
        <v>21473</v>
      </c>
      <c r="G183" s="12" t="n">
        <v>2764</v>
      </c>
      <c r="H183" s="12" t="n">
        <v>3488</v>
      </c>
      <c r="I183" s="11" t="n">
        <f>SUM(G183+H183)/2</f>
        <v>3126</v>
      </c>
      <c r="J183" s="16" t="n">
        <f>IF(F183=0,I183*2,F183/$N$603+I183)</f>
        <v>6983.40583431728</v>
      </c>
      <c r="K183" s="18" t="n">
        <f>ROW(K183)-1</f>
        <v>182</v>
      </c>
      <c r="L183" s="18" t="e">
        <f t="array" ref="L183">INDEX(TOP3277!#REF!,MATCH(C183,TOP3277!$B$501:$B$3035,0))</f>
        <v>#N/A</v>
      </c>
    </row>
    <row r="184" ht="14.399999999999999" customHeight="1">
      <c r="A184" s="10" t="n">
        <v>290</v>
      </c>
      <c r="B184" s="10" t="s">
        <v>1029</v>
      </c>
      <c r="C184" s="10" t="s">
        <v>143</v>
      </c>
      <c r="D184" s="10" t="n">
        <f t="array" ref="D184">INDEX('原始数据'!C$2:C$3689,MATCH($C184,'原始数据'!$B$2:$B$3689,0))</f>
        <v>19123</v>
      </c>
      <c r="E184" s="10" t="n">
        <f t="array" ref="E184">INDEX('原始数据'!D$2:D$3689,MATCH($C184,'原始数据'!$B$2:$B$3689,0))</f>
        <v>30549</v>
      </c>
      <c r="F184" s="11" t="n">
        <f t="array" ref="F184">INDEX('原始数据'!E$2:E$3689,MATCH($C184,'原始数据'!$B$2:$B$3689,0))</f>
        <v>24836</v>
      </c>
      <c r="G184" s="10" t="n">
        <f t="array" ref="G184">INDEX('原始数据'!F$2:F$3689,MATCH($C184,'原始数据'!$B$2:$B$3689,0))</f>
        <v>2207</v>
      </c>
      <c r="H184" s="10" t="n">
        <f t="array" ref="H184">INDEX('原始数据'!G$2:G$3689,MATCH($C184,'原始数据'!$B$2:$B$3689,0))</f>
        <v>2766</v>
      </c>
      <c r="I184" s="11" t="n">
        <f t="array" ref="I184">INDEX('原始数据'!H$2:H$3689,MATCH($C184,'原始数据'!$B$2:$B$3689,0))</f>
        <v>2486.5</v>
      </c>
      <c r="J184" s="16" t="n">
        <f>IF(F184=0,I184*2,F184/$N$603+I184)</f>
        <v>6948.03454575997</v>
      </c>
      <c r="K184" s="18" t="n">
        <f>ROW(K184)-1</f>
        <v>183</v>
      </c>
      <c r="L184" s="18" t="n">
        <f t="array" ref="L184">INDEX(TOP3277!#REF!,MATCH(C184,TOP3277!$B$501:$B$3035,0))</f>
        <v>1514</v>
      </c>
    </row>
    <row r="185" ht="14.399999999999999" customHeight="1">
      <c r="A185" s="14" t="n">
        <v>4068</v>
      </c>
      <c r="B185" s="10" t="s">
        <v>8223</v>
      </c>
      <c r="C185" s="10" t="s">
        <v>8224</v>
      </c>
      <c r="D185" s="13" t="n">
        <v>3546</v>
      </c>
      <c r="E185" s="13" t="n">
        <v>5666</v>
      </c>
      <c r="F185" s="11" t="n">
        <f>SUM(D185+E185)/2</f>
        <v>4606</v>
      </c>
      <c r="G185" s="12" t="n">
        <v>5018</v>
      </c>
      <c r="H185" s="12" t="n">
        <v>6971</v>
      </c>
      <c r="I185" s="11" t="n">
        <f>SUM(G185+H185)/2</f>
        <v>5994.5</v>
      </c>
      <c r="J185" s="16" t="n">
        <f>IF(F185=0,I185*2,F185/$N$603+I185)</f>
        <v>6821.92100651355</v>
      </c>
      <c r="K185" s="18" t="n">
        <f>ROW(K185)-1</f>
        <v>184</v>
      </c>
      <c r="L185" s="18" t="e">
        <f t="array" ref="L185">INDEX(TOP3277!#REF!,MATCH(C185,TOP3277!$B$501:$B$3035,0))</f>
        <v>#N/A</v>
      </c>
    </row>
    <row r="186" ht="14.399999999999999" customHeight="1">
      <c r="A186" s="14" t="n">
        <v>6778</v>
      </c>
      <c r="B186" s="10" t="s">
        <v>320</v>
      </c>
      <c r="C186" s="10" t="s">
        <v>8225</v>
      </c>
      <c r="D186" s="13" t="n">
        <v>8022</v>
      </c>
      <c r="E186" s="13" t="n">
        <v>12814</v>
      </c>
      <c r="F186" s="11" t="n">
        <f>SUM(D186+E186)/2</f>
        <v>10418</v>
      </c>
      <c r="G186" s="12" t="n">
        <v>4100</v>
      </c>
      <c r="H186" s="12" t="n">
        <v>5663</v>
      </c>
      <c r="I186" s="11" t="n">
        <f>SUM(G186+H186)/2</f>
        <v>4881.5</v>
      </c>
      <c r="J186" s="16" t="n">
        <f>IF(F186=0,I186*2,F186/$N$603+I186)</f>
        <v>6752.98763479334</v>
      </c>
      <c r="K186" s="18" t="n">
        <f>ROW(K186)-1</f>
        <v>185</v>
      </c>
      <c r="L186" s="18" t="e">
        <f t="array" ref="L186">INDEX(TOP3277!#REF!,MATCH(C186,TOP3277!$B$501:$B$3035,0))</f>
        <v>#N/A</v>
      </c>
    </row>
    <row r="187" ht="14.399999999999999" customHeight="1">
      <c r="A187" s="14" t="n">
        <v>4081</v>
      </c>
      <c r="B187" s="10" t="s">
        <v>8226</v>
      </c>
      <c r="C187" s="10" t="s">
        <v>8227</v>
      </c>
      <c r="D187" s="13" t="n">
        <v>1362</v>
      </c>
      <c r="E187" s="13" t="n">
        <v>2174</v>
      </c>
      <c r="F187" s="11" t="n">
        <f>SUM(D187+E187)/2</f>
        <v>1768</v>
      </c>
      <c r="G187" s="12" t="n">
        <v>5089</v>
      </c>
      <c r="H187" s="12" t="n">
        <v>7557</v>
      </c>
      <c r="I187" s="11" t="n">
        <f>SUM(G187+H187)/2</f>
        <v>6323</v>
      </c>
      <c r="J187" s="16" t="n">
        <f>IF(F187=0,I187*2,F187/$N$603+I187)</f>
        <v>6640.6032000686</v>
      </c>
      <c r="K187" s="18" t="n">
        <f>ROW(K187)-1</f>
        <v>186</v>
      </c>
      <c r="L187" s="18" t="e">
        <f t="array" ref="L187">INDEX(TOP3277!#REF!,MATCH(C187,TOP3277!$B$501:$B$3035,0))</f>
        <v>#N/A</v>
      </c>
    </row>
    <row r="188" ht="14.399999999999999" customHeight="1">
      <c r="A188" s="10" t="n">
        <v>294</v>
      </c>
      <c r="B188" s="10" t="s">
        <v>146</v>
      </c>
      <c r="C188" s="10" t="s">
        <v>147</v>
      </c>
      <c r="D188" s="10" t="n">
        <f t="array" ref="D188">INDEX('原始数据'!C$2:C$3689,MATCH($C188,'原始数据'!$B$2:$B$3689,0))</f>
        <v>3580</v>
      </c>
      <c r="E188" s="10" t="n">
        <f t="array" ref="E188">INDEX('原始数据'!D$2:D$3689,MATCH($C188,'原始数据'!$B$2:$B$3689,0))</f>
        <v>5718</v>
      </c>
      <c r="F188" s="11" t="n">
        <f t="array" ref="F188">INDEX('原始数据'!E$2:E$3689,MATCH($C188,'原始数据'!$B$2:$B$3689,0))</f>
        <v>4649</v>
      </c>
      <c r="G188" s="10" t="n">
        <f t="array" ref="G188">INDEX('原始数据'!F$2:F$3689,MATCH($C188,'原始数据'!$B$2:$B$3689,0))</f>
        <v>4804</v>
      </c>
      <c r="H188" s="10" t="n">
        <f t="array" ref="H188">INDEX('原始数据'!G$2:G$3689,MATCH($C188,'原始数据'!$B$2:$B$3689,0))</f>
        <v>6706</v>
      </c>
      <c r="I188" s="11" t="n">
        <f t="array" ref="I188">INDEX('原始数据'!H$2:H$3689,MATCH($C188,'原始数据'!$B$2:$B$3689,0))</f>
        <v>5755</v>
      </c>
      <c r="J188" s="16" t="n">
        <f>IF(F188=0,I188*2,F188/$N$603+I188)</f>
        <v>6590.14551873241</v>
      </c>
      <c r="K188" s="18" t="n">
        <f>ROW(K188)-1</f>
        <v>187</v>
      </c>
      <c r="L188" s="18" t="n">
        <f t="array" ref="L188">INDEX(TOP3277!#REF!,MATCH(C188,TOP3277!$B$501:$B$3035,0))</f>
        <v>1541</v>
      </c>
    </row>
    <row r="189" ht="14.399999999999999" customHeight="1">
      <c r="A189" s="14" t="n">
        <v>3268</v>
      </c>
      <c r="B189" s="10" t="s">
        <v>144</v>
      </c>
      <c r="C189" s="10" t="s">
        <v>145</v>
      </c>
      <c r="D189" s="13" t="n">
        <v>8803</v>
      </c>
      <c r="E189" s="13" t="n">
        <v>14061</v>
      </c>
      <c r="F189" s="11" t="n">
        <f>SUM(D189+E189)/2</f>
        <v>11432</v>
      </c>
      <c r="G189" s="12" t="n">
        <v>3845</v>
      </c>
      <c r="H189" s="12" t="n">
        <v>5186</v>
      </c>
      <c r="I189" s="11" t="n">
        <f>SUM(G189+H189)/2</f>
        <v>4515.5</v>
      </c>
      <c r="J189" s="16" t="n">
        <f>IF(F189=0,I189*2,F189/$N$603+I189)</f>
        <v>6569.14241130327</v>
      </c>
      <c r="K189" s="18" t="n">
        <f>ROW(K189)-1</f>
        <v>188</v>
      </c>
      <c r="L189" s="18" t="e">
        <f t="array" ref="L189">INDEX(TOP3277!#REF!,MATCH(C189,TOP3277!$B$501:$B$3035,0))</f>
        <v>#N/A</v>
      </c>
    </row>
    <row r="190" ht="14.399999999999999" customHeight="1">
      <c r="A190" s="10" t="n">
        <v>301</v>
      </c>
      <c r="B190" s="10" t="s">
        <v>254</v>
      </c>
      <c r="C190" s="10" t="s">
        <v>255</v>
      </c>
      <c r="D190" s="10" t="n">
        <f t="array" ref="D190">INDEX('原始数据'!C$2:C$3689,MATCH($C190,'原始数据'!$B$2:$B$3689,0))</f>
        <v>7986</v>
      </c>
      <c r="E190" s="10" t="n">
        <f t="array" ref="E190">INDEX('原始数据'!D$2:D$3689,MATCH($C190,'原始数据'!$B$2:$B$3689,0))</f>
        <v>12754</v>
      </c>
      <c r="F190" s="11" t="n">
        <f t="array" ref="F190">INDEX('原始数据'!E$2:E$3689,MATCH($C190,'原始数据'!$B$2:$B$3689,0))</f>
        <v>10370</v>
      </c>
      <c r="G190" s="10" t="n">
        <f t="array" ref="G190">INDEX('原始数据'!F$2:F$3689,MATCH($C190,'原始数据'!$B$2:$B$3689,0))</f>
        <v>3715</v>
      </c>
      <c r="H190" s="10" t="n">
        <f t="array" ref="H190">INDEX('原始数据'!G$2:G$3689,MATCH($C190,'原始数据'!$B$2:$B$3689,0))</f>
        <v>5541</v>
      </c>
      <c r="I190" s="11" t="n">
        <f t="array" ref="I190">INDEX('原始数据'!H$2:H$3689,MATCH($C190,'原始数据'!$B$2:$B$3689,0))</f>
        <v>4628</v>
      </c>
      <c r="J190" s="16" t="n">
        <f>IF(F190=0,I190*2,F190/$N$603+I190)</f>
        <v>6490.86492347926</v>
      </c>
      <c r="K190" s="18" t="n">
        <f>ROW(K190)-1</f>
        <v>189</v>
      </c>
      <c r="L190" s="18" t="e">
        <f t="array" ref="L190">INDEX(TOP3277!#REF!,MATCH(C190,TOP3277!$B$501:$B$3035,0))</f>
        <v>#N/A</v>
      </c>
    </row>
    <row r="191" ht="14.399999999999999" customHeight="1">
      <c r="A191" s="14" t="n">
        <v>3973</v>
      </c>
      <c r="B191" s="10" t="s">
        <v>8228</v>
      </c>
      <c r="C191" s="10" t="s">
        <v>8229</v>
      </c>
      <c r="D191" s="13" t="n">
        <v>11818</v>
      </c>
      <c r="E191" s="13" t="n">
        <v>18876</v>
      </c>
      <c r="F191" s="11" t="n">
        <f>SUM(D191+E191)/2</f>
        <v>15347</v>
      </c>
      <c r="G191" s="12" t="n">
        <v>3276</v>
      </c>
      <c r="H191" s="12" t="n">
        <v>4159</v>
      </c>
      <c r="I191" s="11" t="n">
        <f>SUM(G191+H191)/2</f>
        <v>3717.5</v>
      </c>
      <c r="J191" s="16" t="n">
        <f>IF(F191=0,I191*2,F191/$N$603+I191)</f>
        <v>6474.43230285788</v>
      </c>
      <c r="K191" s="18" t="n">
        <f>ROW(K191)-1</f>
        <v>190</v>
      </c>
      <c r="L191" s="18" t="e">
        <f t="array" ref="L191">INDEX(TOP3277!#REF!,MATCH(C191,TOP3277!$B$501:$B$3035,0))</f>
        <v>#N/A</v>
      </c>
    </row>
    <row r="192" ht="14.399999999999999" customHeight="1">
      <c r="A192" s="14" t="n">
        <v>3107</v>
      </c>
      <c r="B192" s="10" t="s">
        <v>148</v>
      </c>
      <c r="C192" s="10" t="s">
        <v>149</v>
      </c>
      <c r="D192" s="13" t="n">
        <v>10192</v>
      </c>
      <c r="E192" s="13" t="n">
        <v>16280</v>
      </c>
      <c r="F192" s="11" t="n">
        <f>SUM(D192+E192)/2</f>
        <v>13236</v>
      </c>
      <c r="G192" s="12" t="n">
        <v>3246</v>
      </c>
      <c r="H192" s="12" t="n">
        <v>4807</v>
      </c>
      <c r="I192" s="11" t="n">
        <f>SUM(G192+H192)/2</f>
        <v>4026.5</v>
      </c>
      <c r="J192" s="16" t="n">
        <f>IF(F192=0,I192*2,F192/$N$603+I192)</f>
        <v>6404.21264485742</v>
      </c>
      <c r="K192" s="18" t="n">
        <f>ROW(K192)-1</f>
        <v>191</v>
      </c>
      <c r="L192" s="18" t="e">
        <f t="array" ref="L192">INDEX(TOP3277!#REF!,MATCH(C192,TOP3277!$B$501:$B$3035,0))</f>
        <v>#N/A</v>
      </c>
    </row>
    <row r="193" ht="14.399999999999999" customHeight="1">
      <c r="A193" s="14" t="n">
        <v>3975</v>
      </c>
      <c r="B193" s="10" t="s">
        <v>8230</v>
      </c>
      <c r="C193" s="10" t="s">
        <v>8231</v>
      </c>
      <c r="D193" s="13" t="n">
        <v>11732</v>
      </c>
      <c r="E193" s="13" t="n">
        <v>18738</v>
      </c>
      <c r="F193" s="11" t="n">
        <f>SUM(D193+E193)/2</f>
        <v>15235</v>
      </c>
      <c r="G193" s="12" t="n">
        <v>3019</v>
      </c>
      <c r="H193" s="12" t="n">
        <v>4172</v>
      </c>
      <c r="I193" s="11" t="n">
        <f>SUM(G193+H193)/2</f>
        <v>3595.5</v>
      </c>
      <c r="J193" s="16" t="n">
        <f>IF(F193=0,I193*2,F193/$N$603+I193)</f>
        <v>6332.31264312503</v>
      </c>
      <c r="K193" s="18" t="n">
        <f>ROW(K193)-1</f>
        <v>192</v>
      </c>
      <c r="L193" s="18" t="e">
        <f t="array" ref="L193">INDEX(TOP3277!#REF!,MATCH(C193,TOP3277!$B$501:$B$3035,0))</f>
        <v>#N/A</v>
      </c>
    </row>
    <row r="194" ht="14.399999999999999" customHeight="1">
      <c r="A194" s="14" t="n">
        <v>3897</v>
      </c>
      <c r="B194" s="10" t="s">
        <v>8232</v>
      </c>
      <c r="C194" s="10" t="s">
        <v>8233</v>
      </c>
      <c r="D194" s="13" t="n">
        <v>12863</v>
      </c>
      <c r="E194" s="13" t="n">
        <v>20549</v>
      </c>
      <c r="F194" s="11" t="n">
        <f>SUM(D194+E194)/2</f>
        <v>16706</v>
      </c>
      <c r="G194" s="12" t="n">
        <v>2868</v>
      </c>
      <c r="H194" s="12" t="n">
        <v>3704</v>
      </c>
      <c r="I194" s="11" t="n">
        <f>SUM(G194+H194)/2</f>
        <v>3286</v>
      </c>
      <c r="J194" s="16" t="n">
        <f>IF(F194=0,I194*2,F194/$N$603+I194)</f>
        <v>6287.06281693776</v>
      </c>
      <c r="K194" s="18" t="n">
        <f>ROW(K194)-1</f>
        <v>193</v>
      </c>
      <c r="L194" s="18" t="e">
        <f t="array" ref="L194">INDEX(TOP3277!#REF!,MATCH(C194,TOP3277!$B$501:$B$3035,0))</f>
        <v>#N/A</v>
      </c>
    </row>
    <row r="195" ht="14.399999999999999" customHeight="1">
      <c r="A195" s="14" t="n">
        <v>3518</v>
      </c>
      <c r="B195" s="10" t="s">
        <v>8234</v>
      </c>
      <c r="C195" s="10" t="s">
        <v>8235</v>
      </c>
      <c r="D195" s="13" t="n">
        <v>11667</v>
      </c>
      <c r="E195" s="13" t="n">
        <v>18637</v>
      </c>
      <c r="F195" s="11" t="n">
        <f>SUM(D195+E195)/2</f>
        <v>15152</v>
      </c>
      <c r="G195" s="12" t="n">
        <v>3005</v>
      </c>
      <c r="H195" s="12" t="n">
        <v>3587</v>
      </c>
      <c r="I195" s="11" t="n">
        <f>SUM(G195+H195)/2</f>
        <v>3296</v>
      </c>
      <c r="J195" s="16" t="n">
        <f>IF(F195=0,I195*2,F195/$N$603+I195)</f>
        <v>6017.90253814443</v>
      </c>
      <c r="K195" s="18" t="n">
        <f>ROW(K195)-1</f>
        <v>194</v>
      </c>
      <c r="L195" s="18" t="e">
        <f t="array" ref="L195">INDEX(TOP3277!#REF!,MATCH(C195,TOP3277!$B$501:$B$3035,0))</f>
        <v>#N/A</v>
      </c>
    </row>
    <row r="196" ht="14.399999999999999" customHeight="1">
      <c r="A196" s="14" t="n">
        <v>3883</v>
      </c>
      <c r="B196" s="10" t="s">
        <v>248</v>
      </c>
      <c r="C196" s="10" t="s">
        <v>8236</v>
      </c>
      <c r="D196" s="13" t="n">
        <v>4336</v>
      </c>
      <c r="E196" s="13" t="n">
        <v>6926</v>
      </c>
      <c r="F196" s="11" t="n">
        <f>SUM(D196+E196)/2</f>
        <v>5631</v>
      </c>
      <c r="G196" s="12" t="n">
        <v>3678</v>
      </c>
      <c r="H196" s="12" t="n">
        <v>5562</v>
      </c>
      <c r="I196" s="11" t="n">
        <f>SUM(G196+H196)/2</f>
        <v>4620</v>
      </c>
      <c r="J196" s="16" t="n">
        <f>IF(F196=0,I196*2,F196/$N$603+I196)</f>
        <v>5631.55182103295</v>
      </c>
      <c r="K196" s="18" t="n">
        <f>ROW(K196)-1</f>
        <v>195</v>
      </c>
      <c r="L196" s="18" t="e">
        <f t="array" ref="L196">INDEX(TOP3277!#REF!,MATCH(C196,TOP3277!$B$501:$B$3035,0))</f>
        <v>#N/A</v>
      </c>
    </row>
    <row r="197" ht="14.399999999999999" customHeight="1">
      <c r="A197" s="14" t="n">
        <v>9328</v>
      </c>
      <c r="B197" s="10" t="s">
        <v>150</v>
      </c>
      <c r="C197" s="10" t="s">
        <v>151</v>
      </c>
      <c r="D197" s="13" t="n">
        <v>14040</v>
      </c>
      <c r="E197" s="13" t="n">
        <v>22428</v>
      </c>
      <c r="F197" s="11" t="n">
        <f>SUM(D197+E197)/2</f>
        <v>18234</v>
      </c>
      <c r="G197" s="12" t="n">
        <v>1712</v>
      </c>
      <c r="H197" s="12" t="n">
        <v>2920</v>
      </c>
      <c r="I197" s="11" t="n">
        <f>SUM(G197+H197)/2</f>
        <v>2316</v>
      </c>
      <c r="J197" s="16" t="n">
        <f>IF(F197=0,I197*2,F197/$N$603+I197)</f>
        <v>5591.55246043595</v>
      </c>
      <c r="K197" s="18" t="n">
        <f>ROW(K197)-1</f>
        <v>196</v>
      </c>
      <c r="L197" s="18" t="e">
        <f t="array" ref="L197">INDEX(TOP3277!#REF!,MATCH(C197,TOP3277!$B$501:$B$3035,0))</f>
        <v>#N/A</v>
      </c>
    </row>
    <row r="198" ht="14.399999999999999" customHeight="1">
      <c r="A198" s="10" t="n">
        <v>279</v>
      </c>
      <c r="B198" s="10" t="s">
        <v>230</v>
      </c>
      <c r="C198" s="10" t="s">
        <v>231</v>
      </c>
      <c r="D198" s="10" t="n">
        <f t="array" ref="D198">INDEX('原始数据'!C$2:C$3689,MATCH($C198,'原始数据'!$B$2:$B$3689,0))</f>
        <v>12381</v>
      </c>
      <c r="E198" s="10" t="n">
        <f t="array" ref="E198">INDEX('原始数据'!D$2:D$3689,MATCH($C198,'原始数据'!$B$2:$B$3689,0))</f>
        <v>19777</v>
      </c>
      <c r="F198" s="11" t="n">
        <f t="array" ref="F198">INDEX('原始数据'!E$2:E$3689,MATCH($C198,'原始数据'!$B$2:$B$3689,0))</f>
        <v>16079</v>
      </c>
      <c r="G198" s="10" t="n">
        <f t="array" ref="G198">INDEX('原始数据'!F$2:F$3689,MATCH($C198,'原始数据'!$B$2:$B$3689,0))</f>
        <v>2067</v>
      </c>
      <c r="H198" s="10" t="n">
        <f t="array" ref="H198">INDEX('原始数据'!G$2:G$3689,MATCH($C198,'原始数据'!$B$2:$B$3689,0))</f>
        <v>3202</v>
      </c>
      <c r="I198" s="11" t="n">
        <f t="array" ref="I198">INDEX('原始数据'!H$2:H$3689,MATCH($C198,'原始数据'!$B$2:$B$3689,0))</f>
        <v>2634.5</v>
      </c>
      <c r="J198" s="16" t="n">
        <f>IF(F198=0,I198*2,F198/$N$603+I198)</f>
        <v>5522.92865039759</v>
      </c>
      <c r="K198" s="18" t="n">
        <f>ROW(K198)-1</f>
        <v>197</v>
      </c>
      <c r="L198" s="18" t="e">
        <f t="array" ref="L198">INDEX(TOP3277!#REF!,MATCH(C198,TOP3277!$B$501:$B$3035,0))</f>
        <v>#N/A</v>
      </c>
    </row>
    <row r="199" ht="14.399999999999999" customHeight="1">
      <c r="A199" s="14" t="n">
        <v>5610</v>
      </c>
      <c r="B199" s="10" t="s">
        <v>8237</v>
      </c>
      <c r="C199" s="10" t="s">
        <v>8238</v>
      </c>
      <c r="D199" s="13" t="n">
        <v>13539</v>
      </c>
      <c r="E199" s="13" t="n">
        <v>21627</v>
      </c>
      <c r="F199" s="11" t="n">
        <f>SUM(D199+E199)/2</f>
        <v>17583</v>
      </c>
      <c r="G199" s="12" t="n">
        <v>2001</v>
      </c>
      <c r="H199" s="12" t="n">
        <v>2702</v>
      </c>
      <c r="I199" s="11" t="n">
        <f>SUM(G199+H199)/2</f>
        <v>2351.5</v>
      </c>
      <c r="J199" s="16" t="n">
        <f>IF(F199=0,I199*2,F199/$N$603+I199)</f>
        <v>5510.10693823875</v>
      </c>
      <c r="K199" s="18" t="n">
        <f>ROW(K199)-1</f>
        <v>198</v>
      </c>
      <c r="L199" s="18" t="e">
        <f t="array" ref="L199">INDEX(TOP3277!#REF!,MATCH(C199,TOP3277!$B$501:$B$3035,0))</f>
        <v>#N/A</v>
      </c>
    </row>
    <row r="200" ht="14.399999999999999" customHeight="1">
      <c r="A200" s="14" t="n">
        <v>3737</v>
      </c>
      <c r="B200" s="10" t="s">
        <v>6877</v>
      </c>
      <c r="C200" s="10" t="s">
        <v>8239</v>
      </c>
      <c r="D200" s="13" t="n">
        <v>6094</v>
      </c>
      <c r="E200" s="13" t="n">
        <v>9734</v>
      </c>
      <c r="F200" s="11" t="n">
        <f>SUM(D200+E200)/2</f>
        <v>7914</v>
      </c>
      <c r="G200" s="12" t="n">
        <v>3721</v>
      </c>
      <c r="H200" s="12" t="n">
        <v>4367</v>
      </c>
      <c r="I200" s="11" t="n">
        <f>SUM(G200+H200)/2</f>
        <v>4044</v>
      </c>
      <c r="J200" s="16" t="n">
        <f>IF(F200=0,I200*2,F200/$N$603+I200)</f>
        <v>5465.66952790886</v>
      </c>
      <c r="K200" s="18" t="n">
        <f>ROW(K200)-1</f>
        <v>199</v>
      </c>
      <c r="L200" s="18" t="e">
        <f t="array" ref="L200">INDEX(TOP3277!#REF!,MATCH(C200,TOP3277!$B$501:$B$3035,0))</f>
        <v>#N/A</v>
      </c>
    </row>
    <row r="201" ht="14.399999999999999" customHeight="1">
      <c r="A201" s="14" t="n">
        <v>3880</v>
      </c>
      <c r="B201" s="10" t="s">
        <v>8240</v>
      </c>
      <c r="C201" s="10" t="s">
        <v>8241</v>
      </c>
      <c r="D201" s="13" t="n">
        <v>4239</v>
      </c>
      <c r="E201" s="13" t="n">
        <v>6771</v>
      </c>
      <c r="F201" s="11" t="n">
        <f>SUM(D201+E201)/2</f>
        <v>5505</v>
      </c>
      <c r="G201" s="12" t="n">
        <v>3444</v>
      </c>
      <c r="H201" s="12" t="n">
        <v>5403</v>
      </c>
      <c r="I201" s="11" t="n">
        <f>SUM(G201+H201)/2</f>
        <v>4423.5</v>
      </c>
      <c r="J201" s="16" t="n">
        <f>IF(F201=0,I201*2,F201/$N$603+I201)</f>
        <v>5412.41720383349</v>
      </c>
      <c r="K201" s="18" t="n">
        <f>ROW(K201)-1</f>
        <v>200</v>
      </c>
      <c r="L201" s="18" t="e">
        <f t="array" ref="L201">INDEX(TOP3277!#REF!,MATCH(C201,TOP3277!$B$501:$B$3035,0))</f>
        <v>#N/A</v>
      </c>
    </row>
    <row r="202" ht="14.399999999999999" customHeight="1">
      <c r="A202" s="10" t="n">
        <v>292</v>
      </c>
      <c r="B202" s="10" t="s">
        <v>246</v>
      </c>
      <c r="C202" s="33" t="s">
        <v>1037</v>
      </c>
      <c r="D202" s="13" t="n">
        <v>6401</v>
      </c>
      <c r="E202" s="13" t="n">
        <v>10225</v>
      </c>
      <c r="F202" s="11" t="n">
        <f>SUM(D202+E202)/2</f>
        <v>8313</v>
      </c>
      <c r="G202" s="12" t="n">
        <v>3384</v>
      </c>
      <c r="H202" s="12" t="n">
        <v>4337</v>
      </c>
      <c r="I202" s="11" t="n">
        <f>SUM(G202+H202)/2</f>
        <v>3860.5</v>
      </c>
      <c r="J202" s="16" t="n">
        <f>IF(F202=0,I202*2,F202/$N$603+I202)</f>
        <v>5353.84581570715</v>
      </c>
      <c r="K202" s="18" t="n">
        <f>ROW(K202)-1</f>
        <v>201</v>
      </c>
      <c r="L202" s="18" t="n">
        <f t="array" ref="L202">INDEX(TOP3277!#REF!,MATCH(C202,TOP3277!$B$501:$B$3035,0))</f>
        <v>1602</v>
      </c>
    </row>
    <row r="203" ht="14.399999999999999" customHeight="1">
      <c r="A203" s="14" t="n">
        <v>4117</v>
      </c>
      <c r="B203" s="10" t="s">
        <v>8242</v>
      </c>
      <c r="C203" s="10" t="s">
        <v>8243</v>
      </c>
      <c r="D203" s="13" t="n">
        <v>4439</v>
      </c>
      <c r="E203" s="13" t="n">
        <v>7089</v>
      </c>
      <c r="F203" s="11" t="n">
        <f>SUM(D203+E203)/2</f>
        <v>5764</v>
      </c>
      <c r="G203" s="12" t="n">
        <v>3509</v>
      </c>
      <c r="H203" s="12" t="n">
        <v>5048</v>
      </c>
      <c r="I203" s="11" t="n">
        <f>SUM(G203+H203)/2</f>
        <v>4278.5</v>
      </c>
      <c r="J203" s="16" t="n">
        <f>IF(F203=0,I203*2,F203/$N$603+I203)</f>
        <v>5313.94391696571</v>
      </c>
      <c r="K203" s="18" t="n">
        <f>ROW(K203)-1</f>
        <v>202</v>
      </c>
      <c r="L203" s="18" t="e">
        <f t="array" ref="L203">INDEX(TOP3277!#REF!,MATCH(C203,TOP3277!$B$501:$B$3035,0))</f>
        <v>#N/A</v>
      </c>
    </row>
    <row r="204" ht="14.399999999999999" customHeight="1">
      <c r="A204" s="14" t="n">
        <v>3170</v>
      </c>
      <c r="B204" s="10" t="s">
        <v>8244</v>
      </c>
      <c r="C204" s="10" t="s">
        <v>8245</v>
      </c>
      <c r="D204" s="13" t="n">
        <v>4181</v>
      </c>
      <c r="E204" s="13" t="n">
        <v>6679</v>
      </c>
      <c r="F204" s="11" t="n">
        <f>SUM(D204+E204)/2</f>
        <v>5430</v>
      </c>
      <c r="G204" s="12" t="n">
        <v>3476</v>
      </c>
      <c r="H204" s="12" t="n">
        <v>4981</v>
      </c>
      <c r="I204" s="11" t="n">
        <f>SUM(G204+H204)/2</f>
        <v>4228.5</v>
      </c>
      <c r="J204" s="16" t="n">
        <f>IF(F204=0,I204*2,F204/$N$603+I204)</f>
        <v>5203.94421740524</v>
      </c>
      <c r="K204" s="18" t="n">
        <f>ROW(K204)-1</f>
        <v>203</v>
      </c>
      <c r="L204" s="18" t="e">
        <f t="array" ref="L204">INDEX(TOP3277!#REF!,MATCH(C204,TOP3277!$B$501:$B$3035,0))</f>
        <v>#N/A</v>
      </c>
    </row>
    <row r="205" ht="14.399999999999999" customHeight="1">
      <c r="A205" s="14" t="n">
        <v>3585</v>
      </c>
      <c r="B205" s="10" t="s">
        <v>8246</v>
      </c>
      <c r="C205" s="10" t="s">
        <v>8247</v>
      </c>
      <c r="D205" s="13" t="n">
        <v>4029</v>
      </c>
      <c r="E205" s="13" t="n">
        <v>6439</v>
      </c>
      <c r="F205" s="11" t="n">
        <f>SUM(D205+E205)/2</f>
        <v>5234</v>
      </c>
      <c r="G205" s="12" t="n">
        <v>3402</v>
      </c>
      <c r="H205" s="12" t="n">
        <v>5100</v>
      </c>
      <c r="I205" s="11" t="n">
        <f>SUM(G205+H205)/2</f>
        <v>4251</v>
      </c>
      <c r="J205" s="16" t="n">
        <f>IF(F205=0,I205*2,F205/$N$603+I205)</f>
        <v>5191.23481287275</v>
      </c>
      <c r="K205" s="18" t="n">
        <f>ROW(K205)-1</f>
        <v>204</v>
      </c>
      <c r="L205" s="18" t="e">
        <f t="array" ref="L205">INDEX(TOP3277!#REF!,MATCH(C205,TOP3277!$B$501:$B$3035,0))</f>
        <v>#N/A</v>
      </c>
    </row>
    <row r="206" ht="14.399999999999999" customHeight="1">
      <c r="A206" s="14" t="n">
        <v>4137</v>
      </c>
      <c r="B206" s="10" t="s">
        <v>8248</v>
      </c>
      <c r="C206" s="10" t="s">
        <v>8249</v>
      </c>
      <c r="D206" s="13" t="n">
        <v>4474</v>
      </c>
      <c r="E206" s="13" t="n">
        <v>7144</v>
      </c>
      <c r="F206" s="11" t="n">
        <f>SUM(D206+E206)/2</f>
        <v>5809</v>
      </c>
      <c r="G206" s="12" t="n">
        <v>3163</v>
      </c>
      <c r="H206" s="12" t="n">
        <v>4752</v>
      </c>
      <c r="I206" s="11" t="n">
        <f>SUM(G206+H206)/2</f>
        <v>3957.5</v>
      </c>
      <c r="J206" s="16" t="n">
        <f>IF(F206=0,I206*2,F206/$N$603+I206)</f>
        <v>5001.02770882266</v>
      </c>
      <c r="K206" s="18" t="n">
        <f>ROW(K206)-1</f>
        <v>205</v>
      </c>
      <c r="L206" s="18" t="e">
        <f t="array" ref="L206">INDEX(TOP3277!#REF!,MATCH(C206,TOP3277!$B$501:$B$3035,0))</f>
        <v>#N/A</v>
      </c>
    </row>
    <row r="207" ht="14.399999999999999" customHeight="1">
      <c r="A207" s="14" t="n">
        <v>5210</v>
      </c>
      <c r="B207" s="10" t="s">
        <v>156</v>
      </c>
      <c r="C207" s="10" t="s">
        <v>157</v>
      </c>
      <c r="D207" s="13" t="n">
        <v>9479</v>
      </c>
      <c r="E207" s="13" t="n">
        <v>15141</v>
      </c>
      <c r="F207" s="11" t="n">
        <f>SUM(D207+E207)/2</f>
        <v>12310</v>
      </c>
      <c r="G207" s="12" t="n">
        <v>2293</v>
      </c>
      <c r="H207" s="12" t="n">
        <v>3115</v>
      </c>
      <c r="I207" s="11" t="n">
        <f>SUM(G207+H207)/2</f>
        <v>2704</v>
      </c>
      <c r="J207" s="16" t="n">
        <f>IF(F207=0,I207*2,F207/$N$603+I207)</f>
        <v>4915.36617242331</v>
      </c>
      <c r="K207" s="18" t="n">
        <f>ROW(K207)-1</f>
        <v>206</v>
      </c>
      <c r="L207" s="18" t="e">
        <f t="array" ref="L207">INDEX(TOP3277!#REF!,MATCH(C207,TOP3277!$B$501:$B$3035,0))</f>
        <v>#N/A</v>
      </c>
    </row>
    <row r="208" ht="14.399999999999999" customHeight="1">
      <c r="A208" s="14" t="n">
        <v>8052</v>
      </c>
      <c r="B208" s="10" t="s">
        <v>8250</v>
      </c>
      <c r="C208" s="10" t="s">
        <v>5214</v>
      </c>
      <c r="D208" s="13" t="n">
        <v>12434</v>
      </c>
      <c r="E208" s="13" t="n">
        <v>19862</v>
      </c>
      <c r="F208" s="11" t="n">
        <f>SUM(D208+E208)/2</f>
        <v>16148</v>
      </c>
      <c r="G208" s="12" t="n">
        <v>1551</v>
      </c>
      <c r="H208" s="12" t="n">
        <v>2423</v>
      </c>
      <c r="I208" s="11" t="n">
        <f>SUM(G208+H208)/2</f>
        <v>1987</v>
      </c>
      <c r="J208" s="16" t="n">
        <f>IF(F208=0,I208*2,F208/$N$603+I208)</f>
        <v>4887.82379791158</v>
      </c>
      <c r="K208" s="18" t="n">
        <f>ROW(K208)-1</f>
        <v>207</v>
      </c>
      <c r="L208" s="18" t="n">
        <f t="array" ref="L208">INDEX(TOP3277!#REF!,MATCH(C208,TOP3277!$B$501:$B$3035,0))</f>
        <v>1563</v>
      </c>
    </row>
    <row r="209" ht="14.399999999999999" customHeight="1">
      <c r="A209" s="14" t="n">
        <v>5480</v>
      </c>
      <c r="B209" s="10" t="s">
        <v>8251</v>
      </c>
      <c r="C209" s="10" t="s">
        <v>8252</v>
      </c>
      <c r="D209" s="13" t="n">
        <v>3819</v>
      </c>
      <c r="E209" s="13" t="n">
        <v>6099</v>
      </c>
      <c r="F209" s="11" t="n">
        <f>SUM(D209+E209)/2</f>
        <v>4959</v>
      </c>
      <c r="G209" s="12" t="n">
        <v>3178</v>
      </c>
      <c r="H209" s="12" t="n">
        <v>4691</v>
      </c>
      <c r="I209" s="11" t="n">
        <f>SUM(G209+H209)/2</f>
        <v>3934.5</v>
      </c>
      <c r="J209" s="16" t="n">
        <f>IF(F209=0,I209*2,F209/$N$603+I209)</f>
        <v>4825.33386263584</v>
      </c>
      <c r="K209" s="18" t="n">
        <f>ROW(K209)-1</f>
        <v>208</v>
      </c>
      <c r="L209" s="18" t="e">
        <f t="array" ref="L209">INDEX(TOP3277!#REF!,MATCH(C209,TOP3277!$B$501:$B$3035,0))</f>
        <v>#N/A</v>
      </c>
    </row>
    <row r="210" ht="14.399999999999999" customHeight="1">
      <c r="A210" s="14" t="n">
        <v>3135</v>
      </c>
      <c r="B210" s="10" t="s">
        <v>8253</v>
      </c>
      <c r="C210" s="10" t="s">
        <v>8254</v>
      </c>
      <c r="D210" s="10" t="n">
        <v>732</v>
      </c>
      <c r="E210" s="13" t="n">
        <v>1172</v>
      </c>
      <c r="F210" s="11" t="n">
        <f>SUM(D210+E210)/2</f>
        <v>952</v>
      </c>
      <c r="G210" s="12" t="n">
        <v>3657</v>
      </c>
      <c r="H210" s="12" t="n">
        <v>5331</v>
      </c>
      <c r="I210" s="11" t="n">
        <f>SUM(G210+H210)/2</f>
        <v>4494</v>
      </c>
      <c r="J210" s="16" t="n">
        <f>IF(F210=0,I210*2,F210/$N$603+I210)</f>
        <v>4665.01710772924</v>
      </c>
      <c r="K210" s="18" t="n">
        <f>ROW(K210)-1</f>
        <v>209</v>
      </c>
      <c r="L210" s="18" t="e">
        <f t="array" ref="L210">INDEX(TOP3277!#REF!,MATCH(C210,TOP3277!$B$501:$B$3035,0))</f>
        <v>#N/A</v>
      </c>
    </row>
    <row r="211" ht="14.399999999999999" customHeight="1">
      <c r="A211" s="14" t="n">
        <v>3841</v>
      </c>
      <c r="B211" s="10" t="s">
        <v>8255</v>
      </c>
      <c r="C211" s="10" t="s">
        <v>8256</v>
      </c>
      <c r="D211" s="13" t="n">
        <v>6813</v>
      </c>
      <c r="E211" s="13" t="n">
        <v>10883</v>
      </c>
      <c r="F211" s="11" t="n">
        <f>SUM(D211+E211)/2</f>
        <v>8848</v>
      </c>
      <c r="G211" s="12" t="n">
        <v>2836</v>
      </c>
      <c r="H211" s="12" t="n">
        <v>3238</v>
      </c>
      <c r="I211" s="11" t="n">
        <f>SUM(G211+H211)/2</f>
        <v>3037</v>
      </c>
      <c r="J211" s="16" t="n">
        <f>IF(F211=0,I211*2,F211/$N$603+I211)</f>
        <v>4626.45311889532</v>
      </c>
      <c r="K211" s="18" t="n">
        <f>ROW(K211)-1</f>
        <v>210</v>
      </c>
      <c r="L211" s="18" t="e">
        <f t="array" ref="L211">INDEX(TOP3277!#REF!,MATCH(C211,TOP3277!$B$501:$B$3035,0))</f>
        <v>#N/A</v>
      </c>
    </row>
    <row r="212" ht="14.399999999999999" customHeight="1">
      <c r="A212" s="10" t="n">
        <v>308</v>
      </c>
      <c r="B212" s="10" t="s">
        <v>8257</v>
      </c>
      <c r="C212" s="10" t="s">
        <v>8258</v>
      </c>
      <c r="D212" s="13" t="n">
        <v>18895</v>
      </c>
      <c r="E212" s="13" t="n">
        <v>30183</v>
      </c>
      <c r="F212" s="11" t="n">
        <f>SUM(D212+E212)/2</f>
        <v>24539</v>
      </c>
      <c r="G212" s="18" t="n">
        <v>150</v>
      </c>
      <c r="H212" s="18" t="n">
        <v>194</v>
      </c>
      <c r="I212" s="11" t="n">
        <f>SUM(G212+H212)/2</f>
        <v>172</v>
      </c>
      <c r="J212" s="16" t="n">
        <f>IF(F212=0,I212*2,F212/$N$603+I212)</f>
        <v>4580.18151950411</v>
      </c>
      <c r="K212" s="18" t="n">
        <f>ROW(K212)-1</f>
        <v>211</v>
      </c>
      <c r="L212" s="18" t="e">
        <f t="array" ref="L212">INDEX(TOP3277!#REF!,MATCH(C212,TOP3277!$B$501:$B$3035,0))</f>
        <v>#N/A</v>
      </c>
    </row>
    <row r="213" ht="14.399999999999999" customHeight="1">
      <c r="A213" s="14" t="n">
        <v>5501</v>
      </c>
      <c r="B213" s="10" t="s">
        <v>7603</v>
      </c>
      <c r="C213" s="10" t="s">
        <v>8259</v>
      </c>
      <c r="D213" s="13" t="n">
        <v>7115</v>
      </c>
      <c r="E213" s="13" t="n">
        <v>11365</v>
      </c>
      <c r="F213" s="11" t="n">
        <f>SUM(D213+E213)/2</f>
        <v>9240</v>
      </c>
      <c r="G213" s="12" t="n">
        <v>2259</v>
      </c>
      <c r="H213" s="12" t="n">
        <v>3555</v>
      </c>
      <c r="I213" s="11" t="n">
        <f>SUM(G213+H213)/2</f>
        <v>2907</v>
      </c>
      <c r="J213" s="16" t="n">
        <f>IF(F213=0,I213*2,F213/$N$603+I213)</f>
        <v>4566.87192796031</v>
      </c>
      <c r="K213" s="18" t="n">
        <f>ROW(K213)-1</f>
        <v>212</v>
      </c>
      <c r="L213" s="18" t="e">
        <f t="array" ref="L213">INDEX(TOP3277!#REF!,MATCH(C213,TOP3277!$B$501:$B$3035,0))</f>
        <v>#N/A</v>
      </c>
    </row>
    <row r="214" ht="14.399999999999999" customHeight="1">
      <c r="A214" s="14" t="n">
        <v>4204</v>
      </c>
      <c r="B214" s="10" t="s">
        <v>8260</v>
      </c>
      <c r="C214" s="10" t="s">
        <v>8261</v>
      </c>
      <c r="D214" s="13" t="n">
        <v>4302</v>
      </c>
      <c r="E214" s="13" t="n">
        <v>6870</v>
      </c>
      <c r="F214" s="11" t="n">
        <f>SUM(D214+E214)/2</f>
        <v>5586</v>
      </c>
      <c r="G214" s="12" t="n">
        <v>2771</v>
      </c>
      <c r="H214" s="12" t="n">
        <v>3784</v>
      </c>
      <c r="I214" s="11" t="n">
        <f>SUM(G214+H214)/2</f>
        <v>3277.5</v>
      </c>
      <c r="J214" s="16" t="n">
        <f>IF(F214=0,I214*2,F214/$N$603+I214)</f>
        <v>4280.968029176</v>
      </c>
      <c r="K214" s="18" t="n">
        <f>ROW(K214)-1</f>
        <v>213</v>
      </c>
      <c r="L214" s="18" t="e">
        <f t="array" ref="L214">INDEX(TOP3277!#REF!,MATCH(C214,TOP3277!$B$501:$B$3035,0))</f>
        <v>#N/A</v>
      </c>
    </row>
    <row r="215" ht="14.399999999999999" customHeight="1">
      <c r="A215" s="14" t="n">
        <v>4222</v>
      </c>
      <c r="B215" s="10" t="s">
        <v>122</v>
      </c>
      <c r="C215" s="10" t="s">
        <v>123</v>
      </c>
      <c r="D215" s="10" t="n">
        <f t="array" ref="D215">INDEX('原始数据'!C$2:C$3689,MATCH($C215,'原始数据'!$B$2:$B$3689,0))</f>
        <v>18106</v>
      </c>
      <c r="E215" s="10" t="n">
        <f t="array" ref="E215">INDEX('原始数据'!D$2:D$3689,MATCH($C215,'原始数据'!$B$2:$B$3689,0))</f>
        <v>28920</v>
      </c>
      <c r="F215" s="11" t="n">
        <f t="array" ref="F215">INDEX('原始数据'!E$2:E$3689,MATCH($C215,'原始数据'!$B$2:$B$3689,0))</f>
        <v>23513</v>
      </c>
      <c r="G215" s="10" t="n">
        <f t="array" ref="G215">INDEX('原始数据'!F$2:F$3689,MATCH($C215,'原始数据'!$B$2:$B$3689,0))</f>
        <v>0</v>
      </c>
      <c r="H215" s="10" t="n">
        <f t="array" ref="H215">INDEX('原始数据'!G$2:G$3689,MATCH($C215,'原始数据'!$B$2:$B$3689,0))</f>
        <v>0</v>
      </c>
      <c r="I215" s="11" t="n">
        <f t="array" ref="I215">INDEX('原始数据'!H$2:H$3689,MATCH($C215,'原始数据'!$B$2:$B$3689,0))</f>
        <v>0</v>
      </c>
      <c r="J215" s="16" t="n">
        <f>IF(F215=0,I215*2,F215/$N$603+I215)</f>
        <v>4223.87106516566</v>
      </c>
      <c r="K215" s="18" t="n">
        <f>ROW(K215)-1</f>
        <v>214</v>
      </c>
      <c r="L215" s="18" t="n">
        <f t="array" ref="L215">INDEX(TOP3277!#REF!,MATCH(C215,TOP3277!$B$501:$B$3035,0))</f>
        <v>1560</v>
      </c>
    </row>
    <row r="216" ht="14.399999999999999" customHeight="1">
      <c r="A216" s="14" t="n">
        <v>11798</v>
      </c>
      <c r="B216" s="10" t="s">
        <v>154</v>
      </c>
      <c r="C216" s="10" t="s">
        <v>155</v>
      </c>
      <c r="D216" s="13" t="n">
        <v>12766</v>
      </c>
      <c r="E216" s="13" t="n">
        <v>20392</v>
      </c>
      <c r="F216" s="11" t="n">
        <f>SUM(D216+E216)/2</f>
        <v>16579</v>
      </c>
      <c r="G216" s="12" t="n">
        <v>1061</v>
      </c>
      <c r="H216" s="12" t="n">
        <v>1373</v>
      </c>
      <c r="I216" s="11" t="n">
        <f>SUM(G216+H216)/2</f>
        <v>1217</v>
      </c>
      <c r="J216" s="16" t="n">
        <f>IF(F216=0,I216*2,F216/$N$603+I216)</f>
        <v>4195.24855991925</v>
      </c>
      <c r="K216" s="18" t="n">
        <f>ROW(K216)-1</f>
        <v>215</v>
      </c>
      <c r="L216" s="18" t="e">
        <f t="array" ref="L216">INDEX(TOP3277!#REF!,MATCH(C216,TOP3277!$B$501:$B$3035,0))</f>
        <v>#N/A</v>
      </c>
    </row>
    <row r="217" ht="14.399999999999999" customHeight="1">
      <c r="A217" s="14" t="n">
        <v>8317</v>
      </c>
      <c r="B217" s="10" t="s">
        <v>252</v>
      </c>
      <c r="C217" s="10" t="s">
        <v>8262</v>
      </c>
      <c r="D217" s="13" t="n">
        <v>11023</v>
      </c>
      <c r="E217" s="13" t="n">
        <v>17607</v>
      </c>
      <c r="F217" s="11" t="n">
        <f>SUM(D217+E217)/2</f>
        <v>14315</v>
      </c>
      <c r="G217" s="12" t="n">
        <v>1196</v>
      </c>
      <c r="H217" s="12" t="n">
        <v>1943</v>
      </c>
      <c r="I217" s="11" t="n">
        <f>SUM(G217+H217)/2</f>
        <v>1569.5</v>
      </c>
      <c r="J217" s="16" t="n">
        <f>IF(F217=0,I217*2,F217/$N$603+I217)</f>
        <v>4141.04400960517</v>
      </c>
      <c r="K217" s="18" t="n">
        <f>ROW(K217)-1</f>
        <v>216</v>
      </c>
      <c r="L217" s="18" t="e">
        <f t="array" ref="L217">INDEX(TOP3277!#REF!,MATCH(C217,TOP3277!$B$501:$B$3035,0))</f>
        <v>#N/A</v>
      </c>
    </row>
    <row r="218" ht="14.399999999999999" customHeight="1">
      <c r="A218" s="14" t="n">
        <v>5791</v>
      </c>
      <c r="B218" s="10" t="s">
        <v>152</v>
      </c>
      <c r="C218" s="10" t="s">
        <v>153</v>
      </c>
      <c r="D218" s="13" t="n">
        <v>9319</v>
      </c>
      <c r="E218" s="13" t="n">
        <v>14885</v>
      </c>
      <c r="F218" s="11" t="n">
        <f>SUM(D218+E218)/2</f>
        <v>12102</v>
      </c>
      <c r="G218" s="12" t="n">
        <v>1719</v>
      </c>
      <c r="H218" s="12" t="n">
        <v>2167</v>
      </c>
      <c r="I218" s="11" t="n">
        <f>SUM(G218+H218)/2</f>
        <v>1943</v>
      </c>
      <c r="J218" s="16" t="n">
        <f>IF(F218=0,I218*2,F218/$N$603+I218)</f>
        <v>4117.0010900623</v>
      </c>
      <c r="K218" s="18" t="n">
        <f>ROW(K218)-1</f>
        <v>217</v>
      </c>
      <c r="L218" s="18" t="e">
        <f t="array" ref="L218">INDEX(TOP3277!#REF!,MATCH(C218,TOP3277!$B$501:$B$3035,0))</f>
        <v>#N/A</v>
      </c>
    </row>
    <row r="219" ht="14.399999999999999" customHeight="1">
      <c r="A219" s="14" t="n">
        <v>7093</v>
      </c>
      <c r="B219" s="10" t="s">
        <v>8263</v>
      </c>
      <c r="C219" s="10" t="s">
        <v>8264</v>
      </c>
      <c r="D219" s="13" t="n">
        <v>6581</v>
      </c>
      <c r="E219" s="13" t="n">
        <v>10511</v>
      </c>
      <c r="F219" s="11" t="n">
        <f>SUM(D219+E219)/2</f>
        <v>8546</v>
      </c>
      <c r="G219" s="12" t="n">
        <v>2083</v>
      </c>
      <c r="H219" s="12" t="n">
        <v>2973</v>
      </c>
      <c r="I219" s="11" t="n">
        <f>SUM(G219+H219)/2</f>
        <v>2528</v>
      </c>
      <c r="J219" s="16" t="n">
        <f>IF(F219=0,I219*2,F219/$N$603+I219)</f>
        <v>4063.20189354424</v>
      </c>
      <c r="K219" s="18" t="n">
        <f>ROW(K219)-1</f>
        <v>218</v>
      </c>
      <c r="L219" s="18" t="e">
        <f t="array" ref="L219">INDEX(TOP3277!#REF!,MATCH(C219,TOP3277!$B$501:$B$3035,0))</f>
        <v>#N/A</v>
      </c>
    </row>
    <row r="220" ht="14.399999999999999" customHeight="1">
      <c r="A220" s="14" t="n">
        <v>7860</v>
      </c>
      <c r="B220" s="10" t="s">
        <v>8265</v>
      </c>
      <c r="C220" s="10" t="s">
        <v>8266</v>
      </c>
      <c r="D220" s="13" t="n">
        <v>6484</v>
      </c>
      <c r="E220" s="13" t="n">
        <v>10356</v>
      </c>
      <c r="F220" s="11" t="n">
        <f>SUM(D220+E220)/2</f>
        <v>8420</v>
      </c>
      <c r="G220" s="12" t="n">
        <v>1976</v>
      </c>
      <c r="H220" s="12" t="n">
        <v>3022</v>
      </c>
      <c r="I220" s="11" t="n">
        <f>SUM(G220+H220)/2</f>
        <v>2499</v>
      </c>
      <c r="J220" s="16" t="n">
        <f>IF(F220=0,I220*2,F220/$N$603+I220)</f>
        <v>4011.56727634478</v>
      </c>
      <c r="K220" s="18" t="n">
        <f>ROW(K220)-1</f>
        <v>219</v>
      </c>
      <c r="L220" s="18" t="e">
        <f t="array" ref="L220">INDEX(TOP3277!#REF!,MATCH(C220,TOP3277!$B$501:$B$3035,0))</f>
        <v>#N/A</v>
      </c>
    </row>
    <row r="221" ht="14.399999999999999" customHeight="1">
      <c r="A221" s="10" t="n">
        <v>300</v>
      </c>
      <c r="B221" s="10" t="s">
        <v>240</v>
      </c>
      <c r="C221" s="10" t="s">
        <v>241</v>
      </c>
      <c r="D221" s="10" t="n">
        <f t="array" ref="D221">INDEX('原始数据'!C$2:C$3689,MATCH($C221,'原始数据'!$B$2:$B$3689,0))</f>
        <v>9904</v>
      </c>
      <c r="E221" s="10" t="n">
        <f t="array" ref="E221">INDEX('原始数据'!D$2:D$3689,MATCH($C221,'原始数据'!$B$2:$B$3689,0))</f>
        <v>15822</v>
      </c>
      <c r="F221" s="11" t="n">
        <f t="array" ref="F221">INDEX('原始数据'!E$2:E$3689,MATCH($C221,'原始数据'!$B$2:$B$3689,0))</f>
        <v>12863</v>
      </c>
      <c r="G221" s="10" t="n">
        <f t="array" ref="G221">INDEX('原始数据'!F$2:F$3689,MATCH($C221,'原始数据'!$B$2:$B$3689,0))</f>
        <v>1510</v>
      </c>
      <c r="H221" s="10" t="n">
        <f t="array" ref="H221">INDEX('原始数据'!G$2:G$3689,MATCH($C221,'原始数据'!$B$2:$B$3689,0))</f>
        <v>1768</v>
      </c>
      <c r="I221" s="11" t="n">
        <f t="array" ref="I221">INDEX('原始数据'!H$2:H$3689,MATCH($C221,'原始数据'!$B$2:$B$3689,0))</f>
        <v>1639</v>
      </c>
      <c r="J221" s="16" t="n">
        <f>IF(F221=0,I221*2,F221/$N$603+I221)</f>
        <v>3949.70699235427</v>
      </c>
      <c r="K221" s="18" t="n">
        <f>ROW(K221)-1</f>
        <v>220</v>
      </c>
      <c r="L221" s="18" t="e">
        <f t="array" ref="L221">INDEX(TOP3277!#REF!,MATCH(C221,TOP3277!$B$501:$B$3035,0))</f>
        <v>#N/A</v>
      </c>
    </row>
    <row r="222" ht="14.399999999999999" customHeight="1">
      <c r="A222" s="10" t="n">
        <v>287</v>
      </c>
      <c r="B222" s="10" t="s">
        <v>234</v>
      </c>
      <c r="C222" s="10" t="s">
        <v>235</v>
      </c>
      <c r="D222" s="10" t="n">
        <f t="array" ref="D222">INDEX('原始数据'!C$2:C$3689,MATCH($C222,'原始数据'!$B$2:$B$3689,0))</f>
        <v>13168</v>
      </c>
      <c r="E222" s="10" t="n">
        <f t="array" ref="E222">INDEX('原始数据'!D$2:D$3689,MATCH($C222,'原始数据'!$B$2:$B$3689,0))</f>
        <v>21034</v>
      </c>
      <c r="F222" s="11" t="n">
        <f t="array" ref="F222">INDEX('原始数据'!E$2:E$3689,MATCH($C222,'原始数据'!$B$2:$B$3689,0))</f>
        <v>17101</v>
      </c>
      <c r="G222" s="10" t="n">
        <f t="array" ref="G222">INDEX('原始数据'!F$2:F$3689,MATCH($C222,'原始数据'!$B$2:$B$3689,0))</f>
        <v>816</v>
      </c>
      <c r="H222" s="10" t="n">
        <f t="array" ref="H222">INDEX('原始数据'!G$2:G$3689,MATCH($C222,'原始数据'!$B$2:$B$3689,0))</f>
        <v>931</v>
      </c>
      <c r="I222" s="11" t="n">
        <f t="array" ref="I222">INDEX('原始数据'!H$2:H$3689,MATCH($C222,'原始数据'!$B$2:$B$3689,0))</f>
        <v>873.5</v>
      </c>
      <c r="J222" s="16" t="n">
        <f>IF(F222=0,I222*2,F222/$N$603+I222)</f>
        <v>3945.52054545987</v>
      </c>
      <c r="K222" s="18" t="n">
        <f>ROW(K222)-1</f>
        <v>221</v>
      </c>
      <c r="L222" s="18" t="e">
        <f t="array" ref="L222">INDEX(TOP3277!#REF!,MATCH(C222,TOP3277!$B$501:$B$3035,0))</f>
        <v>#N/A</v>
      </c>
    </row>
    <row r="223" ht="14.399999999999999" customHeight="1">
      <c r="A223" s="14" t="n">
        <v>3398</v>
      </c>
      <c r="B223" s="10" t="s">
        <v>408</v>
      </c>
      <c r="C223" s="10" t="s">
        <v>8267</v>
      </c>
      <c r="D223" s="13" t="n">
        <v>3048</v>
      </c>
      <c r="E223" s="13" t="n">
        <v>4868</v>
      </c>
      <c r="F223" s="11" t="n">
        <f>SUM(D223+E223)/2</f>
        <v>3958</v>
      </c>
      <c r="G223" s="12" t="n">
        <v>2696</v>
      </c>
      <c r="H223" s="12" t="n">
        <v>3727</v>
      </c>
      <c r="I223" s="11" t="n">
        <f>SUM(G223+H223)/2</f>
        <v>3211.5</v>
      </c>
      <c r="J223" s="16" t="n">
        <f>IF(F223=0,I223*2,F223/$N$603+I223)</f>
        <v>3922.51440377347</v>
      </c>
      <c r="K223" s="18" t="n">
        <f>ROW(K223)-1</f>
        <v>222</v>
      </c>
      <c r="L223" s="18" t="e">
        <f t="array" ref="L223">INDEX(TOP3277!#REF!,MATCH(C223,TOP3277!$B$501:$B$3035,0))</f>
        <v>#N/A</v>
      </c>
    </row>
    <row r="224" ht="14.399999999999999" customHeight="1">
      <c r="A224" s="10" t="n">
        <v>297</v>
      </c>
      <c r="B224" s="10" t="s">
        <v>194</v>
      </c>
      <c r="C224" s="10" t="s">
        <v>195</v>
      </c>
      <c r="D224" s="10" t="n">
        <f t="array" ref="D224">INDEX('原始数据'!C$2:C$3689,MATCH($C224,'原始数据'!$B$2:$B$3689,0))</f>
        <v>5378</v>
      </c>
      <c r="E224" s="10" t="n">
        <f t="array" ref="E224">INDEX('原始数据'!D$2:D$3689,MATCH($C224,'原始数据'!$B$2:$B$3689,0))</f>
        <v>8590</v>
      </c>
      <c r="F224" s="11" t="n">
        <f t="array" ref="F224">INDEX('原始数据'!E$2:E$3689,MATCH($C224,'原始数据'!$B$2:$B$3689,0))</f>
        <v>6984</v>
      </c>
      <c r="G224" s="10" t="n">
        <f t="array" ref="G224">INDEX('原始数据'!F$2:F$3689,MATCH($C224,'原始数据'!$B$2:$B$3689,0))</f>
        <v>2309</v>
      </c>
      <c r="H224" s="10" t="n">
        <f t="array" ref="H224">INDEX('原始数据'!G$2:G$3689,MATCH($C224,'原始数据'!$B$2:$B$3689,0))</f>
        <v>3005</v>
      </c>
      <c r="I224" s="11" t="n">
        <f t="array" ref="I224">INDEX('原始数据'!H$2:H$3689,MATCH($C224,'原始数据'!$B$2:$B$3689,0))</f>
        <v>2657</v>
      </c>
      <c r="J224" s="16" t="n">
        <f>IF(F224=0,I224*2,F224/$N$603+I224)</f>
        <v>3911.60449619857</v>
      </c>
      <c r="K224" s="18" t="n">
        <f>ROW(K224)-1</f>
        <v>223</v>
      </c>
      <c r="L224" s="18" t="n">
        <f t="array" ref="L224">INDEX(TOP3277!#REF!,MATCH(C224,TOP3277!$B$501:$B$3035,0))</f>
        <v>1571</v>
      </c>
    </row>
    <row r="225" ht="14.399999999999999" customHeight="1">
      <c r="A225" s="14" t="n">
        <v>3353</v>
      </c>
      <c r="B225" s="10" t="s">
        <v>8268</v>
      </c>
      <c r="C225" s="10" t="s">
        <v>8269</v>
      </c>
      <c r="D225" s="13" t="n">
        <v>2797</v>
      </c>
      <c r="E225" s="13" t="n">
        <v>4467</v>
      </c>
      <c r="F225" s="11" t="n">
        <f>SUM(D225+E225)/2</f>
        <v>3632</v>
      </c>
      <c r="G225" s="12" t="n">
        <v>2672</v>
      </c>
      <c r="H225" s="12" t="n">
        <v>3787</v>
      </c>
      <c r="I225" s="11" t="n">
        <f>SUM(G225+H225)/2</f>
        <v>3229.5</v>
      </c>
      <c r="J225" s="16" t="n">
        <f>IF(F225=0,I225*2,F225/$N$603+I225)</f>
        <v>3881.95182276535</v>
      </c>
      <c r="K225" s="18" t="n">
        <f>ROW(K225)-1</f>
        <v>224</v>
      </c>
      <c r="L225" s="18" t="e">
        <f t="array" ref="L225">INDEX(TOP3277!#REF!,MATCH(C225,TOP3277!$B$501:$B$3035,0))</f>
        <v>#N/A</v>
      </c>
    </row>
    <row r="226" ht="14.399999999999999" customHeight="1">
      <c r="A226" s="14" t="n">
        <v>10537</v>
      </c>
      <c r="B226" s="10" t="s">
        <v>270</v>
      </c>
      <c r="C226" s="10" t="s">
        <v>8270</v>
      </c>
      <c r="D226" s="13" t="n">
        <v>8249</v>
      </c>
      <c r="E226" s="13" t="n">
        <v>13177</v>
      </c>
      <c r="F226" s="11" t="n">
        <f>SUM(D226+E226)/2</f>
        <v>10713</v>
      </c>
      <c r="G226" s="12" t="n">
        <v>1548</v>
      </c>
      <c r="H226" s="12" t="n">
        <v>2139</v>
      </c>
      <c r="I226" s="11" t="n">
        <f>SUM(G226+H226)/2</f>
        <v>1843.5</v>
      </c>
      <c r="J226" s="16" t="n">
        <f>IF(F226=0,I226*2,F226/$N$603+I226)</f>
        <v>3767.98138141112</v>
      </c>
      <c r="K226" s="18" t="n">
        <f>ROW(K226)-1</f>
        <v>225</v>
      </c>
      <c r="L226" s="18" t="e">
        <f t="array" ref="L226">INDEX(TOP3277!#REF!,MATCH(C226,TOP3277!$B$501:$B$3035,0))</f>
        <v>#N/A</v>
      </c>
    </row>
    <row r="227" ht="14.399999999999999" customHeight="1">
      <c r="A227" s="14" t="n">
        <v>4894</v>
      </c>
      <c r="B227" s="10" t="s">
        <v>276</v>
      </c>
      <c r="C227" s="10" t="s">
        <v>277</v>
      </c>
      <c r="D227" s="13" t="n">
        <v>3445</v>
      </c>
      <c r="E227" s="13" t="n">
        <v>5504</v>
      </c>
      <c r="F227" s="11" t="n">
        <f>SUM(D227+E227)/2</f>
        <v>4474.5</v>
      </c>
      <c r="G227" s="12" t="n">
        <v>2308</v>
      </c>
      <c r="H227" s="12" t="n">
        <v>3553</v>
      </c>
      <c r="I227" s="11" t="n">
        <f>SUM(G227+H227)/2</f>
        <v>2930.5</v>
      </c>
      <c r="J227" s="16" t="n">
        <f>IF(F227=0,I227*2,F227/$N$603+I227)</f>
        <v>3734.29837030935</v>
      </c>
      <c r="K227" s="18" t="n">
        <f>ROW(K227)-1</f>
        <v>226</v>
      </c>
      <c r="L227" s="18" t="e">
        <f t="array" ref="L227">INDEX(TOP3277!#REF!,MATCH(C227,TOP3277!$B$501:$B$3035,0))</f>
        <v>#N/A</v>
      </c>
    </row>
    <row r="228" ht="14.399999999999999" customHeight="1">
      <c r="A228" s="14" t="n">
        <v>7694</v>
      </c>
      <c r="B228" s="10" t="s">
        <v>192</v>
      </c>
      <c r="C228" s="10" t="s">
        <v>193</v>
      </c>
      <c r="D228" s="13" t="n">
        <v>2232</v>
      </c>
      <c r="E228" s="13" t="n">
        <v>3562</v>
      </c>
      <c r="F228" s="11" t="n">
        <f>SUM(D228+E228)/2</f>
        <v>2897</v>
      </c>
      <c r="G228" s="12" t="n">
        <v>2675</v>
      </c>
      <c r="H228" s="12" t="n">
        <v>3666</v>
      </c>
      <c r="I228" s="11" t="n">
        <f>SUM(G228+H228)/2</f>
        <v>3170.5</v>
      </c>
      <c r="J228" s="16" t="n">
        <f>IF(F228=0,I228*2,F228/$N$603+I228)</f>
        <v>3690.91655576851</v>
      </c>
      <c r="K228" s="18" t="n">
        <f>ROW(K228)-1</f>
        <v>227</v>
      </c>
      <c r="L228" s="18" t="e">
        <f t="array" ref="L228">INDEX(TOP3277!#REF!,MATCH(C228,TOP3277!$B$501:$B$3035,0))</f>
        <v>#N/A</v>
      </c>
    </row>
    <row r="229" ht="14.399999999999999" customHeight="1">
      <c r="A229" s="14" t="n">
        <v>7712</v>
      </c>
      <c r="B229" s="10" t="s">
        <v>242</v>
      </c>
      <c r="C229" s="10" t="s">
        <v>243</v>
      </c>
      <c r="D229" s="13" t="n">
        <v>8211</v>
      </c>
      <c r="E229" s="13" t="n">
        <v>13115</v>
      </c>
      <c r="F229" s="11" t="n">
        <f>SUM(D229+E229)/2</f>
        <v>10663</v>
      </c>
      <c r="G229" s="12" t="n">
        <v>1504</v>
      </c>
      <c r="H229" s="12" t="n">
        <v>2032</v>
      </c>
      <c r="I229" s="11" t="n">
        <f>SUM(G229+H229)/2</f>
        <v>1768</v>
      </c>
      <c r="J229" s="16" t="n">
        <f>IF(F229=0,I229*2,F229/$N$603+I229)</f>
        <v>3683.49939045895</v>
      </c>
      <c r="K229" s="18" t="n">
        <f>ROW(K229)-1</f>
        <v>228</v>
      </c>
      <c r="L229" s="18" t="e">
        <f t="array" ref="L229">INDEX(TOP3277!#REF!,MATCH(C229,TOP3277!$B$501:$B$3035,0))</f>
        <v>#N/A</v>
      </c>
    </row>
    <row r="230" ht="14.399999999999999" customHeight="1">
      <c r="A230" s="14" t="n">
        <v>5989</v>
      </c>
      <c r="B230" s="10" t="s">
        <v>8271</v>
      </c>
      <c r="C230" s="10" t="s">
        <v>8272</v>
      </c>
      <c r="D230" s="13" t="n">
        <v>5871</v>
      </c>
      <c r="E230" s="13" t="n">
        <v>9377</v>
      </c>
      <c r="F230" s="11" t="n">
        <f>SUM(D230+E230)/2</f>
        <v>7624</v>
      </c>
      <c r="G230" s="12" t="n">
        <v>1814</v>
      </c>
      <c r="H230" s="12" t="n">
        <v>2776</v>
      </c>
      <c r="I230" s="11" t="n">
        <f>SUM(G230+H230)/2</f>
        <v>2295</v>
      </c>
      <c r="J230" s="16" t="n">
        <f>IF(F230=0,I230*2,F230/$N$603+I230)</f>
        <v>3664.5739803863</v>
      </c>
      <c r="K230" s="18" t="n">
        <f>ROW(K230)-1</f>
        <v>229</v>
      </c>
      <c r="L230" s="18" t="e">
        <f t="array" ref="L230">INDEX(TOP3277!#REF!,MATCH(C230,TOP3277!$B$501:$B$3035,0))</f>
        <v>#N/A</v>
      </c>
    </row>
    <row r="231" ht="14.399999999999999" customHeight="1">
      <c r="A231" s="14" t="n">
        <v>4565</v>
      </c>
      <c r="B231" s="10" t="s">
        <v>8273</v>
      </c>
      <c r="C231" s="10" t="s">
        <v>8274</v>
      </c>
      <c r="D231" s="13" t="n">
        <v>3402</v>
      </c>
      <c r="E231" s="13" t="n">
        <v>5434</v>
      </c>
      <c r="F231" s="11" t="n">
        <f>SUM(D231+E231)/2</f>
        <v>4418</v>
      </c>
      <c r="G231" s="12" t="n">
        <v>2255</v>
      </c>
      <c r="H231" s="12" t="n">
        <v>3150</v>
      </c>
      <c r="I231" s="11" t="n">
        <f>SUM(G231+H231)/2</f>
        <v>2702.5</v>
      </c>
      <c r="J231" s="16" t="n">
        <f>IF(F231=0,I231*2,F231/$N$603+I231)</f>
        <v>3496.1487205334</v>
      </c>
      <c r="K231" s="18" t="n">
        <f>ROW(K231)-1</f>
        <v>230</v>
      </c>
      <c r="L231" s="18" t="e">
        <f t="array" ref="L231">INDEX(TOP3277!#REF!,MATCH(C231,TOP3277!$B$501:$B$3035,0))</f>
        <v>#N/A</v>
      </c>
    </row>
    <row r="232" ht="14.399999999999999" customHeight="1">
      <c r="A232" s="10" t="n">
        <v>281</v>
      </c>
      <c r="B232" s="10" t="s">
        <v>158</v>
      </c>
      <c r="C232" s="10" t="s">
        <v>159</v>
      </c>
      <c r="D232" s="13" t="n">
        <v>11235</v>
      </c>
      <c r="E232" s="13" t="n">
        <v>17945</v>
      </c>
      <c r="F232" s="11" t="n">
        <f>SUM(D232+E232)/2</f>
        <v>14590</v>
      </c>
      <c r="G232" s="18" t="n">
        <v>559</v>
      </c>
      <c r="H232" s="12" t="n">
        <v>1118</v>
      </c>
      <c r="I232" s="11" t="n">
        <f>SUM(G232+H232)/2</f>
        <v>838.5</v>
      </c>
      <c r="J232" s="16" t="n">
        <f>IF(F232=0,I232*2,F232/$N$603+I232)</f>
        <v>3459.44495984208</v>
      </c>
      <c r="K232" s="18" t="n">
        <f>ROW(K232)-1</f>
        <v>231</v>
      </c>
      <c r="L232" s="18" t="n">
        <f t="array" ref="L232">INDEX(TOP3277!#REF!,MATCH(C232,TOP3277!$B$501:$B$3035,0))</f>
        <v>1574</v>
      </c>
    </row>
    <row r="233" ht="14.399999999999999" customHeight="1">
      <c r="A233" s="10" t="n">
        <v>295</v>
      </c>
      <c r="B233" s="10" t="s">
        <v>168</v>
      </c>
      <c r="C233" s="10" t="s">
        <v>169</v>
      </c>
      <c r="D233" s="10" t="n">
        <f t="array" ref="D233">INDEX('原始数据'!C$2:C$3689,MATCH($C233,'原始数据'!$B$2:$B$3689,0))</f>
        <v>14248</v>
      </c>
      <c r="E233" s="10" t="n">
        <f t="array" ref="E233">INDEX('原始数据'!D$2:D$3689,MATCH($C233,'原始数据'!$B$2:$B$3689,0))</f>
        <v>22760</v>
      </c>
      <c r="F233" s="11" t="n">
        <f t="array" ref="F233">INDEX('原始数据'!E$2:E$3689,MATCH($C233,'原始数据'!$B$2:$B$3689,0))</f>
        <v>18504</v>
      </c>
      <c r="G233" s="10" t="n">
        <f t="array" ref="G233">INDEX('原始数据'!F$2:F$3689,MATCH($C233,'原始数据'!$B$2:$B$3689,0))</f>
        <v>42</v>
      </c>
      <c r="H233" s="10" t="n">
        <f t="array" ref="H233">INDEX('原始数据'!G$2:G$3689,MATCH($C233,'原始数据'!$B$2:$B$3689,0))</f>
        <v>210</v>
      </c>
      <c r="I233" s="11" t="n">
        <f t="array" ref="I233">INDEX('原始数据'!H$2:H$3689,MATCH($C233,'原始数据'!$B$2:$B$3689,0))</f>
        <v>126</v>
      </c>
      <c r="J233" s="16" t="n">
        <f>IF(F233=0,I233*2,F233/$N$603+I233)</f>
        <v>3450.05521157765</v>
      </c>
      <c r="K233" s="18" t="n">
        <f>ROW(K233)-1</f>
        <v>232</v>
      </c>
      <c r="L233" s="18" t="n">
        <f t="array" ref="L233">INDEX(TOP3277!#REF!,MATCH(C233,TOP3277!$B$501:$B$3035,0))</f>
        <v>1572</v>
      </c>
    </row>
    <row r="234" ht="14.399999999999999" customHeight="1">
      <c r="A234" s="10" t="n">
        <v>344</v>
      </c>
      <c r="B234" s="10" t="s">
        <v>1679</v>
      </c>
      <c r="C234" s="10" t="s">
        <v>1680</v>
      </c>
      <c r="D234" s="10" t="n">
        <f t="array" ref="D234">INDEX('原始数据'!C$2:C$3689,MATCH($C234,'原始数据'!$B$2:$B$3689,0))</f>
        <v>1421</v>
      </c>
      <c r="E234" s="10" t="n">
        <f t="array" ref="E234">INDEX('原始数据'!D$2:D$3689,MATCH($C234,'原始数据'!$B$2:$B$3689,0))</f>
        <v>2271</v>
      </c>
      <c r="F234" s="11" t="n">
        <f t="array" ref="F234">INDEX('原始数据'!E$2:E$3689,MATCH($C234,'原始数据'!$B$2:$B$3689,0))</f>
        <v>1846</v>
      </c>
      <c r="G234" s="10" t="n">
        <f t="array" ref="G234">INDEX('原始数据'!F$2:F$3689,MATCH($C234,'原始数据'!$B$2:$B$3689,0))</f>
        <v>2516</v>
      </c>
      <c r="H234" s="10" t="n">
        <f t="array" ref="H234">INDEX('原始数据'!G$2:G$3689,MATCH($C234,'原始数据'!$B$2:$B$3689,0))</f>
        <v>3536</v>
      </c>
      <c r="I234" s="11" t="n">
        <f t="array" ref="I234">INDEX('原始数据'!H$2:H$3689,MATCH($C234,'原始数据'!$B$2:$B$3689,0))</f>
        <v>3026</v>
      </c>
      <c r="J234" s="16" t="n">
        <f>IF(F234=0,I234*2,F234/$N$603+I234)</f>
        <v>3357.61510595397</v>
      </c>
      <c r="K234" s="18" t="n">
        <f>ROW(K234)-1</f>
        <v>233</v>
      </c>
      <c r="L234" s="18" t="n">
        <f t="array" ref="L234">INDEX(TOP3277!#REF!,MATCH(C234,TOP3277!$B$501:$B$3035,0))</f>
        <v>1579</v>
      </c>
    </row>
    <row r="235" ht="14.399999999999999" customHeight="1">
      <c r="A235" s="14" t="n">
        <v>8205</v>
      </c>
      <c r="B235" s="10" t="s">
        <v>160</v>
      </c>
      <c r="C235" s="10" t="s">
        <v>161</v>
      </c>
      <c r="D235" s="13" t="n">
        <v>8052</v>
      </c>
      <c r="E235" s="13" t="n">
        <v>12864</v>
      </c>
      <c r="F235" s="11" t="n">
        <f>SUM(D235+E235)/2</f>
        <v>10458</v>
      </c>
      <c r="G235" s="12" t="n">
        <v>1253</v>
      </c>
      <c r="H235" s="12" t="n">
        <v>1629</v>
      </c>
      <c r="I235" s="11" t="n">
        <f>SUM(G235+H235)/2</f>
        <v>1441</v>
      </c>
      <c r="J235" s="16" t="n">
        <f>IF(F235=0,I235*2,F235/$N$603+I235)</f>
        <v>3319.67322755507</v>
      </c>
      <c r="K235" s="18" t="n">
        <f>ROW(K235)-1</f>
        <v>234</v>
      </c>
      <c r="L235" s="18" t="e">
        <f t="array" ref="L235">INDEX(TOP3277!#REF!,MATCH(C235,TOP3277!$B$501:$B$3035,0))</f>
        <v>#N/A</v>
      </c>
    </row>
    <row r="236" ht="14.399999999999999" customHeight="1">
      <c r="A236" s="14" t="n">
        <v>9019</v>
      </c>
      <c r="B236" s="10" t="s">
        <v>172</v>
      </c>
      <c r="C236" s="10" t="s">
        <v>173</v>
      </c>
      <c r="D236" s="10" t="n">
        <f t="array" ref="D236">INDEX('原始数据'!C$2:C$3689,MATCH($C236,'原始数据'!$B$2:$B$3689,0))</f>
        <v>5771</v>
      </c>
      <c r="E236" s="10" t="n">
        <f t="array" ref="E236">INDEX('原始数据'!D$2:D$3689,MATCH($C236,'原始数据'!$B$2:$B$3689,0))</f>
        <v>9217</v>
      </c>
      <c r="F236" s="11" t="n">
        <f t="array" ref="F236">INDEX('原始数据'!E$2:E$3689,MATCH($C236,'原始数据'!$B$2:$B$3689,0))</f>
        <v>7494</v>
      </c>
      <c r="G236" s="10" t="n">
        <f t="array" ref="G236">INDEX('原始数据'!F$2:F$3689,MATCH($C236,'原始数据'!$B$2:$B$3689,0))</f>
        <v>1565</v>
      </c>
      <c r="H236" s="10" t="n">
        <f t="array" ref="H236">INDEX('原始数据'!G$2:G$3689,MATCH($C236,'原始数据'!$B$2:$B$3689,0))</f>
        <v>2055</v>
      </c>
      <c r="I236" s="11" t="n">
        <f t="array" ref="I236">INDEX('原始数据'!H$2:H$3689,MATCH($C236,'原始数据'!$B$2:$B$3689,0))</f>
        <v>1810</v>
      </c>
      <c r="J236" s="16" t="n">
        <f>IF(F236=0,I236*2,F236/$N$603+I236)</f>
        <v>3156.22080391066</v>
      </c>
      <c r="K236" s="18" t="n">
        <f>ROW(K236)-1</f>
        <v>235</v>
      </c>
      <c r="L236" s="18" t="n">
        <f t="array" ref="L236">INDEX(TOP3277!#REF!,MATCH(C236,TOP3277!$B$501:$B$3035,0))</f>
        <v>1581</v>
      </c>
    </row>
    <row r="237" ht="14.399999999999999" customHeight="1">
      <c r="A237" s="14" t="n">
        <v>7783</v>
      </c>
      <c r="B237" s="10" t="s">
        <v>482</v>
      </c>
      <c r="C237" s="10" t="s">
        <v>483</v>
      </c>
      <c r="D237" s="10" t="n">
        <v>677</v>
      </c>
      <c r="E237" s="13" t="n">
        <v>1080</v>
      </c>
      <c r="F237" s="11" t="n">
        <f>SUM(D237+E237)/2</f>
        <v>878.5</v>
      </c>
      <c r="G237" s="12" t="n">
        <v>2262</v>
      </c>
      <c r="H237" s="12" t="n">
        <v>3578</v>
      </c>
      <c r="I237" s="11" t="n">
        <f>SUM(G237+H237)/2</f>
        <v>2920</v>
      </c>
      <c r="J237" s="16" t="n">
        <f>IF(F237=0,I237*2,F237/$N$603+I237)</f>
        <v>3077.81358102956</v>
      </c>
      <c r="K237" s="18" t="n">
        <f>ROW(K237)-1</f>
        <v>236</v>
      </c>
      <c r="L237" s="18" t="e">
        <f t="array" ref="L237">INDEX(TOP3277!#REF!,MATCH(C237,TOP3277!$B$501:$B$3035,0))</f>
        <v>#N/A</v>
      </c>
    </row>
    <row r="238" ht="14.399999999999999" customHeight="1">
      <c r="A238" s="14" t="n">
        <v>11714</v>
      </c>
      <c r="B238" s="10" t="s">
        <v>8275</v>
      </c>
      <c r="C238" s="10" t="s">
        <v>167</v>
      </c>
      <c r="D238" s="13" t="n">
        <v>8578</v>
      </c>
      <c r="E238" s="13" t="n">
        <v>13702</v>
      </c>
      <c r="F238" s="11" t="n">
        <f>SUM(D238+E238)/2</f>
        <v>11140</v>
      </c>
      <c r="G238" s="18" t="n">
        <v>971</v>
      </c>
      <c r="H238" s="12" t="n">
        <v>1088</v>
      </c>
      <c r="I238" s="11" t="n">
        <f>SUM(G238+H238)/2</f>
        <v>1029.5</v>
      </c>
      <c r="J238" s="16" t="n">
        <f>IF(F238=0,I238*2,F238/$N$603+I238)</f>
        <v>3030.68758414262</v>
      </c>
      <c r="K238" s="18" t="n">
        <f>ROW(K238)-1</f>
        <v>237</v>
      </c>
      <c r="L238" s="18" t="n">
        <f t="array" ref="L238">INDEX(TOP3277!#REF!,MATCH(C238,TOP3277!$B$501:$B$3035,0))</f>
        <v>1582</v>
      </c>
    </row>
    <row r="239" ht="14.399999999999999" customHeight="1">
      <c r="A239" s="10" t="n">
        <v>284</v>
      </c>
      <c r="B239" s="10" t="s">
        <v>162</v>
      </c>
      <c r="C239" s="10" t="s">
        <v>163</v>
      </c>
      <c r="D239" s="13" t="n">
        <v>9179</v>
      </c>
      <c r="E239" s="13" t="n">
        <v>14663</v>
      </c>
      <c r="F239" s="11" t="n">
        <f>SUM(D239+E239)/2</f>
        <v>11921</v>
      </c>
      <c r="G239" s="18" t="n">
        <v>523</v>
      </c>
      <c r="H239" s="12" t="n">
        <v>1145</v>
      </c>
      <c r="I239" s="11" t="n">
        <f>SUM(G239+H239)/2</f>
        <v>834</v>
      </c>
      <c r="J239" s="16" t="n">
        <f>IF(F239=0,I239*2,F239/$N$603+I239)</f>
        <v>2975.48628281545</v>
      </c>
      <c r="K239" s="18" t="n">
        <f>ROW(K239)-1</f>
        <v>238</v>
      </c>
      <c r="L239" s="18" t="n">
        <f t="array" ref="L239">INDEX(TOP3277!#REF!,MATCH(C239,TOP3277!$B$501:$B$3035,0))</f>
        <v>1578</v>
      </c>
    </row>
    <row r="240" ht="14.399999999999999" customHeight="1">
      <c r="A240" s="10" t="n">
        <v>304</v>
      </c>
      <c r="B240" s="10" t="s">
        <v>164</v>
      </c>
      <c r="C240" s="10" t="s">
        <v>165</v>
      </c>
      <c r="D240" s="10" t="n">
        <f t="array" ref="D240">INDEX('原始数据'!C$2:C$3689,MATCH($C240,'原始数据'!$B$2:$B$3689,0))</f>
        <v>6398</v>
      </c>
      <c r="E240" s="10" t="n">
        <f t="array" ref="E240">INDEX('原始数据'!D$2:D$3689,MATCH($C240,'原始数据'!$B$2:$B$3689,0))</f>
        <v>10218</v>
      </c>
      <c r="F240" s="11" t="n">
        <f t="array" ref="F240">INDEX('原始数据'!E$2:E$3689,MATCH($C240,'原始数据'!$B$2:$B$3689,0))</f>
        <v>8308</v>
      </c>
      <c r="G240" s="10" t="n">
        <f t="array" ref="G240">INDEX('原始数据'!F$2:F$3689,MATCH($C240,'原始数据'!$B$2:$B$3689,0))</f>
        <v>1102</v>
      </c>
      <c r="H240" s="10" t="n">
        <f t="array" ref="H240">INDEX('原始数据'!G$2:G$3689,MATCH($C240,'原始数据'!$B$2:$B$3689,0))</f>
        <v>1847</v>
      </c>
      <c r="I240" s="11" t="n">
        <f t="array" ref="I240">INDEX('原始数据'!H$2:H$3689,MATCH($C240,'原始数据'!$B$2:$B$3689,0))</f>
        <v>1474.5</v>
      </c>
      <c r="J240" s="16" t="n">
        <f>IF(F240=0,I240*2,F240/$N$603+I240)</f>
        <v>2966.94761661193</v>
      </c>
      <c r="K240" s="18" t="n">
        <f>ROW(K240)-1</f>
        <v>239</v>
      </c>
      <c r="L240" s="18" t="n">
        <f t="array" ref="L240">INDEX(TOP3277!#REF!,MATCH(C240,TOP3277!$B$501:$B$3035,0))</f>
        <v>1583</v>
      </c>
    </row>
    <row r="241" ht="14.399999999999999" customHeight="1">
      <c r="A241" s="10" t="n">
        <v>299</v>
      </c>
      <c r="B241" s="10" t="s">
        <v>402</v>
      </c>
      <c r="C241" s="10" t="s">
        <v>403</v>
      </c>
      <c r="D241" s="13" t="n">
        <v>1846</v>
      </c>
      <c r="E241" s="13" t="n">
        <v>2950</v>
      </c>
      <c r="F241" s="11" t="n">
        <f>SUM(D241+E241)/2</f>
        <v>2398</v>
      </c>
      <c r="G241" s="12" t="n">
        <v>2295</v>
      </c>
      <c r="H241" s="12" t="n">
        <v>2581</v>
      </c>
      <c r="I241" s="11" t="n">
        <f>SUM(G241+H241)/2</f>
        <v>2438</v>
      </c>
      <c r="J241" s="16" t="n">
        <f>IF(F241=0,I241*2,F241/$N$603+I241)</f>
        <v>2868.77628606589</v>
      </c>
      <c r="K241" s="18" t="n">
        <f>ROW(K241)-1</f>
        <v>240</v>
      </c>
      <c r="L241" s="18" t="e">
        <f t="array" ref="L241">INDEX(TOP3277!#REF!,MATCH(C241,TOP3277!$B$501:$B$3035,0))</f>
        <v>#N/A</v>
      </c>
    </row>
    <row r="242" ht="14.399999999999999" customHeight="1">
      <c r="A242" s="14" t="n">
        <v>7732</v>
      </c>
      <c r="B242" s="10" t="s">
        <v>8276</v>
      </c>
      <c r="C242" s="10" t="s">
        <v>8277</v>
      </c>
      <c r="D242" s="13" t="n">
        <v>6674</v>
      </c>
      <c r="E242" s="13" t="n">
        <v>10658</v>
      </c>
      <c r="F242" s="11" t="n">
        <f>SUM(D242+E242)/2</f>
        <v>8666</v>
      </c>
      <c r="G242" s="18" t="n">
        <v>974</v>
      </c>
      <c r="H242" s="12" t="n">
        <v>1643</v>
      </c>
      <c r="I242" s="11" t="n">
        <f>SUM(G242+H242)/2</f>
        <v>1308.5</v>
      </c>
      <c r="J242" s="16" t="n">
        <f>IF(F242=0,I242*2,F242/$N$603+I242)</f>
        <v>2865.25867182944</v>
      </c>
      <c r="K242" s="18" t="n">
        <f>ROW(K242)-1</f>
        <v>241</v>
      </c>
      <c r="L242" s="18" t="e">
        <f t="array" ref="L242">INDEX(TOP3277!#REF!,MATCH(C242,TOP3277!$B$501:$B$3035,0))</f>
        <v>#N/A</v>
      </c>
    </row>
    <row r="243" ht="14.399999999999999" customHeight="1">
      <c r="A243" s="14" t="n">
        <v>14941</v>
      </c>
      <c r="B243" s="10" t="s">
        <v>284</v>
      </c>
      <c r="C243" s="10" t="s">
        <v>1033</v>
      </c>
      <c r="D243" s="10" t="n">
        <f t="array" ref="D243">INDEX('原始数据'!C$2:C$3689,MATCH($C243,'原始数据'!$B$2:$B$3689,0))</f>
        <v>5806</v>
      </c>
      <c r="E243" s="10" t="n">
        <f t="array" ref="E243">INDEX('原始数据'!D$2:D$3689,MATCH($C243,'原始数据'!$B$2:$B$3689,0))</f>
        <v>9272</v>
      </c>
      <c r="F243" s="11" t="n">
        <f t="array" ref="F243">INDEX('原始数据'!E$2:E$3689,MATCH($C243,'原始数据'!$B$2:$B$3689,0))</f>
        <v>7539</v>
      </c>
      <c r="G243" s="10" t="n">
        <f t="array" ref="G243">INDEX('原始数据'!F$2:F$3689,MATCH($C243,'原始数据'!$B$2:$B$3689,0))</f>
        <v>1209</v>
      </c>
      <c r="H243" s="10" t="n">
        <f t="array" ref="H243">INDEX('原始数据'!G$2:G$3689,MATCH($C243,'原始数据'!$B$2:$B$3689,0))</f>
        <v>1774</v>
      </c>
      <c r="I243" s="11" t="n">
        <f t="array" ref="I243">INDEX('原始数据'!H$2:H$3689,MATCH($C243,'原始数据'!$B$2:$B$3689,0))</f>
        <v>1491.5</v>
      </c>
      <c r="J243" s="16" t="n">
        <f>IF(F243=0,I243*2,F243/$N$603+I243)</f>
        <v>2845.80459576761</v>
      </c>
      <c r="K243" s="18" t="n">
        <f>ROW(K243)-1</f>
        <v>242</v>
      </c>
      <c r="L243" s="18" t="n">
        <f t="array" ref="L243">INDEX(TOP3277!#REF!,MATCH(C243,TOP3277!$B$501:$B$3035,0))</f>
        <v>1584</v>
      </c>
    </row>
    <row r="244" ht="14.399999999999999" customHeight="1">
      <c r="A244" s="14" t="n">
        <v>6913</v>
      </c>
      <c r="B244" s="10" t="s">
        <v>170</v>
      </c>
      <c r="C244" s="10" t="s">
        <v>171</v>
      </c>
      <c r="D244" s="10" t="n">
        <f t="array" ref="D244">INDEX('原始数据'!C$2:C$3689,MATCH($C244,'原始数据'!$B$2:$B$3689,0))</f>
        <v>6063</v>
      </c>
      <c r="E244" s="10" t="n">
        <f t="array" ref="E244">INDEX('原始数据'!D$2:D$3689,MATCH($C244,'原始数据'!$B$2:$B$3689,0))</f>
        <v>9683</v>
      </c>
      <c r="F244" s="11" t="n">
        <f t="array" ref="F244">INDEX('原始数据'!E$2:E$3689,MATCH($C244,'原始数据'!$B$2:$B$3689,0))</f>
        <v>7873</v>
      </c>
      <c r="G244" s="10" t="n">
        <f t="array" ref="G244">INDEX('原始数据'!F$2:F$3689,MATCH($C244,'原始数据'!$B$2:$B$3689,0))</f>
        <v>1035</v>
      </c>
      <c r="H244" s="10" t="n">
        <f t="array" ref="H244">INDEX('原始数据'!G$2:G$3689,MATCH($C244,'原始数据'!$B$2:$B$3689,0))</f>
        <v>1587</v>
      </c>
      <c r="I244" s="11" t="n">
        <f t="array" ref="I244">INDEX('原始数据'!H$2:H$3689,MATCH($C244,'原始数据'!$B$2:$B$3689,0))</f>
        <v>1311</v>
      </c>
      <c r="J244" s="16" t="n">
        <f>IF(F244=0,I244*2,F244/$N$603+I244)</f>
        <v>2725.30429532808</v>
      </c>
      <c r="K244" s="18" t="n">
        <f>ROW(K244)-1</f>
        <v>243</v>
      </c>
      <c r="L244" s="18" t="n">
        <f t="array" ref="L244">INDEX(TOP3277!#REF!,MATCH(C244,TOP3277!$B$501:$B$3035,0))</f>
        <v>1585</v>
      </c>
    </row>
    <row r="245" ht="14.399999999999999" customHeight="1">
      <c r="A245" s="14" t="n">
        <v>5770</v>
      </c>
      <c r="B245" s="10" t="s">
        <v>8278</v>
      </c>
      <c r="C245" s="10" t="s">
        <v>8279</v>
      </c>
      <c r="D245" s="13" t="n">
        <v>4604</v>
      </c>
      <c r="E245" s="13" t="n">
        <v>7354</v>
      </c>
      <c r="F245" s="11" t="n">
        <f>SUM(D245+E245)/2</f>
        <v>5979</v>
      </c>
      <c r="G245" s="12" t="n">
        <v>1363</v>
      </c>
      <c r="H245" s="12" t="n">
        <v>1863</v>
      </c>
      <c r="I245" s="11" t="n">
        <f>SUM(G245+H245)/2</f>
        <v>1613</v>
      </c>
      <c r="J245" s="16" t="n">
        <f>IF(F245=0,I245*2,F245/$N$603+I245)</f>
        <v>2687.06647806003</v>
      </c>
      <c r="K245" s="18" t="n">
        <f>ROW(K245)-1</f>
        <v>244</v>
      </c>
      <c r="L245" s="18" t="e">
        <f t="array" ref="L245">INDEX(TOP3277!#REF!,MATCH(C245,TOP3277!$B$501:$B$3035,0))</f>
        <v>#N/A</v>
      </c>
    </row>
    <row r="246" ht="14.399999999999999" customHeight="1">
      <c r="A246" s="14" t="n">
        <v>8274</v>
      </c>
      <c r="B246" s="10" t="s">
        <v>8280</v>
      </c>
      <c r="C246" s="10" t="s">
        <v>8281</v>
      </c>
      <c r="D246" s="13" t="n">
        <v>5891</v>
      </c>
      <c r="E246" s="13" t="n">
        <v>9409</v>
      </c>
      <c r="F246" s="11" t="n">
        <f>SUM(D246+E246)/2</f>
        <v>7650</v>
      </c>
      <c r="G246" s="18" t="n">
        <v>995</v>
      </c>
      <c r="H246" s="12" t="n">
        <v>1532</v>
      </c>
      <c r="I246" s="11" t="n">
        <f>SUM(G246+H246)/2</f>
        <v>1263.5</v>
      </c>
      <c r="J246" s="16" t="n">
        <f>IF(F246=0,I246*2,F246/$N$603+I246)</f>
        <v>2637.74461568142</v>
      </c>
      <c r="K246" s="18" t="n">
        <f>ROW(K246)-1</f>
        <v>245</v>
      </c>
      <c r="L246" s="18" t="e">
        <f t="array" ref="L246">INDEX(TOP3277!#REF!,MATCH(C246,TOP3277!$B$501:$B$3035,0))</f>
        <v>#N/A</v>
      </c>
    </row>
    <row r="247" ht="14.399999999999999" customHeight="1">
      <c r="A247" s="14" t="n">
        <v>8316</v>
      </c>
      <c r="B247" s="10" t="s">
        <v>8282</v>
      </c>
      <c r="C247" s="10" t="s">
        <v>8283</v>
      </c>
      <c r="D247" s="13" t="n">
        <v>4398</v>
      </c>
      <c r="E247" s="13" t="n">
        <v>7026</v>
      </c>
      <c r="F247" s="11" t="n">
        <f>SUM(D247+E247)/2</f>
        <v>5712</v>
      </c>
      <c r="G247" s="12" t="n">
        <v>1197</v>
      </c>
      <c r="H247" s="12" t="n">
        <v>1998</v>
      </c>
      <c r="I247" s="11" t="n">
        <f>SUM(G247+H247)/2</f>
        <v>1597.5</v>
      </c>
      <c r="J247" s="16" t="n">
        <f>IF(F247=0,I247*2,F247/$N$603+I247)</f>
        <v>2623.60264637546</v>
      </c>
      <c r="K247" s="18" t="n">
        <f>ROW(K247)-1</f>
        <v>246</v>
      </c>
      <c r="L247" s="18" t="e">
        <f t="array" ref="L247">INDEX(TOP3277!#REF!,MATCH(C247,TOP3277!$B$501:$B$3035,0))</f>
        <v>#N/A</v>
      </c>
    </row>
    <row r="248" ht="14.399999999999999" customHeight="1">
      <c r="A248" s="14" t="n">
        <v>5357</v>
      </c>
      <c r="B248" s="10" t="s">
        <v>8284</v>
      </c>
      <c r="C248" s="10" t="s">
        <v>8285</v>
      </c>
      <c r="D248" s="13" t="n">
        <v>2192</v>
      </c>
      <c r="E248" s="13" t="n">
        <v>3506</v>
      </c>
      <c r="F248" s="11" t="n">
        <f>SUM(D248+E248)/2</f>
        <v>2849</v>
      </c>
      <c r="G248" s="12" t="n">
        <v>1683</v>
      </c>
      <c r="H248" s="12" t="n">
        <v>2406</v>
      </c>
      <c r="I248" s="11" t="n">
        <f>SUM(G248+H248)/2</f>
        <v>2044.5</v>
      </c>
      <c r="J248" s="16" t="n">
        <f>IF(F248=0,I248*2,F248/$N$603+I248)</f>
        <v>2556.29384445443</v>
      </c>
      <c r="K248" s="18" t="n">
        <f>ROW(K248)-1</f>
        <v>247</v>
      </c>
      <c r="L248" s="18" t="e">
        <f t="array" ref="L248">INDEX(TOP3277!#REF!,MATCH(C248,TOP3277!$B$501:$B$3035,0))</f>
        <v>#N/A</v>
      </c>
    </row>
    <row r="249" ht="14.399999999999999" customHeight="1">
      <c r="A249" s="14" t="n">
        <v>10198</v>
      </c>
      <c r="B249" s="10" t="s">
        <v>8286</v>
      </c>
      <c r="C249" s="10" t="s">
        <v>8287</v>
      </c>
      <c r="D249" s="13" t="n">
        <v>3014</v>
      </c>
      <c r="E249" s="13" t="n">
        <v>4814</v>
      </c>
      <c r="F249" s="11" t="n">
        <f>SUM(D249+E249)/2</f>
        <v>3914</v>
      </c>
      <c r="G249" s="12" t="n">
        <v>1706</v>
      </c>
      <c r="H249" s="12" t="n">
        <v>1982</v>
      </c>
      <c r="I249" s="11" t="n">
        <f>SUM(G249+H249)/2</f>
        <v>1844</v>
      </c>
      <c r="J249" s="16" t="n">
        <f>IF(F249=0,I249*2,F249/$N$603+I249)</f>
        <v>2547.11025173557</v>
      </c>
      <c r="K249" s="18" t="n">
        <f>ROW(K249)-1</f>
        <v>248</v>
      </c>
      <c r="L249" s="18" t="e">
        <f t="array" ref="L249">INDEX(TOP3277!#REF!,MATCH(C249,TOP3277!$B$501:$B$3035,0))</f>
        <v>#N/A</v>
      </c>
    </row>
    <row r="250" ht="14.399999999999999" customHeight="1">
      <c r="A250" s="14" t="n">
        <v>6852</v>
      </c>
      <c r="B250" s="10" t="s">
        <v>174</v>
      </c>
      <c r="C250" s="10" t="s">
        <v>175</v>
      </c>
      <c r="D250" s="13" t="n">
        <v>4258</v>
      </c>
      <c r="E250" s="13" t="n">
        <v>6800</v>
      </c>
      <c r="F250" s="11" t="n">
        <f>SUM(D250+E250)/2</f>
        <v>5529</v>
      </c>
      <c r="G250" s="12" t="n">
        <v>1344</v>
      </c>
      <c r="H250" s="12" t="n">
        <v>1659</v>
      </c>
      <c r="I250" s="11" t="n">
        <f>SUM(G250+H250)/2</f>
        <v>1501.5</v>
      </c>
      <c r="J250" s="16" t="n">
        <f>IF(F250=0,I250*2,F250/$N$603+I250)</f>
        <v>2494.72855949053</v>
      </c>
      <c r="K250" s="18" t="n">
        <f>ROW(K250)-1</f>
        <v>249</v>
      </c>
      <c r="L250" s="18" t="e">
        <f t="array" ref="L250">INDEX(TOP3277!#REF!,MATCH(C250,TOP3277!$B$501:$B$3035,0))</f>
        <v>#N/A</v>
      </c>
    </row>
    <row r="251" ht="14.399999999999999" customHeight="1">
      <c r="A251" s="14" t="n">
        <v>4381</v>
      </c>
      <c r="B251" s="10" t="s">
        <v>8288</v>
      </c>
      <c r="C251" s="10" t="s">
        <v>8289</v>
      </c>
      <c r="D251" s="13" t="n">
        <v>1375</v>
      </c>
      <c r="E251" s="13" t="n">
        <v>2195</v>
      </c>
      <c r="F251" s="11" t="n">
        <f>SUM(D251+E251)/2</f>
        <v>1785</v>
      </c>
      <c r="G251" s="12" t="n">
        <v>1851</v>
      </c>
      <c r="H251" s="12" t="n">
        <v>2495</v>
      </c>
      <c r="I251" s="11" t="n">
        <f>SUM(G251+H251)/2</f>
        <v>2173</v>
      </c>
      <c r="J251" s="16" t="n">
        <f>IF(F251=0,I251*2,F251/$N$603+I251)</f>
        <v>2493.65707699233</v>
      </c>
      <c r="K251" s="18" t="n">
        <f>ROW(K251)-1</f>
        <v>250</v>
      </c>
      <c r="L251" s="18" t="e">
        <f t="array" ref="L251">INDEX(TOP3277!#REF!,MATCH(C251,TOP3277!$B$501:$B$3035,0))</f>
        <v>#N/A</v>
      </c>
    </row>
    <row r="252" ht="14.399999999999999" customHeight="1">
      <c r="A252" s="14" t="n">
        <v>8685</v>
      </c>
      <c r="B252" s="10" t="s">
        <v>8290</v>
      </c>
      <c r="C252" s="10" t="s">
        <v>8291</v>
      </c>
      <c r="D252" s="13" t="n">
        <v>7088</v>
      </c>
      <c r="E252" s="13" t="n">
        <v>11326</v>
      </c>
      <c r="F252" s="11" t="n">
        <f>SUM(D252+E252)/2</f>
        <v>9207</v>
      </c>
      <c r="G252" s="18" t="n">
        <v>689</v>
      </c>
      <c r="H252" s="18" t="n">
        <v>984</v>
      </c>
      <c r="I252" s="11" t="n">
        <f>SUM(G252+H252)/2</f>
        <v>836.5</v>
      </c>
      <c r="J252" s="16" t="n">
        <f>IF(F252=0,I252*2,F252/$N$603+I252)</f>
        <v>2490.44381393188</v>
      </c>
      <c r="K252" s="18" t="n">
        <f>ROW(K252)-1</f>
        <v>251</v>
      </c>
      <c r="L252" s="18" t="e">
        <f t="array" ref="L252">INDEX(TOP3277!#REF!,MATCH(C252,TOP3277!$B$501:$B$3035,0))</f>
        <v>#N/A</v>
      </c>
    </row>
    <row r="253" ht="14.399999999999999" customHeight="1">
      <c r="A253" s="14" t="n">
        <v>6463</v>
      </c>
      <c r="B253" s="10" t="s">
        <v>8292</v>
      </c>
      <c r="C253" s="10" t="s">
        <v>8293</v>
      </c>
      <c r="D253" s="13" t="n">
        <v>5205</v>
      </c>
      <c r="E253" s="13" t="n">
        <v>8313</v>
      </c>
      <c r="F253" s="11" t="n">
        <f>SUM(D253+E253)/2</f>
        <v>6759</v>
      </c>
      <c r="G253" s="18" t="n">
        <v>954</v>
      </c>
      <c r="H253" s="12" t="n">
        <v>1486</v>
      </c>
      <c r="I253" s="11" t="n">
        <f>SUM(G253+H253)/2</f>
        <v>1220</v>
      </c>
      <c r="J253" s="16" t="n">
        <f>IF(F253=0,I253*2,F253/$N$603+I253)</f>
        <v>2434.18553691382</v>
      </c>
      <c r="K253" s="18" t="n">
        <f>ROW(K253)-1</f>
        <v>252</v>
      </c>
      <c r="L253" s="18" t="e">
        <f t="array" ref="L253">INDEX(TOP3277!#REF!,MATCH(C253,TOP3277!$B$501:$B$3035,0))</f>
        <v>#N/A</v>
      </c>
    </row>
    <row r="254" ht="14.399999999999999" customHeight="1">
      <c r="A254" s="14" t="n">
        <v>6038</v>
      </c>
      <c r="B254" s="10" t="s">
        <v>8294</v>
      </c>
      <c r="C254" s="10" t="s">
        <v>8295</v>
      </c>
      <c r="D254" s="13" t="n">
        <v>2720</v>
      </c>
      <c r="E254" s="13" t="n">
        <v>4346</v>
      </c>
      <c r="F254" s="11" t="n">
        <f>SUM(D254+E254)/2</f>
        <v>3533</v>
      </c>
      <c r="G254" s="12" t="n">
        <v>1539</v>
      </c>
      <c r="H254" s="12" t="n">
        <v>2059</v>
      </c>
      <c r="I254" s="11" t="n">
        <f>SUM(G254+H254)/2</f>
        <v>1799</v>
      </c>
      <c r="J254" s="16" t="n">
        <f>IF(F254=0,I254*2,F254/$N$603+I254)</f>
        <v>2433.66748068006</v>
      </c>
      <c r="K254" s="18" t="n">
        <f>ROW(K254)-1</f>
        <v>253</v>
      </c>
      <c r="L254" s="18" t="e">
        <f t="array" ref="L254">INDEX(TOP3277!#REF!,MATCH(C254,TOP3277!$B$501:$B$3035,0))</f>
        <v>#N/A</v>
      </c>
    </row>
    <row r="255" ht="14.399999999999999" customHeight="1">
      <c r="A255" s="14" t="n">
        <v>5902</v>
      </c>
      <c r="B255" s="10" t="s">
        <v>8296</v>
      </c>
      <c r="C255" s="10" t="s">
        <v>8297</v>
      </c>
      <c r="D255" s="13" t="n">
        <v>4013</v>
      </c>
      <c r="E255" s="13" t="n">
        <v>6411</v>
      </c>
      <c r="F255" s="11" t="n">
        <f>SUM(D255+E255)/2</f>
        <v>5212</v>
      </c>
      <c r="G255" s="12" t="n">
        <v>1269</v>
      </c>
      <c r="H255" s="12" t="n">
        <v>1640</v>
      </c>
      <c r="I255" s="11" t="n">
        <f>SUM(G255+H255)/2</f>
        <v>1454.5</v>
      </c>
      <c r="J255" s="16" t="n">
        <f>IF(F255=0,I255*2,F255/$N$603+I255)</f>
        <v>2390.7827368538</v>
      </c>
      <c r="K255" s="18" t="n">
        <f>ROW(K255)-1</f>
        <v>254</v>
      </c>
      <c r="L255" s="18" t="e">
        <f t="array" ref="L255">INDEX(TOP3277!#REF!,MATCH(C255,TOP3277!$B$501:$B$3035,0))</f>
        <v>#N/A</v>
      </c>
    </row>
    <row r="256" ht="14.399999999999999" customHeight="1">
      <c r="A256" s="14" t="n">
        <v>11218</v>
      </c>
      <c r="B256" s="10" t="s">
        <v>8298</v>
      </c>
      <c r="C256" s="10" t="s">
        <v>8299</v>
      </c>
      <c r="D256" s="13" t="n">
        <v>5234</v>
      </c>
      <c r="E256" s="13" t="n">
        <v>8362</v>
      </c>
      <c r="F256" s="11" t="n">
        <f>SUM(D256+E256)/2</f>
        <v>6798</v>
      </c>
      <c r="G256" s="18" t="n">
        <v>838</v>
      </c>
      <c r="H256" s="12" t="n">
        <v>1459</v>
      </c>
      <c r="I256" s="11" t="n">
        <f>SUM(G256+H256)/2</f>
        <v>1148.5</v>
      </c>
      <c r="J256" s="16" t="n">
        <f>IF(F256=0,I256*2,F256/$N$603+I256)</f>
        <v>2369.69148985651</v>
      </c>
      <c r="K256" s="18" t="n">
        <f>ROW(K256)-1</f>
        <v>255</v>
      </c>
      <c r="L256" s="18" t="e">
        <f t="array" ref="L256">INDEX(TOP3277!#REF!,MATCH(C256,TOP3277!$B$501:$B$3035,0))</f>
        <v>#N/A</v>
      </c>
    </row>
    <row r="257" ht="14.399999999999999" customHeight="1">
      <c r="A257" s="14" t="n">
        <v>6155</v>
      </c>
      <c r="B257" s="10" t="s">
        <v>336</v>
      </c>
      <c r="C257" s="10" t="s">
        <v>337</v>
      </c>
      <c r="D257" s="10" t="n">
        <f t="array" ref="D257">INDEX('原始数据'!C$2:C$3689,MATCH($C257,'原始数据'!$B$2:$B$3689,0))</f>
        <v>3861</v>
      </c>
      <c r="E257" s="10" t="n">
        <f t="array" ref="E257">INDEX('原始数据'!D$2:D$3689,MATCH($C257,'原始数据'!$B$2:$B$3689,0))</f>
        <v>6171</v>
      </c>
      <c r="F257" s="11" t="n">
        <f t="array" ref="F257">INDEX('原始数据'!E$2:E$3689,MATCH($C257,'原始数据'!$B$2:$B$3689,0))</f>
        <v>5016</v>
      </c>
      <c r="G257" s="10" t="n">
        <f t="array" ref="G257">INDEX('原始数据'!F$2:F$3689,MATCH($C257,'原始数据'!$B$2:$B$3689,0))</f>
        <v>1230</v>
      </c>
      <c r="H257" s="10" t="n">
        <f t="array" ref="H257">INDEX('原始数据'!G$2:G$3689,MATCH($C257,'原始数据'!$B$2:$B$3689,0))</f>
        <v>1655</v>
      </c>
      <c r="I257" s="11" t="n">
        <f t="array" ref="I257">INDEX('原始数据'!H$2:H$3689,MATCH($C257,'原始数据'!$B$2:$B$3689,0))</f>
        <v>1442.5</v>
      </c>
      <c r="J257" s="16" t="n">
        <f>IF(F257=0,I257*2,F257/$N$603+I257)</f>
        <v>2343.57333232131</v>
      </c>
      <c r="K257" s="18" t="n">
        <f>ROW(K257)-1</f>
        <v>256</v>
      </c>
      <c r="L257" s="18" t="n">
        <f t="array" ref="L257">INDEX(TOP3277!#REF!,MATCH(C257,TOP3277!$B$501:$B$3035,0))</f>
        <v>1589</v>
      </c>
    </row>
    <row r="258" ht="14.399999999999999" customHeight="1">
      <c r="A258" s="14" t="n">
        <v>11658</v>
      </c>
      <c r="B258" s="10" t="s">
        <v>8300</v>
      </c>
      <c r="C258" s="10" t="s">
        <v>8301</v>
      </c>
      <c r="D258" s="13" t="n">
        <v>4495</v>
      </c>
      <c r="E258" s="13" t="n">
        <v>7183</v>
      </c>
      <c r="F258" s="11" t="n">
        <f>SUM(D258+E258)/2</f>
        <v>5839</v>
      </c>
      <c r="G258" s="12" t="n">
        <v>1089</v>
      </c>
      <c r="H258" s="12" t="n">
        <v>1438</v>
      </c>
      <c r="I258" s="11" t="n">
        <f>SUM(G258+H258)/2</f>
        <v>1263.5</v>
      </c>
      <c r="J258" s="16" t="n">
        <f>IF(F258=0,I258*2,F258/$N$603+I258)</f>
        <v>2312.41690339396</v>
      </c>
      <c r="K258" s="18" t="n">
        <f>ROW(K258)-1</f>
        <v>257</v>
      </c>
      <c r="L258" s="18" t="e">
        <f t="array" ref="L258">INDEX(TOP3277!#REF!,MATCH(C258,TOP3277!$B$501:$B$3035,0))</f>
        <v>#N/A</v>
      </c>
    </row>
    <row r="259" ht="14.399999999999999" customHeight="1">
      <c r="A259" s="10" t="n">
        <v>291</v>
      </c>
      <c r="B259" s="10" t="s">
        <v>176</v>
      </c>
      <c r="C259" s="10" t="s">
        <v>177</v>
      </c>
      <c r="D259" s="13" t="n">
        <v>2984</v>
      </c>
      <c r="E259" s="13" t="n">
        <v>4768</v>
      </c>
      <c r="F259" s="11" t="n">
        <f>SUM(D259+E259)/2</f>
        <v>3876</v>
      </c>
      <c r="G259" s="12" t="n">
        <v>1458</v>
      </c>
      <c r="H259" s="12" t="n">
        <v>1704</v>
      </c>
      <c r="I259" s="11" t="n">
        <f>SUM(G259+H259)/2</f>
        <v>1581</v>
      </c>
      <c r="J259" s="16" t="n">
        <f>IF(F259=0,I259*2,F259/$N$603+I259)</f>
        <v>2277.28393861192</v>
      </c>
      <c r="K259" s="18" t="n">
        <f>ROW(K259)-1</f>
        <v>258</v>
      </c>
      <c r="L259" s="18" t="n">
        <f t="array" ref="L259">INDEX(TOP3277!#REF!,MATCH(C259,TOP3277!$B$501:$B$3035,0))</f>
        <v>1590</v>
      </c>
    </row>
    <row r="260" ht="14.399999999999999" customHeight="1">
      <c r="A260" s="14" t="n">
        <v>13379</v>
      </c>
      <c r="B260" s="10" t="s">
        <v>294</v>
      </c>
      <c r="C260" s="10" t="s">
        <v>8302</v>
      </c>
      <c r="D260" s="13" t="n">
        <v>4880</v>
      </c>
      <c r="E260" s="13" t="n">
        <v>7794</v>
      </c>
      <c r="F260" s="11" t="n">
        <f>SUM(D260+E260)/2</f>
        <v>6337</v>
      </c>
      <c r="G260" s="18" t="n">
        <v>936</v>
      </c>
      <c r="H260" s="12" t="n">
        <v>1311</v>
      </c>
      <c r="I260" s="11" t="n">
        <f>SUM(G260+H260)/2</f>
        <v>1123.5</v>
      </c>
      <c r="J260" s="16" t="n">
        <f>IF(F260=0,I260*2,F260/$N$603+I260)</f>
        <v>2261.87753327754</v>
      </c>
      <c r="K260" s="18" t="n">
        <f>ROW(K260)-1</f>
        <v>259</v>
      </c>
      <c r="L260" s="18" t="e">
        <f t="array" ref="L260">INDEX(TOP3277!#REF!,MATCH(C260,TOP3277!$B$501:$B$3035,0))</f>
        <v>#N/A</v>
      </c>
    </row>
    <row r="261" ht="14.399999999999999" customHeight="1">
      <c r="A261" s="14" t="n">
        <v>6605</v>
      </c>
      <c r="B261" s="10" t="s">
        <v>8303</v>
      </c>
      <c r="C261" s="10" t="s">
        <v>8304</v>
      </c>
      <c r="D261" s="13" t="n">
        <v>2518</v>
      </c>
      <c r="E261" s="13" t="n">
        <v>4024</v>
      </c>
      <c r="F261" s="11" t="n">
        <f>SUM(D261+E261)/2</f>
        <v>3271</v>
      </c>
      <c r="G261" s="12" t="n">
        <v>1533</v>
      </c>
      <c r="H261" s="12" t="n">
        <v>1760</v>
      </c>
      <c r="I261" s="11" t="n">
        <f>SUM(G261+H261)/2</f>
        <v>1646.5</v>
      </c>
      <c r="J261" s="16" t="n">
        <f>IF(F261=0,I261*2,F261/$N$603+I261)</f>
        <v>2234.10184809071</v>
      </c>
      <c r="K261" s="18" t="n">
        <f>ROW(K261)-1</f>
        <v>260</v>
      </c>
      <c r="L261" s="18" t="e">
        <f t="array" ref="L261">INDEX(TOP3277!#REF!,MATCH(C261,TOP3277!$B$501:$B$3035,0))</f>
        <v>#N/A</v>
      </c>
    </row>
    <row r="262" ht="14.399999999999999" customHeight="1">
      <c r="A262" s="14" t="n">
        <v>11784</v>
      </c>
      <c r="B262" s="10" t="s">
        <v>8305</v>
      </c>
      <c r="C262" s="10" t="s">
        <v>8306</v>
      </c>
      <c r="D262" s="10"/>
      <c r="E262" s="10"/>
      <c r="F262" s="11" t="n">
        <f>SUM(D262+E262)/2</f>
        <v>0</v>
      </c>
      <c r="G262" s="12" t="n">
        <v>1051</v>
      </c>
      <c r="H262" s="12" t="n">
        <v>1176</v>
      </c>
      <c r="I262" s="11" t="n">
        <f>SUM(G262+H262)/2</f>
        <v>1113.5</v>
      </c>
      <c r="J262" s="16" t="n">
        <f>IF(F262=0,I262*2,F262/$N$603+I262)</f>
        <v>2227</v>
      </c>
      <c r="K262" s="18" t="n">
        <f>ROW(K262)-1</f>
        <v>261</v>
      </c>
      <c r="L262" s="18" t="e">
        <f t="array" ref="L262">INDEX(TOP3277!#REF!,MATCH(C262,TOP3277!$B$501:$B$3035,0))</f>
        <v>#N/A</v>
      </c>
    </row>
    <row r="263" ht="14.399999999999999" customHeight="1">
      <c r="A263" s="14" t="n">
        <v>10392</v>
      </c>
      <c r="B263" s="10" t="s">
        <v>8307</v>
      </c>
      <c r="C263" s="10" t="s">
        <v>8308</v>
      </c>
      <c r="D263" s="13" t="n">
        <v>3211</v>
      </c>
      <c r="E263" s="13" t="n">
        <v>5131</v>
      </c>
      <c r="F263" s="11" t="n">
        <f>SUM(D263+E263)/2</f>
        <v>4171</v>
      </c>
      <c r="G263" s="12" t="n">
        <v>1133</v>
      </c>
      <c r="H263" s="12" t="n">
        <v>1712</v>
      </c>
      <c r="I263" s="11" t="n">
        <f>SUM(G263+H263)/2</f>
        <v>1422.5</v>
      </c>
      <c r="J263" s="16" t="n">
        <f>IF(F263=0,I263*2,F263/$N$603+I263)</f>
        <v>2171.7776852297</v>
      </c>
      <c r="K263" s="18" t="n">
        <f>ROW(K263)-1</f>
        <v>262</v>
      </c>
      <c r="L263" s="18" t="e">
        <f t="array" ref="L263">INDEX(TOP3277!#REF!,MATCH(C263,TOP3277!$B$501:$B$3035,0))</f>
        <v>#N/A</v>
      </c>
    </row>
    <row r="264" ht="14.399999999999999" customHeight="1">
      <c r="A264" s="14" t="n">
        <v>7446</v>
      </c>
      <c r="B264" s="10" t="s">
        <v>8309</v>
      </c>
      <c r="C264" s="10" t="s">
        <v>8310</v>
      </c>
      <c r="D264" s="13" t="n">
        <v>3237</v>
      </c>
      <c r="E264" s="13" t="n">
        <v>5169</v>
      </c>
      <c r="F264" s="11" t="n">
        <f>SUM(D264+E264)/2</f>
        <v>4203</v>
      </c>
      <c r="G264" s="12" t="n">
        <v>1284</v>
      </c>
      <c r="H264" s="12" t="n">
        <v>1512</v>
      </c>
      <c r="I264" s="11" t="n">
        <f>SUM(G264+H264)/2</f>
        <v>1398</v>
      </c>
      <c r="J264" s="16" t="n">
        <f>IF(F264=0,I264*2,F264/$N$603+I264)</f>
        <v>2153.02615943909</v>
      </c>
      <c r="K264" s="18" t="n">
        <f>ROW(K264)-1</f>
        <v>263</v>
      </c>
      <c r="L264" s="18" t="e">
        <f t="array" ref="L264">INDEX(TOP3277!#REF!,MATCH(C264,TOP3277!$B$501:$B$3035,0))</f>
        <v>#N/A</v>
      </c>
    </row>
    <row r="265" ht="14.399999999999999" customHeight="1">
      <c r="A265" s="14" t="n">
        <v>12083</v>
      </c>
      <c r="B265" s="10" t="s">
        <v>6753</v>
      </c>
      <c r="C265" s="10" t="s">
        <v>8311</v>
      </c>
      <c r="D265" s="13" t="n">
        <v>2084</v>
      </c>
      <c r="E265" s="13" t="n">
        <v>3328</v>
      </c>
      <c r="F265" s="11" t="n">
        <f>SUM(D265+E265)/2</f>
        <v>2706</v>
      </c>
      <c r="G265" s="12" t="n">
        <v>1365</v>
      </c>
      <c r="H265" s="12" t="n">
        <v>1920</v>
      </c>
      <c r="I265" s="11" t="n">
        <f>SUM(G265+H265)/2</f>
        <v>1642.5</v>
      </c>
      <c r="J265" s="16" t="n">
        <f>IF(F265=0,I265*2,F265/$N$603+I265)</f>
        <v>2128.60535033123</v>
      </c>
      <c r="K265" s="18" t="n">
        <f>ROW(K265)-1</f>
        <v>264</v>
      </c>
      <c r="L265" s="18" t="e">
        <f t="array" ref="L265">INDEX(TOP3277!#REF!,MATCH(C265,TOP3277!$B$501:$B$3035,0))</f>
        <v>#N/A</v>
      </c>
    </row>
    <row r="266" ht="14.399999999999999" customHeight="1">
      <c r="A266" s="14" t="n">
        <v>8659</v>
      </c>
      <c r="B266" s="10" t="s">
        <v>8312</v>
      </c>
      <c r="C266" s="10" t="s">
        <v>8313</v>
      </c>
      <c r="D266" s="13" t="n">
        <v>3448</v>
      </c>
      <c r="E266" s="13" t="n">
        <v>5512</v>
      </c>
      <c r="F266" s="11" t="n">
        <f>SUM(D266+E266)/2</f>
        <v>4480</v>
      </c>
      <c r="G266" s="12" t="n">
        <v>1074</v>
      </c>
      <c r="H266" s="12" t="n">
        <v>1481</v>
      </c>
      <c r="I266" s="11" t="n">
        <f>SUM(G266+H266)/2</f>
        <v>1277.5</v>
      </c>
      <c r="J266" s="16" t="n">
        <f>IF(F266=0,I266*2,F266/$N$603+I266)</f>
        <v>2082.28638931409</v>
      </c>
      <c r="K266" s="18" t="n">
        <f>ROW(K266)-1</f>
        <v>265</v>
      </c>
      <c r="L266" s="18" t="e">
        <f t="array" ref="L266">INDEX(TOP3277!#REF!,MATCH(C266,TOP3277!$B$501:$B$3035,0))</f>
        <v>#N/A</v>
      </c>
    </row>
    <row r="267" ht="14.399999999999999" customHeight="1">
      <c r="A267" s="14" t="n">
        <v>15249</v>
      </c>
      <c r="B267" s="10" t="s">
        <v>278</v>
      </c>
      <c r="C267" s="10" t="s">
        <v>279</v>
      </c>
      <c r="D267" s="13" t="n">
        <v>4320</v>
      </c>
      <c r="E267" s="13" t="n">
        <v>6900</v>
      </c>
      <c r="F267" s="11" t="n">
        <f>SUM(D267+E267)/2</f>
        <v>5610</v>
      </c>
      <c r="G267" s="18" t="n">
        <v>986</v>
      </c>
      <c r="H267" s="12" t="n">
        <v>1155</v>
      </c>
      <c r="I267" s="11" t="n">
        <f>SUM(G267+H267)/2</f>
        <v>1070.5</v>
      </c>
      <c r="J267" s="16" t="n">
        <f>IF(F267=0,I267*2,F267/$N$603+I267)</f>
        <v>2078.27938483304</v>
      </c>
      <c r="K267" s="18" t="n">
        <f>ROW(K267)-1</f>
        <v>266</v>
      </c>
      <c r="L267" s="18" t="e">
        <f t="array" ref="L267">INDEX(TOP3277!#REF!,MATCH(C267,TOP3277!$B$501:$B$3035,0))</f>
        <v>#N/A</v>
      </c>
    </row>
    <row r="268" ht="14.399999999999999" customHeight="1">
      <c r="A268" s="14" t="n">
        <v>11796</v>
      </c>
      <c r="B268" s="10" t="s">
        <v>8314</v>
      </c>
      <c r="C268" s="10" t="s">
        <v>8315</v>
      </c>
      <c r="D268" s="13" t="n">
        <v>4844</v>
      </c>
      <c r="E268" s="13" t="n">
        <v>7738</v>
      </c>
      <c r="F268" s="11" t="n">
        <f>SUM(D268+E268)/2</f>
        <v>6291</v>
      </c>
      <c r="G268" s="18" t="n">
        <v>868</v>
      </c>
      <c r="H268" s="12" t="n">
        <v>1023</v>
      </c>
      <c r="I268" s="11" t="n">
        <f>SUM(G268+H268)/2</f>
        <v>945.5</v>
      </c>
      <c r="J268" s="16" t="n">
        <f>IF(F268=0,I268*2,F268/$N$603+I268)</f>
        <v>2075.61410160155</v>
      </c>
      <c r="K268" s="18" t="n">
        <f>ROW(K268)-1</f>
        <v>267</v>
      </c>
      <c r="L268" s="18" t="e">
        <f t="array" ref="L268">INDEX(TOP3277!#REF!,MATCH(C268,TOP3277!$B$501:$B$3035,0))</f>
        <v>#N/A</v>
      </c>
    </row>
    <row r="269" ht="14.399999999999999" customHeight="1">
      <c r="A269" s="14" t="n">
        <v>7634</v>
      </c>
      <c r="B269" s="10" t="s">
        <v>344</v>
      </c>
      <c r="C269" s="10" t="s">
        <v>345</v>
      </c>
      <c r="D269" s="13" t="n">
        <v>1723</v>
      </c>
      <c r="E269" s="13" t="n">
        <v>2755</v>
      </c>
      <c r="F269" s="11" t="n">
        <f>SUM(D269+E269)/2</f>
        <v>2239</v>
      </c>
      <c r="G269" s="12" t="n">
        <v>1360</v>
      </c>
      <c r="H269" s="12" t="n">
        <v>1985</v>
      </c>
      <c r="I269" s="11" t="n">
        <f>SUM(G269+H269)/2</f>
        <v>1672.5</v>
      </c>
      <c r="J269" s="16" t="n">
        <f>IF(F269=0,I269*2,F269/$N$603+I269)</f>
        <v>2074.713554838</v>
      </c>
      <c r="K269" s="18" t="n">
        <f>ROW(K269)-1</f>
        <v>268</v>
      </c>
      <c r="L269" s="18" t="e">
        <f t="array" ref="L269">INDEX(TOP3277!#REF!,MATCH(C269,TOP3277!$B$501:$B$3035,0))</f>
        <v>#N/A</v>
      </c>
    </row>
    <row r="270" ht="14.399999999999999" customHeight="1">
      <c r="A270" s="14" t="n">
        <v>7092</v>
      </c>
      <c r="B270" s="10" t="s">
        <v>292</v>
      </c>
      <c r="C270" s="10" t="s">
        <v>293</v>
      </c>
      <c r="D270" s="13" t="n">
        <v>3197</v>
      </c>
      <c r="E270" s="13" t="n">
        <v>5109</v>
      </c>
      <c r="F270" s="11" t="n">
        <f>SUM(D270+E270)/2</f>
        <v>4153</v>
      </c>
      <c r="G270" s="12" t="n">
        <v>1183</v>
      </c>
      <c r="H270" s="12" t="n">
        <v>1456</v>
      </c>
      <c r="I270" s="11" t="n">
        <f>SUM(G270+H270)/2</f>
        <v>1319.5</v>
      </c>
      <c r="J270" s="16" t="n">
        <f>IF(F270=0,I270*2,F270/$N$603+I270)</f>
        <v>2065.54416848692</v>
      </c>
      <c r="K270" s="18" t="n">
        <f>ROW(K270)-1</f>
        <v>269</v>
      </c>
      <c r="L270" s="18" t="e">
        <f t="array" ref="L270">INDEX(TOP3277!#REF!,MATCH(C270,TOP3277!$B$501:$B$3035,0))</f>
        <v>#N/A</v>
      </c>
    </row>
    <row r="271" ht="14.399999999999999" customHeight="1">
      <c r="A271" s="14" t="n">
        <v>10496</v>
      </c>
      <c r="B271" s="10" t="s">
        <v>8316</v>
      </c>
      <c r="C271" s="10" t="s">
        <v>5244</v>
      </c>
      <c r="D271" s="10" t="n">
        <f t="array" ref="D271">INDEX('原始数据'!C$2:C$3689,MATCH($C271,'原始数据'!$B$2:$B$3689,0))</f>
        <v>4090</v>
      </c>
      <c r="E271" s="10" t="n">
        <f t="array" ref="E271">INDEX('原始数据'!D$2:D$3689,MATCH($C271,'原始数据'!$B$2:$B$3689,0))</f>
        <v>6532</v>
      </c>
      <c r="F271" s="11" t="n">
        <f t="array" ref="F271">INDEX('原始数据'!E$2:E$3689,MATCH($C271,'原始数据'!$B$2:$B$3689,0))</f>
        <v>5311</v>
      </c>
      <c r="G271" s="10" t="n">
        <f t="array" ref="G271">INDEX('原始数据'!F$2:F$3689,MATCH($C271,'原始数据'!$B$2:$B$3689,0))</f>
        <v>815</v>
      </c>
      <c r="H271" s="10" t="n">
        <f t="array" ref="H271">INDEX('原始数据'!G$2:G$3689,MATCH($C271,'原始数据'!$B$2:$B$3689,0))</f>
        <v>1376</v>
      </c>
      <c r="I271" s="11" t="n">
        <f t="array" ref="I271">INDEX('原始数据'!H$2:H$3689,MATCH($C271,'原始数据'!$B$2:$B$3689,0))</f>
        <v>1095.5</v>
      </c>
      <c r="J271" s="16" t="n">
        <f>IF(F271=0,I271*2,F271/$N$603+I271)</f>
        <v>2049.56707893909</v>
      </c>
      <c r="K271" s="18" t="n">
        <f>ROW(K271)-1</f>
        <v>270</v>
      </c>
      <c r="L271" s="18" t="n">
        <f t="array" ref="L271">INDEX(TOP3277!#REF!,MATCH(C271,TOP3277!$B$501:$B$3035,0))</f>
        <v>1591</v>
      </c>
    </row>
    <row r="272" ht="14.399999999999999" customHeight="1">
      <c r="A272" s="14" t="n">
        <v>11165</v>
      </c>
      <c r="B272" s="10" t="s">
        <v>260</v>
      </c>
      <c r="C272" s="10" t="s">
        <v>261</v>
      </c>
      <c r="D272" s="13" t="n">
        <v>5275</v>
      </c>
      <c r="E272" s="13" t="n">
        <v>8423</v>
      </c>
      <c r="F272" s="11" t="n">
        <f>SUM(D272+E272)/2</f>
        <v>6849</v>
      </c>
      <c r="G272" s="18" t="n">
        <v>644</v>
      </c>
      <c r="H272" s="18" t="n">
        <v>940</v>
      </c>
      <c r="I272" s="11" t="n">
        <f>SUM(G272+H272)/2</f>
        <v>792</v>
      </c>
      <c r="J272" s="16" t="n">
        <f>IF(F272=0,I272*2,F272/$N$603+I272)</f>
        <v>2022.35312062772</v>
      </c>
      <c r="K272" s="18" t="n">
        <f>ROW(K272)-1</f>
        <v>271</v>
      </c>
      <c r="L272" s="18" t="e">
        <f t="array" ref="L272">INDEX(TOP3277!#REF!,MATCH(C272,TOP3277!$B$501:$B$3035,0))</f>
        <v>#N/A</v>
      </c>
    </row>
    <row r="273" ht="14.399999999999999" customHeight="1">
      <c r="A273" s="14" t="n">
        <v>9388</v>
      </c>
      <c r="B273" s="10" t="s">
        <v>288</v>
      </c>
      <c r="C273" s="10" t="s">
        <v>289</v>
      </c>
      <c r="D273" s="13" t="n">
        <v>3647</v>
      </c>
      <c r="E273" s="13" t="n">
        <v>5827</v>
      </c>
      <c r="F273" s="11" t="n">
        <f>SUM(D273+E273)/2</f>
        <v>4737</v>
      </c>
      <c r="G273" s="18" t="n">
        <v>939</v>
      </c>
      <c r="H273" s="12" t="n">
        <v>1386</v>
      </c>
      <c r="I273" s="11" t="n">
        <f>SUM(G273+H273)/2</f>
        <v>1162.5</v>
      </c>
      <c r="J273" s="16" t="n">
        <f>IF(F273=0,I273*2,F273/$N$603+I273)</f>
        <v>2013.45382280822</v>
      </c>
      <c r="K273" s="18" t="n">
        <f>ROW(K273)-1</f>
        <v>272</v>
      </c>
      <c r="L273" s="18" t="e">
        <f t="array" ref="L273">INDEX(TOP3277!#REF!,MATCH(C273,TOP3277!$B$501:$B$3035,0))</f>
        <v>#N/A</v>
      </c>
    </row>
    <row r="274" ht="14.399999999999999" customHeight="1">
      <c r="A274" s="14" t="n">
        <v>9900</v>
      </c>
      <c r="B274" s="10" t="s">
        <v>8317</v>
      </c>
      <c r="C274" s="10" t="s">
        <v>8318</v>
      </c>
      <c r="D274" s="13" t="n">
        <v>5197</v>
      </c>
      <c r="E274" s="13" t="n">
        <v>8301</v>
      </c>
      <c r="F274" s="11" t="n">
        <f>SUM(D274+E274)/2</f>
        <v>6749</v>
      </c>
      <c r="G274" s="18" t="n">
        <v>701</v>
      </c>
      <c r="H274" s="18" t="n">
        <v>885</v>
      </c>
      <c r="I274" s="11" t="n">
        <f>SUM(G274+H274)/2</f>
        <v>793</v>
      </c>
      <c r="J274" s="16" t="n">
        <f>IF(F274=0,I274*2,F274/$N$603+I274)</f>
        <v>2005.38913872339</v>
      </c>
      <c r="K274" s="18" t="n">
        <f>ROW(K274)-1</f>
        <v>273</v>
      </c>
      <c r="L274" s="18" t="e">
        <f t="array" ref="L274">INDEX(TOP3277!#REF!,MATCH(C274,TOP3277!$B$501:$B$3035,0))</f>
        <v>#N/A</v>
      </c>
    </row>
    <row r="275" ht="14.399999999999999" customHeight="1">
      <c r="A275" s="14" t="n">
        <v>10909</v>
      </c>
      <c r="B275" s="10" t="s">
        <v>8319</v>
      </c>
      <c r="C275" s="10" t="s">
        <v>8320</v>
      </c>
      <c r="D275" s="13" t="n">
        <v>4651</v>
      </c>
      <c r="E275" s="13" t="n">
        <v>7427</v>
      </c>
      <c r="F275" s="11" t="n">
        <f>SUM(D275+E275)/2</f>
        <v>6039</v>
      </c>
      <c r="G275" s="18" t="n">
        <v>740</v>
      </c>
      <c r="H275" s="12" t="n">
        <v>1080</v>
      </c>
      <c r="I275" s="11" t="n">
        <f>SUM(G275+H275)/2</f>
        <v>910</v>
      </c>
      <c r="J275" s="16" t="n">
        <f>IF(F275=0,I275*2,F275/$N$603+I275)</f>
        <v>1994.84486720263</v>
      </c>
      <c r="K275" s="18" t="n">
        <f>ROW(K275)-1</f>
        <v>274</v>
      </c>
      <c r="L275" s="18" t="e">
        <f t="array" ref="L275">INDEX(TOP3277!#REF!,MATCH(C275,TOP3277!$B$501:$B$3035,0))</f>
        <v>#N/A</v>
      </c>
    </row>
    <row r="276" ht="14.399999999999999" customHeight="1">
      <c r="A276" s="14" t="n">
        <v>9004</v>
      </c>
      <c r="B276" s="10" t="s">
        <v>8321</v>
      </c>
      <c r="C276" s="10" t="s">
        <v>8322</v>
      </c>
      <c r="D276" s="13" t="n">
        <v>3021</v>
      </c>
      <c r="E276" s="13" t="n">
        <v>4825</v>
      </c>
      <c r="F276" s="11" t="n">
        <f>SUM(D276+E276)/2</f>
        <v>3923</v>
      </c>
      <c r="G276" s="12" t="n">
        <v>1182</v>
      </c>
      <c r="H276" s="12" t="n">
        <v>1362</v>
      </c>
      <c r="I276" s="11" t="n">
        <f>SUM(G276+H276)/2</f>
        <v>1272</v>
      </c>
      <c r="J276" s="16" t="n">
        <f>IF(F276=0,I276*2,F276/$N$603+I276)</f>
        <v>1976.72701010696</v>
      </c>
      <c r="K276" s="18" t="n">
        <f>ROW(K276)-1</f>
        <v>275</v>
      </c>
      <c r="L276" s="18" t="e">
        <f t="array" ref="L276">INDEX(TOP3277!#REF!,MATCH(C276,TOP3277!$B$501:$B$3035,0))</f>
        <v>#N/A</v>
      </c>
    </row>
    <row r="277" ht="14.399999999999999" customHeight="1">
      <c r="A277" s="10" t="n">
        <v>306</v>
      </c>
      <c r="B277" s="10" t="s">
        <v>306</v>
      </c>
      <c r="C277" s="10" t="s">
        <v>2034</v>
      </c>
      <c r="D277" s="13" t="n">
        <v>4470</v>
      </c>
      <c r="E277" s="13" t="n">
        <v>7140</v>
      </c>
      <c r="F277" s="11" t="n">
        <f>SUM(D277+E277)/2</f>
        <v>5805</v>
      </c>
      <c r="G277" s="18" t="n">
        <v>701</v>
      </c>
      <c r="H277" s="12" t="n">
        <v>1166</v>
      </c>
      <c r="I277" s="11" t="n">
        <f>SUM(G277+H277)/2</f>
        <v>933.5</v>
      </c>
      <c r="J277" s="16" t="n">
        <f>IF(F277=0,I277*2,F277/$N$603+I277)</f>
        <v>1976.30914954649</v>
      </c>
      <c r="K277" s="18" t="n">
        <f>ROW(K277)-1</f>
        <v>276</v>
      </c>
      <c r="L277" s="18" t="n">
        <f t="array" ref="L277">INDEX(TOP3277!#REF!,MATCH(C277,TOP3277!$B$501:$B$3035,0))</f>
        <v>1594</v>
      </c>
    </row>
    <row r="278" ht="14.399999999999999" customHeight="1">
      <c r="A278" s="14" t="n">
        <v>7315</v>
      </c>
      <c r="B278" s="10" t="s">
        <v>370</v>
      </c>
      <c r="C278" s="10" t="s">
        <v>371</v>
      </c>
      <c r="D278" s="10" t="n">
        <f t="array" ref="D278">INDEX('原始数据'!C$2:C$3689,MATCH($C278,'原始数据'!$B$2:$B$3689,0))</f>
        <v>1784</v>
      </c>
      <c r="E278" s="10" t="n">
        <f t="array" ref="E278">INDEX('原始数据'!D$2:D$3689,MATCH($C278,'原始数据'!$B$2:$B$3689,0))</f>
        <v>2850</v>
      </c>
      <c r="F278" s="11" t="n">
        <f t="array" ref="F278">INDEX('原始数据'!E$2:E$3689,MATCH($C278,'原始数据'!$B$2:$B$3689,0))</f>
        <v>2317</v>
      </c>
      <c r="G278" s="10" t="n">
        <f t="array" ref="G278">INDEX('原始数据'!F$2:F$3689,MATCH($C278,'原始数据'!$B$2:$B$3689,0))</f>
        <v>1183</v>
      </c>
      <c r="H278" s="10" t="n">
        <f t="array" ref="H278">INDEX('原始数据'!G$2:G$3689,MATCH($C278,'原始数据'!$B$2:$B$3689,0))</f>
        <v>1875</v>
      </c>
      <c r="I278" s="11" t="n">
        <f t="array" ref="I278">INDEX('原始数据'!H$2:H$3689,MATCH($C278,'原始数据'!$B$2:$B$3689,0))</f>
        <v>1529</v>
      </c>
      <c r="J278" s="16" t="n">
        <f>IF(F278=0,I278*2,F278/$N$603+I278)</f>
        <v>1945.22546072338</v>
      </c>
      <c r="K278" s="18" t="n">
        <f>ROW(K278)-1</f>
        <v>277</v>
      </c>
      <c r="L278" s="18" t="n">
        <f t="array" ref="L278">INDEX(TOP3277!#REF!,MATCH(C278,TOP3277!$B$501:$B$3035,0))</f>
        <v>1593</v>
      </c>
    </row>
    <row r="279" ht="14.399999999999999" customHeight="1">
      <c r="A279" s="14" t="n">
        <v>14983</v>
      </c>
      <c r="B279" s="10" t="s">
        <v>256</v>
      </c>
      <c r="C279" s="10" t="s">
        <v>257</v>
      </c>
      <c r="D279" s="13" t="n">
        <v>6179</v>
      </c>
      <c r="E279" s="13" t="n">
        <v>9871</v>
      </c>
      <c r="F279" s="11" t="n">
        <f>SUM(D279+E279)/2</f>
        <v>8025</v>
      </c>
      <c r="G279" s="18" t="n">
        <v>399</v>
      </c>
      <c r="H279" s="18" t="n">
        <v>566</v>
      </c>
      <c r="I279" s="11" t="n">
        <f>SUM(G279+H279)/2</f>
        <v>482.5</v>
      </c>
      <c r="J279" s="16" t="n">
        <f>IF(F279=0,I279*2,F279/$N$603+I279)</f>
        <v>1924.10954782267</v>
      </c>
      <c r="K279" s="18" t="n">
        <f>ROW(K279)-1</f>
        <v>278</v>
      </c>
      <c r="L279" s="18" t="e">
        <f t="array" ref="L279">INDEX(TOP3277!#REF!,MATCH(C279,TOP3277!$B$501:$B$3035,0))</f>
        <v>#N/A</v>
      </c>
    </row>
    <row r="280" ht="14.399999999999999" customHeight="1">
      <c r="A280" s="14" t="n">
        <v>7552</v>
      </c>
      <c r="B280" s="10" t="s">
        <v>8323</v>
      </c>
      <c r="C280" s="10" t="s">
        <v>8324</v>
      </c>
      <c r="D280" s="13" t="n">
        <v>1040</v>
      </c>
      <c r="E280" s="13" t="n">
        <v>1662</v>
      </c>
      <c r="F280" s="11" t="n">
        <f>SUM(D280+E280)/2</f>
        <v>1351</v>
      </c>
      <c r="G280" s="12" t="n">
        <v>1353</v>
      </c>
      <c r="H280" s="12" t="n">
        <v>1984</v>
      </c>
      <c r="I280" s="11" t="n">
        <f>SUM(G280+H280)/2</f>
        <v>1668.5</v>
      </c>
      <c r="J280" s="16" t="n">
        <f>IF(F280=0,I280*2,F280/$N$603+I280)</f>
        <v>1911.19339552753</v>
      </c>
      <c r="K280" s="18" t="n">
        <f>ROW(K280)-1</f>
        <v>279</v>
      </c>
      <c r="L280" s="18" t="e">
        <f t="array" ref="L280">INDEX(TOP3277!#REF!,MATCH(C280,TOP3277!$B$501:$B$3035,0))</f>
        <v>#N/A</v>
      </c>
    </row>
    <row r="281" ht="14.399999999999999" customHeight="1">
      <c r="A281" s="10" t="n">
        <v>348</v>
      </c>
      <c r="B281" s="10" t="s">
        <v>8325</v>
      </c>
      <c r="C281" s="10" t="s">
        <v>8326</v>
      </c>
      <c r="D281" s="13" t="n">
        <v>5143</v>
      </c>
      <c r="E281" s="13" t="n">
        <v>8213</v>
      </c>
      <c r="F281" s="11" t="n">
        <f>SUM(D281+E281)/2</f>
        <v>6678</v>
      </c>
      <c r="G281" s="18" t="n">
        <v>564</v>
      </c>
      <c r="H281" s="18" t="n">
        <v>753</v>
      </c>
      <c r="I281" s="11" t="n">
        <f>SUM(G281+H281)/2</f>
        <v>658.5</v>
      </c>
      <c r="J281" s="16" t="n">
        <f>IF(F281=0,I281*2,F281/$N$603+I281)</f>
        <v>1858.13471157131</v>
      </c>
      <c r="K281" s="18" t="n">
        <f>ROW(K281)-1</f>
        <v>280</v>
      </c>
      <c r="L281" s="18" t="e">
        <f t="array" ref="L281">INDEX(TOP3277!#REF!,MATCH(C281,TOP3277!$B$501:$B$3035,0))</f>
        <v>#N/A</v>
      </c>
    </row>
    <row r="282" ht="14.399999999999999" customHeight="1">
      <c r="A282" s="14" t="n">
        <v>11048</v>
      </c>
      <c r="B282" s="10" t="s">
        <v>300</v>
      </c>
      <c r="C282" s="10" t="s">
        <v>8327</v>
      </c>
      <c r="D282" s="13" t="n">
        <v>3239</v>
      </c>
      <c r="E282" s="13" t="n">
        <v>5173</v>
      </c>
      <c r="F282" s="11" t="n">
        <f>SUM(D282+E282)/2</f>
        <v>4206</v>
      </c>
      <c r="G282" s="18" t="n">
        <v>924</v>
      </c>
      <c r="H282" s="12" t="n">
        <v>1281</v>
      </c>
      <c r="I282" s="11" t="n">
        <f>SUM(G282+H282)/2</f>
        <v>1102.5</v>
      </c>
      <c r="J282" s="16" t="n">
        <f>IF(F282=0,I282*2,F282/$N$603+I282)</f>
        <v>1858.06507889622</v>
      </c>
      <c r="K282" s="18" t="n">
        <f>ROW(K282)-1</f>
        <v>281</v>
      </c>
      <c r="L282" s="18" t="e">
        <f t="array" ref="L282">INDEX(TOP3277!#REF!,MATCH(C282,TOP3277!$B$501:$B$3035,0))</f>
        <v>#N/A</v>
      </c>
    </row>
    <row r="283" ht="14.399999999999999" customHeight="1">
      <c r="A283" s="14" t="n">
        <v>11162</v>
      </c>
      <c r="B283" s="10" t="s">
        <v>8328</v>
      </c>
      <c r="C283" s="10" t="s">
        <v>8329</v>
      </c>
      <c r="D283" s="13" t="n">
        <v>4314</v>
      </c>
      <c r="E283" s="13" t="n">
        <v>6890</v>
      </c>
      <c r="F283" s="11" t="n">
        <f>SUM(D283+E283)/2</f>
        <v>5602</v>
      </c>
      <c r="G283" s="18" t="n">
        <v>697</v>
      </c>
      <c r="H283" s="18" t="n">
        <v>981</v>
      </c>
      <c r="I283" s="11" t="n">
        <f>SUM(G283+H283)/2</f>
        <v>839</v>
      </c>
      <c r="J283" s="16" t="n">
        <f>IF(F283=0,I283*2,F283/$N$603+I283)</f>
        <v>1845.3422662807</v>
      </c>
      <c r="K283" s="18" t="n">
        <f>ROW(K283)-1</f>
        <v>282</v>
      </c>
      <c r="L283" s="18" t="e">
        <f t="array" ref="L283">INDEX(TOP3277!#REF!,MATCH(C283,TOP3277!$B$501:$B$3035,0))</f>
        <v>#N/A</v>
      </c>
    </row>
    <row r="284" ht="14.399999999999999" customHeight="1">
      <c r="A284" s="10" t="n">
        <v>327</v>
      </c>
      <c r="B284" s="10" t="s">
        <v>1038</v>
      </c>
      <c r="C284" s="10" t="s">
        <v>1039</v>
      </c>
      <c r="D284" s="13" t="n">
        <v>3136</v>
      </c>
      <c r="E284" s="13" t="n">
        <v>5010</v>
      </c>
      <c r="F284" s="11" t="n">
        <f>SUM(D284+E284)/2</f>
        <v>4073</v>
      </c>
      <c r="G284" s="18" t="n">
        <v>989</v>
      </c>
      <c r="H284" s="12" t="n">
        <v>1225</v>
      </c>
      <c r="I284" s="11" t="n">
        <f>SUM(G284+H284)/2</f>
        <v>1107</v>
      </c>
      <c r="J284" s="16" t="n">
        <f>IF(F284=0,I284*2,F284/$N$603+I284)</f>
        <v>1838.67298296346</v>
      </c>
      <c r="K284" s="18" t="n">
        <f>ROW(K284)-1</f>
        <v>283</v>
      </c>
      <c r="L284" s="18" t="n">
        <f t="array" ref="L284">INDEX(TOP3277!#REF!,MATCH(C284,TOP3277!$B$501:$B$3035,0))</f>
        <v>1605</v>
      </c>
    </row>
    <row r="285" ht="14.399999999999999" customHeight="1">
      <c r="A285" s="10" t="n">
        <v>303</v>
      </c>
      <c r="B285" s="10" t="s">
        <v>364</v>
      </c>
      <c r="C285" s="10" t="s">
        <v>8330</v>
      </c>
      <c r="D285" s="13" t="n">
        <v>2289</v>
      </c>
      <c r="E285" s="13" t="n">
        <v>3659</v>
      </c>
      <c r="F285" s="11" t="n">
        <f>SUM(D285+E285)/2</f>
        <v>2974</v>
      </c>
      <c r="G285" s="18" t="n">
        <v>947</v>
      </c>
      <c r="H285" s="12" t="n">
        <v>1614</v>
      </c>
      <c r="I285" s="11" t="n">
        <f>SUM(G285+H285)/2</f>
        <v>1280.5</v>
      </c>
      <c r="J285" s="16" t="n">
        <f>IF(F285=0,I285*2,F285/$N$603+I285)</f>
        <v>1814.74882183484</v>
      </c>
      <c r="K285" s="18" t="n">
        <f>ROW(K285)-1</f>
        <v>284</v>
      </c>
      <c r="L285" s="18" t="e">
        <f t="array" ref="L285">INDEX(TOP3277!#REF!,MATCH(C285,TOP3277!$B$501:$B$3035,0))</f>
        <v>#N/A</v>
      </c>
    </row>
    <row r="286" ht="14.399999999999999" customHeight="1">
      <c r="A286" s="14" t="n">
        <v>12709</v>
      </c>
      <c r="B286" s="10" t="s">
        <v>8331</v>
      </c>
      <c r="C286" s="10" t="s">
        <v>8332</v>
      </c>
      <c r="D286" s="10"/>
      <c r="E286" s="10"/>
      <c r="F286" s="11" t="n">
        <f>SUM(D286+E286)/2</f>
        <v>0</v>
      </c>
      <c r="G286" s="18" t="n">
        <v>809</v>
      </c>
      <c r="H286" s="18" t="n">
        <v>994</v>
      </c>
      <c r="I286" s="11" t="n">
        <f>SUM(G286+H286)/2</f>
        <v>901.5</v>
      </c>
      <c r="J286" s="16" t="n">
        <f>IF(F286=0,I286*2,F286/$N$603+I286)</f>
        <v>1803</v>
      </c>
      <c r="K286" s="18" t="n">
        <f>ROW(K286)-1</f>
        <v>285</v>
      </c>
      <c r="L286" s="18" t="e">
        <f t="array" ref="L286">INDEX(TOP3277!#REF!,MATCH(C286,TOP3277!$B$501:$B$3035,0))</f>
        <v>#N/A</v>
      </c>
    </row>
    <row r="287" ht="14.399999999999999" customHeight="1">
      <c r="A287" s="14" t="n">
        <v>12546</v>
      </c>
      <c r="B287" s="10" t="s">
        <v>382</v>
      </c>
      <c r="C287" s="10" t="s">
        <v>8333</v>
      </c>
      <c r="D287" s="13" t="n">
        <v>5517</v>
      </c>
      <c r="E287" s="13" t="n">
        <v>8809</v>
      </c>
      <c r="F287" s="11" t="n">
        <f>SUM(D287+E287)/2</f>
        <v>7163</v>
      </c>
      <c r="G287" s="18" t="n">
        <v>438</v>
      </c>
      <c r="H287" s="18" t="n">
        <v>593</v>
      </c>
      <c r="I287" s="11" t="n">
        <f>SUM(G287+H287)/2</f>
        <v>515.5</v>
      </c>
      <c r="J287" s="16" t="n">
        <f>IF(F287=0,I287*2,F287/$N$603+I287)</f>
        <v>1802.26002380732</v>
      </c>
      <c r="K287" s="18" t="n">
        <f>ROW(K287)-1</f>
        <v>286</v>
      </c>
      <c r="L287" s="18" t="e">
        <f t="array" ref="L287">INDEX(TOP3277!#REF!,MATCH(C287,TOP3277!$B$501:$B$3035,0))</f>
        <v>#N/A</v>
      </c>
    </row>
    <row r="288" ht="14.399999999999999" customHeight="1">
      <c r="A288" s="14" t="n">
        <v>7731</v>
      </c>
      <c r="B288" s="10" t="s">
        <v>8334</v>
      </c>
      <c r="C288" s="10" t="s">
        <v>8335</v>
      </c>
      <c r="D288" s="13" t="n">
        <v>1111</v>
      </c>
      <c r="E288" s="13" t="n">
        <v>1775</v>
      </c>
      <c r="F288" s="11" t="n">
        <f>SUM(D288+E288)/2</f>
        <v>1443</v>
      </c>
      <c r="G288" s="12" t="n">
        <v>1244</v>
      </c>
      <c r="H288" s="12" t="n">
        <v>1830</v>
      </c>
      <c r="I288" s="11" t="n">
        <f>SUM(G288+H288)/2</f>
        <v>1537</v>
      </c>
      <c r="J288" s="16" t="n">
        <f>IF(F288=0,I288*2,F288/$N$603+I288)</f>
        <v>1796.22025887951</v>
      </c>
      <c r="K288" s="18" t="n">
        <f>ROW(K288)-1</f>
        <v>287</v>
      </c>
      <c r="L288" s="18" t="e">
        <f t="array" ref="L288">INDEX(TOP3277!#REF!,MATCH(C288,TOP3277!$B$501:$B$3035,0))</f>
        <v>#N/A</v>
      </c>
    </row>
    <row r="289" ht="14.399999999999999" customHeight="1">
      <c r="A289" s="14" t="n">
        <v>10191</v>
      </c>
      <c r="B289" s="10" t="s">
        <v>8336</v>
      </c>
      <c r="C289" s="10" t="s">
        <v>8337</v>
      </c>
      <c r="D289" s="13" t="n">
        <v>2378</v>
      </c>
      <c r="E289" s="13" t="n">
        <v>3798</v>
      </c>
      <c r="F289" s="11" t="n">
        <f>SUM(D289+E289)/2</f>
        <v>3088</v>
      </c>
      <c r="G289" s="12" t="n">
        <v>1158</v>
      </c>
      <c r="H289" s="12" t="n">
        <v>1300</v>
      </c>
      <c r="I289" s="11" t="n">
        <f>SUM(G289+H289)/2</f>
        <v>1229</v>
      </c>
      <c r="J289" s="16" t="n">
        <f>IF(F289=0,I289*2,F289/$N$603+I289)</f>
        <v>1783.72776120578</v>
      </c>
      <c r="K289" s="18" t="n">
        <f>ROW(K289)-1</f>
        <v>288</v>
      </c>
      <c r="L289" s="18" t="e">
        <f t="array" ref="L289">INDEX(TOP3277!#REF!,MATCH(C289,TOP3277!$B$501:$B$3035,0))</f>
        <v>#N/A</v>
      </c>
    </row>
    <row r="290" ht="14.399999999999999" customHeight="1">
      <c r="A290" s="14" t="n">
        <v>7487</v>
      </c>
      <c r="B290" s="10" t="s">
        <v>8338</v>
      </c>
      <c r="C290" s="10" t="s">
        <v>8339</v>
      </c>
      <c r="D290" s="13" t="n">
        <v>2584</v>
      </c>
      <c r="E290" s="13" t="n">
        <v>4126</v>
      </c>
      <c r="F290" s="11" t="n">
        <f>SUM(D290+E290)/2</f>
        <v>3355</v>
      </c>
      <c r="G290" s="12" t="n">
        <v>1002</v>
      </c>
      <c r="H290" s="12" t="n">
        <v>1334</v>
      </c>
      <c r="I290" s="11" t="n">
        <f>SUM(G290+H290)/2</f>
        <v>1168</v>
      </c>
      <c r="J290" s="16" t="n">
        <f>IF(F290=0,I290*2,F290/$N$603+I290)</f>
        <v>1770.69159289035</v>
      </c>
      <c r="K290" s="18" t="n">
        <f>ROW(K290)-1</f>
        <v>289</v>
      </c>
      <c r="L290" s="18" t="e">
        <f t="array" ref="L290">INDEX(TOP3277!#REF!,MATCH(C290,TOP3277!$B$501:$B$3035,0))</f>
        <v>#N/A</v>
      </c>
    </row>
    <row r="291" ht="14.399999999999999" customHeight="1">
      <c r="A291" s="14" t="n">
        <v>7757</v>
      </c>
      <c r="B291" s="10" t="s">
        <v>8340</v>
      </c>
      <c r="C291" s="10" t="s">
        <v>8341</v>
      </c>
      <c r="D291" s="13" t="n">
        <v>3306</v>
      </c>
      <c r="E291" s="13" t="n">
        <v>5282</v>
      </c>
      <c r="F291" s="11" t="n">
        <f>SUM(D291+E291)/2</f>
        <v>4294</v>
      </c>
      <c r="G291" s="18" t="n">
        <v>850</v>
      </c>
      <c r="H291" s="12" t="n">
        <v>1035</v>
      </c>
      <c r="I291" s="11" t="n">
        <f>SUM(G291+H291)/2</f>
        <v>942.5</v>
      </c>
      <c r="J291" s="16" t="n">
        <f>IF(F291=0,I291*2,F291/$N$603+I291)</f>
        <v>1713.87338297203</v>
      </c>
      <c r="K291" s="18" t="n">
        <f>ROW(K291)-1</f>
        <v>290</v>
      </c>
      <c r="L291" s="18" t="e">
        <f t="array" ref="L291">INDEX(TOP3277!#REF!,MATCH(C291,TOP3277!$B$501:$B$3035,0))</f>
        <v>#N/A</v>
      </c>
    </row>
    <row r="292" ht="14.399999999999999" customHeight="1">
      <c r="A292" s="14" t="n">
        <v>10975</v>
      </c>
      <c r="B292" s="10" t="s">
        <v>412</v>
      </c>
      <c r="C292" s="10" t="s">
        <v>8342</v>
      </c>
      <c r="D292" s="13" t="n">
        <v>2652</v>
      </c>
      <c r="E292" s="13" t="n">
        <v>4236</v>
      </c>
      <c r="F292" s="11" t="n">
        <f>SUM(D292+E292)/2</f>
        <v>3444</v>
      </c>
      <c r="G292" s="12" t="n">
        <v>1000</v>
      </c>
      <c r="H292" s="12" t="n">
        <v>1184</v>
      </c>
      <c r="I292" s="11" t="n">
        <f>SUM(G292+H292)/2</f>
        <v>1092</v>
      </c>
      <c r="J292" s="16" t="n">
        <f>IF(F292=0,I292*2,F292/$N$603+I292)</f>
        <v>1710.67953678521</v>
      </c>
      <c r="K292" s="18" t="n">
        <f>ROW(K292)-1</f>
        <v>291</v>
      </c>
      <c r="L292" s="18" t="e">
        <f t="array" ref="L292">INDEX(TOP3277!#REF!,MATCH(C292,TOP3277!$B$501:$B$3035,0))</f>
        <v>#N/A</v>
      </c>
    </row>
    <row r="293" ht="14.399999999999999" customHeight="1">
      <c r="A293" s="14" t="n">
        <v>15192</v>
      </c>
      <c r="B293" s="10" t="s">
        <v>8343</v>
      </c>
      <c r="C293" s="10" t="s">
        <v>8344</v>
      </c>
      <c r="D293" s="13" t="n">
        <v>5318</v>
      </c>
      <c r="E293" s="13" t="n">
        <v>8492</v>
      </c>
      <c r="F293" s="11" t="n">
        <f>SUM(D293+E293)/2</f>
        <v>6905</v>
      </c>
      <c r="G293" s="18" t="n">
        <v>358</v>
      </c>
      <c r="H293" s="18" t="n">
        <v>562</v>
      </c>
      <c r="I293" s="11" t="n">
        <f>SUM(G293+H293)/2</f>
        <v>460</v>
      </c>
      <c r="J293" s="16" t="n">
        <f>IF(F293=0,I293*2,F293/$N$603+I293)</f>
        <v>1700.41295049415</v>
      </c>
      <c r="K293" s="18" t="n">
        <f>ROW(K293)-1</f>
        <v>292</v>
      </c>
      <c r="L293" s="18" t="e">
        <f t="array" ref="L293">INDEX(TOP3277!#REF!,MATCH(C293,TOP3277!$B$501:$B$3035,0))</f>
        <v>#N/A</v>
      </c>
    </row>
    <row r="294" ht="14.399999999999999" customHeight="1">
      <c r="A294" s="10" t="n">
        <v>429</v>
      </c>
      <c r="B294" s="10" t="s">
        <v>338</v>
      </c>
      <c r="C294" s="10" t="s">
        <v>339</v>
      </c>
      <c r="D294" s="13" t="n">
        <v>1677</v>
      </c>
      <c r="E294" s="13" t="n">
        <v>2677</v>
      </c>
      <c r="F294" s="11" t="n">
        <f>SUM(D294+E294)/2</f>
        <v>2177</v>
      </c>
      <c r="G294" s="18" t="n">
        <v>906</v>
      </c>
      <c r="H294" s="12" t="n">
        <v>1693</v>
      </c>
      <c r="I294" s="11" t="n">
        <f>SUM(G294+H294)/2</f>
        <v>1299.5</v>
      </c>
      <c r="J294" s="16" t="n">
        <f>IF(F294=0,I294*2,F294/$N$603+I294)</f>
        <v>1690.57588605731</v>
      </c>
      <c r="K294" s="18" t="n">
        <f>ROW(K294)-1</f>
        <v>293</v>
      </c>
      <c r="L294" s="18" t="e">
        <f t="array" ref="L294">INDEX(TOP3277!#REF!,MATCH(C294,TOP3277!$B$501:$B$3035,0))</f>
        <v>#N/A</v>
      </c>
    </row>
    <row r="295" ht="14.399999999999999" customHeight="1">
      <c r="A295" s="10" t="n">
        <v>302</v>
      </c>
      <c r="B295" s="10" t="s">
        <v>290</v>
      </c>
      <c r="C295" s="10" t="s">
        <v>291</v>
      </c>
      <c r="D295" s="10" t="n">
        <f t="array" ref="D295">INDEX('原始数据'!C$2:C$3689,MATCH($C295,'原始数据'!$B$2:$B$3689,0))</f>
        <v>3243</v>
      </c>
      <c r="E295" s="10" t="n">
        <f t="array" ref="E295">INDEX('原始数据'!D$2:D$3689,MATCH($C295,'原始数据'!$B$2:$B$3689,0))</f>
        <v>5177</v>
      </c>
      <c r="F295" s="11" t="n">
        <f t="array" ref="F295">INDEX('原始数据'!E$2:E$3689,MATCH($C295,'原始数据'!$B$2:$B$3689,0))</f>
        <v>4210</v>
      </c>
      <c r="G295" s="10" t="n">
        <f t="array" ref="G295">INDEX('原始数据'!F$2:F$3689,MATCH($C295,'原始数据'!$B$2:$B$3689,0))</f>
        <v>839</v>
      </c>
      <c r="H295" s="10" t="n">
        <f t="array" ref="H295">INDEX('原始数据'!G$2:G$3689,MATCH($C295,'原始数据'!$B$2:$B$3689,0))</f>
        <v>1019</v>
      </c>
      <c r="I295" s="11" t="n">
        <f t="array" ref="I295">INDEX('原始数据'!H$2:H$3689,MATCH($C295,'原始数据'!$B$2:$B$3689,0))</f>
        <v>929</v>
      </c>
      <c r="J295" s="16" t="n">
        <f>IF(F295=0,I295*2,F295/$N$603+I295)</f>
        <v>1685.28363817239</v>
      </c>
      <c r="K295" s="18" t="n">
        <f>ROW(K295)-1</f>
        <v>294</v>
      </c>
      <c r="L295" s="18" t="n">
        <f t="array" ref="L295">INDEX(TOP3277!#REF!,MATCH(C295,TOP3277!$B$501:$B$3035,0))</f>
        <v>1596</v>
      </c>
    </row>
    <row r="296" ht="14.399999999999999" customHeight="1">
      <c r="A296" s="14" t="n">
        <v>6840</v>
      </c>
      <c r="B296" s="10" t="s">
        <v>468</v>
      </c>
      <c r="C296" s="10" t="s">
        <v>469</v>
      </c>
      <c r="D296" s="13" t="n">
        <v>1001</v>
      </c>
      <c r="E296" s="13" t="n">
        <v>1601</v>
      </c>
      <c r="F296" s="11" t="n">
        <f>SUM(D296+E296)/2</f>
        <v>1301</v>
      </c>
      <c r="G296" s="12" t="n">
        <v>1217</v>
      </c>
      <c r="H296" s="12" t="n">
        <v>1679</v>
      </c>
      <c r="I296" s="11" t="n">
        <f>SUM(G296+H296)/2</f>
        <v>1448</v>
      </c>
      <c r="J296" s="16" t="n">
        <f>IF(F296=0,I296*2,F296/$N$603+I296)</f>
        <v>1681.71140457536</v>
      </c>
      <c r="K296" s="18" t="n">
        <f>ROW(K296)-1</f>
        <v>295</v>
      </c>
      <c r="L296" s="18" t="e">
        <f t="array" ref="L296">INDEX(TOP3277!#REF!,MATCH(C296,TOP3277!$B$501:$B$3035,0))</f>
        <v>#N/A</v>
      </c>
    </row>
    <row r="297" ht="14.399999999999999" customHeight="1">
      <c r="A297" s="14" t="n">
        <v>11520</v>
      </c>
      <c r="B297" s="10" t="s">
        <v>394</v>
      </c>
      <c r="C297" s="10" t="s">
        <v>8345</v>
      </c>
      <c r="D297" s="13" t="n">
        <v>1882</v>
      </c>
      <c r="E297" s="13" t="n">
        <v>3008</v>
      </c>
      <c r="F297" s="11" t="n">
        <f>SUM(D297+E297)/2</f>
        <v>2445</v>
      </c>
      <c r="G297" s="18" t="n">
        <v>872</v>
      </c>
      <c r="H297" s="12" t="n">
        <v>1597</v>
      </c>
      <c r="I297" s="11" t="n">
        <f>SUM(G297+H297)/2</f>
        <v>1234.5</v>
      </c>
      <c r="J297" s="16" t="n">
        <f>IF(F297=0,I297*2,F297/$N$603+I297)</f>
        <v>1673.71935756093</v>
      </c>
      <c r="K297" s="18" t="n">
        <f>ROW(K297)-1</f>
        <v>296</v>
      </c>
      <c r="L297" s="18" t="e">
        <f t="array" ref="L297">INDEX(TOP3277!#REF!,MATCH(C297,TOP3277!$B$501:$B$3035,0))</f>
        <v>#N/A</v>
      </c>
    </row>
    <row r="298" ht="14.399999999999999" customHeight="1">
      <c r="A298" s="14" t="n">
        <v>11670</v>
      </c>
      <c r="B298" s="10" t="s">
        <v>8346</v>
      </c>
      <c r="C298" s="10" t="s">
        <v>8347</v>
      </c>
      <c r="D298" s="13" t="n">
        <v>3371</v>
      </c>
      <c r="E298" s="13" t="n">
        <v>5385</v>
      </c>
      <c r="F298" s="11" t="n">
        <f>SUM(D298+E298)/2</f>
        <v>4378</v>
      </c>
      <c r="G298" s="18" t="n">
        <v>691</v>
      </c>
      <c r="H298" s="18" t="n">
        <v>983</v>
      </c>
      <c r="I298" s="11" t="n">
        <f>SUM(G298+H298)/2</f>
        <v>837</v>
      </c>
      <c r="J298" s="16" t="n">
        <f>IF(F298=0,I298*2,F298/$N$603+I298)</f>
        <v>1623.46312777167</v>
      </c>
      <c r="K298" s="18" t="n">
        <f>ROW(K298)-1</f>
        <v>297</v>
      </c>
      <c r="L298" s="18" t="e">
        <f t="array" ref="L298">INDEX(TOP3277!#REF!,MATCH(C298,TOP3277!$B$501:$B$3035,0))</f>
        <v>#N/A</v>
      </c>
    </row>
    <row r="299" ht="14.399999999999999" customHeight="1">
      <c r="A299" s="10" t="n">
        <v>367</v>
      </c>
      <c r="B299" s="10" t="s">
        <v>332</v>
      </c>
      <c r="C299" s="10" t="s">
        <v>333</v>
      </c>
      <c r="D299" s="10" t="n">
        <f t="array" ref="D299">INDEX('原始数据'!C$2:C$3689,MATCH($C299,'原始数据'!$B$2:$B$3689,0))</f>
        <v>2371</v>
      </c>
      <c r="E299" s="10" t="n">
        <f t="array" ref="E299">INDEX('原始数据'!D$2:D$3689,MATCH($C299,'原始数据'!$B$2:$B$3689,0))</f>
        <v>3785</v>
      </c>
      <c r="F299" s="11" t="n">
        <f t="array" ref="F299">INDEX('原始数据'!E$2:E$3689,MATCH($C299,'原始数据'!$B$2:$B$3689,0))</f>
        <v>3078</v>
      </c>
      <c r="G299" s="10" t="n">
        <f t="array" ref="G299">INDEX('原始数据'!F$2:F$3689,MATCH($C299,'原始数据'!$B$2:$B$3689,0))</f>
        <v>981</v>
      </c>
      <c r="H299" s="10" t="n">
        <f t="array" ref="H299">INDEX('原始数据'!G$2:G$3689,MATCH($C299,'原始数据'!$B$2:$B$3689,0))</f>
        <v>1103</v>
      </c>
      <c r="I299" s="11" t="n">
        <f t="array" ref="I299">INDEX('原始数据'!H$2:H$3689,MATCH($C299,'原始数据'!$B$2:$B$3689,0))</f>
        <v>1042</v>
      </c>
      <c r="J299" s="16" t="n">
        <f>IF(F299=0,I299*2,F299/$N$603+I299)</f>
        <v>1594.93136301535</v>
      </c>
      <c r="K299" s="18" t="n">
        <f>ROW(K299)-1</f>
        <v>298</v>
      </c>
      <c r="L299" s="18" t="e">
        <f t="array" ref="L299">INDEX(TOP3277!#REF!,MATCH(C299,TOP3277!$B$501:$B$3035,0))</f>
        <v>#N/A</v>
      </c>
    </row>
    <row r="300" ht="14.399999999999999" customHeight="1">
      <c r="A300" s="14" t="n">
        <v>13032</v>
      </c>
      <c r="B300" s="10" t="s">
        <v>308</v>
      </c>
      <c r="C300" s="10" t="s">
        <v>8348</v>
      </c>
      <c r="D300" s="13" t="n">
        <v>3637</v>
      </c>
      <c r="E300" s="13" t="n">
        <v>5810</v>
      </c>
      <c r="F300" s="11" t="n">
        <f>SUM(D300+E300)/2</f>
        <v>4723.5</v>
      </c>
      <c r="G300" s="18" t="n">
        <v>595</v>
      </c>
      <c r="H300" s="18" t="n">
        <v>888</v>
      </c>
      <c r="I300" s="11" t="n">
        <f>SUM(G300+H300)/2</f>
        <v>741.5</v>
      </c>
      <c r="J300" s="16" t="n">
        <f>IF(F300=0,I300*2,F300/$N$603+I300)</f>
        <v>1590.02868525114</v>
      </c>
      <c r="K300" s="18" t="n">
        <f>ROW(K300)-1</f>
        <v>299</v>
      </c>
      <c r="L300" s="18" t="e">
        <f t="array" ref="L300">INDEX(TOP3277!#REF!,MATCH(C300,TOP3277!$B$501:$B$3035,0))</f>
        <v>#N/A</v>
      </c>
    </row>
    <row r="301" ht="14.399999999999999" customHeight="1">
      <c r="A301" s="10" t="n">
        <v>318</v>
      </c>
      <c r="B301" s="10" t="s">
        <v>190</v>
      </c>
      <c r="C301" s="10" t="s">
        <v>191</v>
      </c>
      <c r="D301" s="10" t="n">
        <f t="array" ref="D301">INDEX('原始数据'!C$2:C$3689,MATCH($C301,'原始数据'!$B$2:$B$3689,0))</f>
        <v>1402</v>
      </c>
      <c r="E301" s="10" t="n">
        <f t="array" ref="E301">INDEX('原始数据'!D$2:D$3689,MATCH($C301,'原始数据'!$B$2:$B$3689,0))</f>
        <v>2238</v>
      </c>
      <c r="F301" s="11" t="n">
        <f t="array" ref="F301">INDEX('原始数据'!E$2:E$3689,MATCH($C301,'原始数据'!$B$2:$B$3689,0))</f>
        <v>1820</v>
      </c>
      <c r="G301" s="10" t="n">
        <f t="array" ref="G301">INDEX('原始数据'!F$2:F$3689,MATCH($C301,'原始数据'!$B$2:$B$3689,0))</f>
        <v>1183</v>
      </c>
      <c r="H301" s="10" t="n">
        <f t="array" ref="H301">INDEX('原始数据'!G$2:G$3689,MATCH($C301,'原始数据'!$B$2:$B$3689,0))</f>
        <v>1314</v>
      </c>
      <c r="I301" s="11" t="n">
        <f t="array" ref="I301">INDEX('原始数据'!H$2:H$3689,MATCH($C301,'原始数据'!$B$2:$B$3689,0))</f>
        <v>1248.5</v>
      </c>
      <c r="J301" s="16" t="n">
        <f>IF(F301=0,I301*2,F301/$N$603+I301)</f>
        <v>1575.44447065885</v>
      </c>
      <c r="K301" s="18" t="n">
        <f>ROW(K301)-1</f>
        <v>300</v>
      </c>
      <c r="L301" s="18" t="n">
        <f t="array" ref="L301">INDEX(TOP3277!#REF!,MATCH(C301,TOP3277!$B$501:$B$3035,0))</f>
        <v>1598</v>
      </c>
    </row>
    <row r="302" ht="14.399999999999999" customHeight="1">
      <c r="A302" s="14" t="n">
        <v>15729</v>
      </c>
      <c r="B302" s="10" t="s">
        <v>8349</v>
      </c>
      <c r="C302" s="10" t="s">
        <v>8350</v>
      </c>
      <c r="D302" s="13" t="n">
        <v>4680</v>
      </c>
      <c r="E302" s="13" t="n">
        <v>7474</v>
      </c>
      <c r="F302" s="11" t="n">
        <f>SUM(D302+E302)/2</f>
        <v>6077</v>
      </c>
      <c r="G302" s="18" t="n">
        <v>394</v>
      </c>
      <c r="H302" s="18" t="n">
        <v>551</v>
      </c>
      <c r="I302" s="11" t="n">
        <f>SUM(G302+H302)/2</f>
        <v>472.5</v>
      </c>
      <c r="J302" s="16" t="n">
        <f>IF(F302=0,I302*2,F302/$N$603+I302)</f>
        <v>1564.17118032627</v>
      </c>
      <c r="K302" s="18" t="n">
        <f>ROW(K302)-1</f>
        <v>301</v>
      </c>
      <c r="L302" s="18" t="e">
        <f t="array" ref="L302">INDEX(TOP3277!#REF!,MATCH(C302,TOP3277!$B$501:$B$3035,0))</f>
        <v>#N/A</v>
      </c>
    </row>
    <row r="303" ht="14.399999999999999" customHeight="1">
      <c r="A303" s="14" t="n">
        <v>9494</v>
      </c>
      <c r="B303" s="10" t="s">
        <v>8351</v>
      </c>
      <c r="C303" s="10" t="s">
        <v>8352</v>
      </c>
      <c r="D303" s="13" t="n">
        <v>1725</v>
      </c>
      <c r="E303" s="13" t="n">
        <v>2753</v>
      </c>
      <c r="F303" s="11" t="n">
        <f>SUM(D303+E303)/2</f>
        <v>2239</v>
      </c>
      <c r="G303" s="18" t="n">
        <v>993</v>
      </c>
      <c r="H303" s="12" t="n">
        <v>1324</v>
      </c>
      <c r="I303" s="11" t="n">
        <f>SUM(G303+H303)/2</f>
        <v>1158.5</v>
      </c>
      <c r="J303" s="16" t="n">
        <f>IF(F303=0,I303*2,F303/$N$603+I303)</f>
        <v>1560.713554838</v>
      </c>
      <c r="K303" s="18" t="n">
        <f>ROW(K303)-1</f>
        <v>302</v>
      </c>
      <c r="L303" s="18" t="e">
        <f t="array" ref="L303">INDEX(TOP3277!#REF!,MATCH(C303,TOP3277!$B$501:$B$3035,0))</f>
        <v>#N/A</v>
      </c>
    </row>
    <row r="304" ht="14.399999999999999" customHeight="1">
      <c r="A304" s="14" t="n">
        <v>11929</v>
      </c>
      <c r="B304" s="10" t="s">
        <v>883</v>
      </c>
      <c r="C304" s="10" t="s">
        <v>8353</v>
      </c>
      <c r="D304" s="13" t="n">
        <v>3731</v>
      </c>
      <c r="E304" s="13" t="n">
        <v>5963</v>
      </c>
      <c r="F304" s="11" t="n">
        <f>SUM(D304+E304)/2</f>
        <v>4847</v>
      </c>
      <c r="G304" s="18" t="n">
        <v>583</v>
      </c>
      <c r="H304" s="18" t="n">
        <v>786</v>
      </c>
      <c r="I304" s="11" t="n">
        <f>SUM(G304+H304)/2</f>
        <v>684.5</v>
      </c>
      <c r="J304" s="16" t="n">
        <f>IF(F304=0,I304*2,F304/$N$603+I304)</f>
        <v>1555.21420290299</v>
      </c>
      <c r="K304" s="18" t="n">
        <f>ROW(K304)-1</f>
        <v>303</v>
      </c>
      <c r="L304" s="18" t="e">
        <f t="array" ref="L304">INDEX(TOP3277!#REF!,MATCH(C304,TOP3277!$B$501:$B$3035,0))</f>
        <v>#N/A</v>
      </c>
    </row>
    <row r="305" ht="14.399999999999999" customHeight="1">
      <c r="A305" s="14" t="n">
        <v>14074</v>
      </c>
      <c r="B305" s="10" t="s">
        <v>282</v>
      </c>
      <c r="C305" s="10" t="s">
        <v>283</v>
      </c>
      <c r="D305" s="13" t="n">
        <v>3880</v>
      </c>
      <c r="E305" s="13" t="n">
        <v>6196</v>
      </c>
      <c r="F305" s="11" t="n">
        <f>SUM(D305+E305)/2</f>
        <v>5038</v>
      </c>
      <c r="G305" s="18" t="n">
        <v>525</v>
      </c>
      <c r="H305" s="18" t="n">
        <v>760</v>
      </c>
      <c r="I305" s="11" t="n">
        <f>SUM(G305+H305)/2</f>
        <v>642.5</v>
      </c>
      <c r="J305" s="16" t="n">
        <f>IF(F305=0,I305*2,F305/$N$603+I305)</f>
        <v>1547.52540834026</v>
      </c>
      <c r="K305" s="18" t="n">
        <f>ROW(K305)-1</f>
        <v>304</v>
      </c>
      <c r="L305" s="18" t="e">
        <f t="array" ref="L305">INDEX(TOP3277!#REF!,MATCH(C305,TOP3277!$B$501:$B$3035,0))</f>
        <v>#N/A</v>
      </c>
    </row>
    <row r="306" ht="14.399999999999999" customHeight="1">
      <c r="A306" s="10" t="n">
        <v>296</v>
      </c>
      <c r="B306" s="10" t="s">
        <v>438</v>
      </c>
      <c r="C306" s="10" t="s">
        <v>439</v>
      </c>
      <c r="D306" s="13" t="n">
        <v>1765</v>
      </c>
      <c r="E306" s="13" t="n">
        <v>2819</v>
      </c>
      <c r="F306" s="11" t="n">
        <f>SUM(D306+E306)/2</f>
        <v>2292</v>
      </c>
      <c r="G306" s="18" t="n">
        <v>894</v>
      </c>
      <c r="H306" s="12" t="n">
        <v>1368</v>
      </c>
      <c r="I306" s="11" t="n">
        <f>SUM(G306+H306)/2</f>
        <v>1131</v>
      </c>
      <c r="J306" s="16" t="n">
        <f>IF(F306=0,I306*2,F306/$N$603+I306)</f>
        <v>1542.7344652473</v>
      </c>
      <c r="K306" s="18" t="n">
        <f>ROW(K306)-1</f>
        <v>305</v>
      </c>
      <c r="L306" s="18" t="e">
        <f t="array" ref="L306">INDEX(TOP3277!#REF!,MATCH(C306,TOP3277!$B$501:$B$3035,0))</f>
        <v>#N/A</v>
      </c>
    </row>
    <row r="307" ht="14.399999999999999" customHeight="1">
      <c r="A307" s="14" t="n">
        <v>6397</v>
      </c>
      <c r="B307" s="10" t="s">
        <v>8354</v>
      </c>
      <c r="C307" s="10" t="s">
        <v>8355</v>
      </c>
      <c r="D307" s="13" t="n">
        <v>1075</v>
      </c>
      <c r="E307" s="13" t="n">
        <v>1717</v>
      </c>
      <c r="F307" s="11" t="n">
        <f>SUM(D307+E307)/2</f>
        <v>1396</v>
      </c>
      <c r="G307" s="12" t="n">
        <v>1036</v>
      </c>
      <c r="H307" s="12" t="n">
        <v>1542</v>
      </c>
      <c r="I307" s="11" t="n">
        <f>SUM(G307+H307)/2</f>
        <v>1289</v>
      </c>
      <c r="J307" s="16" t="n">
        <f>IF(F307=0,I307*2,F307/$N$603+I307)</f>
        <v>1539.77718738448</v>
      </c>
      <c r="K307" s="18" t="n">
        <f>ROW(K307)-1</f>
        <v>306</v>
      </c>
      <c r="L307" s="18" t="e">
        <f t="array" ref="L307">INDEX(TOP3277!#REF!,MATCH(C307,TOP3277!$B$501:$B$3035,0))</f>
        <v>#N/A</v>
      </c>
    </row>
    <row r="308" ht="14.399999999999999" customHeight="1">
      <c r="A308" s="14" t="n">
        <v>11639</v>
      </c>
      <c r="B308" s="10" t="s">
        <v>8356</v>
      </c>
      <c r="C308" s="10" t="s">
        <v>8357</v>
      </c>
      <c r="D308" s="13" t="n">
        <v>3778</v>
      </c>
      <c r="E308" s="13" t="n">
        <v>6036</v>
      </c>
      <c r="F308" s="11" t="n">
        <f>SUM(D308+E308)/2</f>
        <v>4907</v>
      </c>
      <c r="G308" s="18" t="n">
        <v>558</v>
      </c>
      <c r="H308" s="18" t="n">
        <v>740</v>
      </c>
      <c r="I308" s="11" t="n">
        <f>SUM(G308+H308)/2</f>
        <v>649</v>
      </c>
      <c r="J308" s="16" t="n">
        <f>IF(F308=0,I308*2,F308/$N$603+I308)</f>
        <v>1530.49259204559</v>
      </c>
      <c r="K308" s="18" t="n">
        <f>ROW(K308)-1</f>
        <v>307</v>
      </c>
      <c r="L308" s="18" t="e">
        <f t="array" ref="L308">INDEX(TOP3277!#REF!,MATCH(C308,TOP3277!$B$501:$B$3035,0))</f>
        <v>#N/A</v>
      </c>
    </row>
    <row r="309" ht="14.399999999999999" customHeight="1">
      <c r="A309" s="10" t="n">
        <v>315</v>
      </c>
      <c r="B309" s="10" t="s">
        <v>416</v>
      </c>
      <c r="C309" s="10" t="s">
        <v>8358</v>
      </c>
      <c r="D309" s="13" t="n">
        <v>1234</v>
      </c>
      <c r="E309" s="13" t="n">
        <v>1972</v>
      </c>
      <c r="F309" s="11" t="n">
        <f>SUM(D309+E309)/2</f>
        <v>1603</v>
      </c>
      <c r="G309" s="12" t="n">
        <v>1021</v>
      </c>
      <c r="H309" s="12" t="n">
        <v>1454</v>
      </c>
      <c r="I309" s="11" t="n">
        <f>SUM(G309+H309)/2</f>
        <v>1237.5</v>
      </c>
      <c r="J309" s="16" t="n">
        <f>IF(F309=0,I309*2,F309/$N$603+I309)</f>
        <v>1525.46262992645</v>
      </c>
      <c r="K309" s="18" t="n">
        <f>ROW(K309)-1</f>
        <v>308</v>
      </c>
      <c r="L309" s="18" t="e">
        <f t="array" ref="L309">INDEX(TOP3277!#REF!,MATCH(C309,TOP3277!$B$501:$B$3035,0))</f>
        <v>#N/A</v>
      </c>
    </row>
    <row r="310" ht="14.399999999999999" customHeight="1">
      <c r="A310" s="10" t="n">
        <v>311</v>
      </c>
      <c r="B310" s="10" t="s">
        <v>340</v>
      </c>
      <c r="C310" s="10" t="s">
        <v>341</v>
      </c>
      <c r="D310" s="10" t="n">
        <f t="array" ref="D310">INDEX('原始数据'!C$2:C$3689,MATCH($C310,'原始数据'!$B$2:$B$3689,0))</f>
        <v>2782</v>
      </c>
      <c r="E310" s="10" t="n">
        <f t="array" ref="E310">INDEX('原始数据'!D$2:D$3689,MATCH($C310,'原始数据'!$B$2:$B$3689,0))</f>
        <v>4444</v>
      </c>
      <c r="F310" s="11" t="n">
        <f t="array" ref="F310">INDEX('原始数据'!E$2:E$3689,MATCH($C310,'原始数据'!$B$2:$B$3689,0))</f>
        <v>3613</v>
      </c>
      <c r="G310" s="10" t="n">
        <f t="array" ref="G310">INDEX('原始数据'!F$2:F$3689,MATCH($C310,'原始数据'!$B$2:$B$3689,0))</f>
        <v>748</v>
      </c>
      <c r="H310" s="10" t="n">
        <f t="array" ref="H310">INDEX('原始数据'!G$2:G$3689,MATCH($C310,'原始数据'!$B$2:$B$3689,0))</f>
        <v>912</v>
      </c>
      <c r="I310" s="11" t="n">
        <f t="array" ref="I310">INDEX('原始数据'!H$2:H$3689,MATCH($C310,'原始数据'!$B$2:$B$3689,0))</f>
        <v>830</v>
      </c>
      <c r="J310" s="16" t="n">
        <f>IF(F310=0,I310*2,F310/$N$603+I310)</f>
        <v>1479.03866620353</v>
      </c>
      <c r="K310" s="18" t="n">
        <f>ROW(K310)-1</f>
        <v>309</v>
      </c>
      <c r="L310" s="18" t="n">
        <f t="array" ref="L310">INDEX(TOP3277!#REF!,MATCH(C310,TOP3277!$B$501:$B$3035,0))</f>
        <v>1601</v>
      </c>
    </row>
    <row r="311" ht="14.399999999999999" customHeight="1">
      <c r="A311" s="10" t="n">
        <v>307</v>
      </c>
      <c r="B311" s="10" t="s">
        <v>302</v>
      </c>
      <c r="C311" s="10" t="s">
        <v>303</v>
      </c>
      <c r="D311" s="10" t="n">
        <f t="array" ref="D311">INDEX('原始数据'!C$2:C$3689,MATCH($C311,'原始数据'!$B$2:$B$3689,0))</f>
        <v>3151</v>
      </c>
      <c r="E311" s="10" t="n">
        <f t="array" ref="E311">INDEX('原始数据'!D$2:D$3689,MATCH($C311,'原始数据'!$B$2:$B$3689,0))</f>
        <v>5035</v>
      </c>
      <c r="F311" s="11" t="n">
        <f t="array" ref="F311">INDEX('原始数据'!E$2:E$3689,MATCH($C311,'原始数据'!$B$2:$B$3689,0))</f>
        <v>4093</v>
      </c>
      <c r="G311" s="10" t="n">
        <f t="array" ref="G311">INDEX('原始数据'!F$2:F$3689,MATCH($C311,'原始数据'!$B$2:$B$3689,0))</f>
        <v>628</v>
      </c>
      <c r="H311" s="10" t="n">
        <f t="array" ref="H311">INDEX('原始数据'!G$2:G$3689,MATCH($C311,'原始数据'!$B$2:$B$3689,0))</f>
        <v>835</v>
      </c>
      <c r="I311" s="11" t="n">
        <f t="array" ref="I311">INDEX('原始数据'!H$2:H$3689,MATCH($C311,'原始数据'!$B$2:$B$3689,0))</f>
        <v>731.5</v>
      </c>
      <c r="J311" s="16" t="n">
        <f>IF(F311=0,I311*2,F311/$N$603+I311)</f>
        <v>1466.76577934432</v>
      </c>
      <c r="K311" s="18" t="n">
        <f>ROW(K311)-1</f>
        <v>310</v>
      </c>
      <c r="L311" s="18" t="n">
        <f t="array" ref="L311">INDEX(TOP3277!#REF!,MATCH(C311,TOP3277!$B$501:$B$3035,0))</f>
        <v>1600</v>
      </c>
    </row>
    <row r="312" ht="14.399999999999999" customHeight="1">
      <c r="A312" s="10" t="n">
        <v>298</v>
      </c>
      <c r="B312" s="10" t="s">
        <v>274</v>
      </c>
      <c r="C312" s="10" t="s">
        <v>275</v>
      </c>
      <c r="D312" s="10" t="n">
        <f t="array" ref="D312">INDEX('原始数据'!C$2:C$3689,MATCH($C312,'原始数据'!$B$2:$B$3689,0))</f>
        <v>3373</v>
      </c>
      <c r="E312" s="10" t="n">
        <f t="array" ref="E312">INDEX('原始数据'!D$2:D$3689,MATCH($C312,'原始数据'!$B$2:$B$3689,0))</f>
        <v>5389</v>
      </c>
      <c r="F312" s="11" t="n">
        <f t="array" ref="F312">INDEX('原始数据'!E$2:E$3689,MATCH($C312,'原始数据'!$B$2:$B$3689,0))</f>
        <v>4381</v>
      </c>
      <c r="G312" s="10" t="n">
        <f t="array" ref="G312">INDEX('原始数据'!F$2:F$3689,MATCH($C312,'原始数据'!$B$2:$B$3689,0))</f>
        <v>590</v>
      </c>
      <c r="H312" s="10" t="n">
        <f t="array" ref="H312">INDEX('原始数据'!G$2:G$3689,MATCH($C312,'原始数据'!$B$2:$B$3689,0))</f>
        <v>766</v>
      </c>
      <c r="I312" s="11" t="n">
        <f t="array" ref="I312">INDEX('原始数据'!H$2:H$3689,MATCH($C312,'原始数据'!$B$2:$B$3689,0))</f>
        <v>678</v>
      </c>
      <c r="J312" s="16" t="n">
        <f>IF(F312=0,I312*2,F312/$N$603+I312)</f>
        <v>1465.0020472288</v>
      </c>
      <c r="K312" s="18" t="n">
        <f>ROW(K312)-1</f>
        <v>311</v>
      </c>
      <c r="L312" s="18" t="n">
        <f t="array" ref="L312">INDEX(TOP3277!#REF!,MATCH(C312,TOP3277!$B$501:$B$3035,0))</f>
        <v>1599</v>
      </c>
    </row>
    <row r="313" ht="14.399999999999999" customHeight="1">
      <c r="A313" s="14" t="n">
        <v>15454</v>
      </c>
      <c r="B313" s="10" t="s">
        <v>8359</v>
      </c>
      <c r="C313" s="10" t="s">
        <v>8360</v>
      </c>
      <c r="D313" s="13" t="n">
        <v>2417</v>
      </c>
      <c r="E313" s="13" t="n">
        <v>3859</v>
      </c>
      <c r="F313" s="11" t="n">
        <f>SUM(D313+E313)/2</f>
        <v>3138</v>
      </c>
      <c r="G313" s="18" t="n">
        <v>685</v>
      </c>
      <c r="H313" s="12" t="n">
        <v>1112</v>
      </c>
      <c r="I313" s="11" t="n">
        <f>SUM(G313+H313)/2</f>
        <v>898.5</v>
      </c>
      <c r="J313" s="16" t="n">
        <f>IF(F313=0,I313*2,F313/$N$603+I313)</f>
        <v>1462.20975215795</v>
      </c>
      <c r="K313" s="18" t="n">
        <f>ROW(K313)-1</f>
        <v>312</v>
      </c>
      <c r="L313" s="18" t="e">
        <f t="array" ref="L313">INDEX(TOP3277!#REF!,MATCH(C313,TOP3277!$B$501:$B$3035,0))</f>
        <v>#N/A</v>
      </c>
    </row>
    <row r="314" ht="14.399999999999999" customHeight="1">
      <c r="A314" s="14" t="n">
        <v>8115</v>
      </c>
      <c r="B314" s="10" t="s">
        <v>546</v>
      </c>
      <c r="C314" s="10" t="s">
        <v>8361</v>
      </c>
      <c r="D314" s="10" t="n">
        <v>621</v>
      </c>
      <c r="E314" s="10" t="n">
        <v>989</v>
      </c>
      <c r="F314" s="11" t="n">
        <f>SUM(D314+E314)/2</f>
        <v>805</v>
      </c>
      <c r="G314" s="12" t="n">
        <v>1051</v>
      </c>
      <c r="H314" s="12" t="n">
        <v>1576</v>
      </c>
      <c r="I314" s="11" t="n">
        <f>SUM(G314+H314)/2</f>
        <v>1313.5</v>
      </c>
      <c r="J314" s="16" t="n">
        <f>IF(F314=0,I314*2,F314/$N$603+I314)</f>
        <v>1458.11005432988</v>
      </c>
      <c r="K314" s="18" t="n">
        <f>ROW(K314)-1</f>
        <v>313</v>
      </c>
      <c r="L314" s="18" t="e">
        <f t="array" ref="L314">INDEX(TOP3277!#REF!,MATCH(C314,TOP3277!$B$501:$B$3035,0))</f>
        <v>#N/A</v>
      </c>
    </row>
    <row r="315" ht="14.399999999999999" customHeight="1">
      <c r="A315" s="14" t="n">
        <v>11149</v>
      </c>
      <c r="B315" s="10" t="s">
        <v>8362</v>
      </c>
      <c r="C315" s="10" t="s">
        <v>8363</v>
      </c>
      <c r="D315" s="10" t="n">
        <v>658</v>
      </c>
      <c r="E315" s="13" t="n">
        <v>1050</v>
      </c>
      <c r="F315" s="11" t="n">
        <f>SUM(D315+E315)/2</f>
        <v>854</v>
      </c>
      <c r="G315" s="12" t="n">
        <v>1023</v>
      </c>
      <c r="H315" s="12" t="n">
        <v>1467</v>
      </c>
      <c r="I315" s="11" t="n">
        <f>SUM(G315+H315)/2</f>
        <v>1245</v>
      </c>
      <c r="J315" s="16" t="n">
        <f>IF(F315=0,I315*2,F315/$N$603+I315)</f>
        <v>1398.412405463</v>
      </c>
      <c r="K315" s="18" t="n">
        <f>ROW(K315)-1</f>
        <v>314</v>
      </c>
      <c r="L315" s="18" t="e">
        <f t="array" ref="L315">INDEX(TOP3277!#REF!,MATCH(C315,TOP3277!$B$501:$B$3035,0))</f>
        <v>#N/A</v>
      </c>
    </row>
    <row r="316" ht="14.399999999999999" customHeight="1">
      <c r="A316" s="14" t="n">
        <v>11510</v>
      </c>
      <c r="B316" s="10" t="s">
        <v>430</v>
      </c>
      <c r="C316" s="10" t="s">
        <v>8364</v>
      </c>
      <c r="D316" s="13" t="n">
        <v>1337</v>
      </c>
      <c r="E316" s="13" t="n">
        <v>2135</v>
      </c>
      <c r="F316" s="11" t="n">
        <f>SUM(D316+E316)/2</f>
        <v>1736</v>
      </c>
      <c r="G316" s="18" t="n">
        <v>811</v>
      </c>
      <c r="H316" s="12" t="n">
        <v>1361</v>
      </c>
      <c r="I316" s="11" t="n">
        <f>SUM(G316+H316)/2</f>
        <v>1086</v>
      </c>
      <c r="J316" s="16" t="n">
        <f>IF(F316=0,I316*2,F316/$N$603+I316)</f>
        <v>1397.85472585921</v>
      </c>
      <c r="K316" s="18" t="n">
        <f>ROW(K316)-1</f>
        <v>315</v>
      </c>
      <c r="L316" s="18" t="e">
        <f t="array" ref="L316">INDEX(TOP3277!#REF!,MATCH(C316,TOP3277!$B$501:$B$3035,0))</f>
        <v>#N/A</v>
      </c>
    </row>
    <row r="317" ht="14.399999999999999" customHeight="1">
      <c r="A317" s="14" t="n">
        <v>10393</v>
      </c>
      <c r="B317" s="10" t="s">
        <v>690</v>
      </c>
      <c r="C317" s="10" t="s">
        <v>691</v>
      </c>
      <c r="D317" s="10" t="n">
        <f t="array" ref="D317">INDEX('原始数据'!C$2:C$3689,MATCH($C317,'原始数据'!$B$2:$B$3689,0))</f>
        <v>601</v>
      </c>
      <c r="E317" s="10" t="n">
        <f t="array" ref="E317">INDEX('原始数据'!D$2:D$3689,MATCH($C317,'原始数据'!$B$2:$B$3689,0))</f>
        <v>961</v>
      </c>
      <c r="F317" s="11" t="n">
        <f t="array" ref="F317">INDEX('原始数据'!E$2:E$3689,MATCH($C317,'原始数据'!$B$2:$B$3689,0))</f>
        <v>781</v>
      </c>
      <c r="G317" s="10" t="n">
        <f t="array" ref="G317">INDEX('原始数据'!F$2:F$3689,MATCH($C317,'原始数据'!$B$2:$B$3689,0))</f>
        <v>1034</v>
      </c>
      <c r="H317" s="10" t="n">
        <f t="array" ref="H317">INDEX('原始数据'!G$2:G$3689,MATCH($C317,'原始数据'!$B$2:$B$3689,0))</f>
        <v>1358</v>
      </c>
      <c r="I317" s="11" t="n">
        <f t="array" ref="I317">INDEX('原始数据'!H$2:H$3689,MATCH($C317,'原始数据'!$B$2:$B$3689,0))</f>
        <v>1196</v>
      </c>
      <c r="J317" s="16" t="n">
        <f>IF(F317=0,I317*2,F317/$N$603+I317)</f>
        <v>1336.29869867284</v>
      </c>
      <c r="K317" s="18" t="n">
        <f>ROW(K317)-1</f>
        <v>316</v>
      </c>
      <c r="L317" s="18" t="e">
        <f t="array" ref="L317">INDEX(TOP3277!#REF!,MATCH(C317,TOP3277!$B$501:$B$3035,0))</f>
        <v>#N/A</v>
      </c>
    </row>
    <row r="318" ht="14.399999999999999" customHeight="1">
      <c r="A318" s="10" t="n">
        <v>288</v>
      </c>
      <c r="B318" s="10" t="s">
        <v>264</v>
      </c>
      <c r="C318" s="10" t="s">
        <v>265</v>
      </c>
      <c r="D318" s="13" t="n">
        <v>4987</v>
      </c>
      <c r="E318" s="13" t="n">
        <v>7969</v>
      </c>
      <c r="F318" s="11" t="n">
        <f>SUM(D318+E318)/2</f>
        <v>6478</v>
      </c>
      <c r="G318" s="18" t="n">
        <v>134</v>
      </c>
      <c r="H318" s="18" t="n">
        <v>191</v>
      </c>
      <c r="I318" s="11" t="n">
        <f>SUM(G318+H318)/2</f>
        <v>162.5</v>
      </c>
      <c r="J318" s="16" t="n">
        <f>IF(F318=0,I318*2,F318/$N$603+I318)</f>
        <v>1326.20674776265</v>
      </c>
      <c r="K318" s="18" t="n">
        <f>ROW(K318)-1</f>
        <v>317</v>
      </c>
      <c r="L318" s="18" t="e">
        <f t="array" ref="L318">INDEX(TOP3277!#REF!,MATCH(C318,TOP3277!$B$501:$B$3035,0))</f>
        <v>#N/A</v>
      </c>
    </row>
    <row r="319" ht="14.399999999999999" customHeight="1">
      <c r="A319" s="14" t="n">
        <v>11640</v>
      </c>
      <c r="B319" s="10" t="s">
        <v>8365</v>
      </c>
      <c r="C319" s="10" t="s">
        <v>8366</v>
      </c>
      <c r="D319" s="13" t="n">
        <v>1847</v>
      </c>
      <c r="E319" s="13" t="n">
        <v>2953</v>
      </c>
      <c r="F319" s="11" t="n">
        <f>SUM(D319+E319)/2</f>
        <v>2400</v>
      </c>
      <c r="G319" s="18" t="n">
        <v>709</v>
      </c>
      <c r="H319" s="12" t="n">
        <v>1058</v>
      </c>
      <c r="I319" s="11" t="n">
        <f>SUM(G319+H319)/2</f>
        <v>883.5</v>
      </c>
      <c r="J319" s="16" t="n">
        <f>IF(F319=0,I319*2,F319/$N$603+I319)</f>
        <v>1314.63556570397</v>
      </c>
      <c r="K319" s="18" t="n">
        <f>ROW(K319)-1</f>
        <v>318</v>
      </c>
      <c r="L319" s="18" t="e">
        <f t="array" ref="L319">INDEX(TOP3277!#REF!,MATCH(C319,TOP3277!$B$501:$B$3035,0))</f>
        <v>#N/A</v>
      </c>
    </row>
    <row r="320" ht="14.399999999999999" customHeight="1">
      <c r="A320" s="14" t="n">
        <v>7336</v>
      </c>
      <c r="B320" s="10" t="s">
        <v>8367</v>
      </c>
      <c r="C320" s="10" t="s">
        <v>597</v>
      </c>
      <c r="D320" s="10" t="n">
        <f t="array" ref="D320">INDEX('原始数据'!C$2:C$3689,MATCH($C320,'原始数据'!$B$2:$B$3689,0))</f>
        <v>723</v>
      </c>
      <c r="E320" s="10" t="n">
        <f t="array" ref="E320">INDEX('原始数据'!D$2:D$3689,MATCH($C320,'原始数据'!$B$2:$B$3689,0))</f>
        <v>1155</v>
      </c>
      <c r="F320" s="11" t="n">
        <f t="array" ref="F320">INDEX('原始数据'!E$2:E$3689,MATCH($C320,'原始数据'!$B$2:$B$3689,0))</f>
        <v>939</v>
      </c>
      <c r="G320" s="10" t="n">
        <f t="array" ref="G320">INDEX('原始数据'!F$2:F$3689,MATCH($C320,'原始数据'!$B$2:$B$3689,0))</f>
        <v>930</v>
      </c>
      <c r="H320" s="10" t="n">
        <f t="array" ref="H320">INDEX('原始数据'!G$2:G$3689,MATCH($C320,'原始数据'!$B$2:$B$3689,0))</f>
        <v>1335</v>
      </c>
      <c r="I320" s="11" t="n">
        <f t="array" ref="I320">INDEX('原始数据'!H$2:H$3689,MATCH($C320,'原始数据'!$B$2:$B$3689,0))</f>
        <v>1132.5</v>
      </c>
      <c r="J320" s="16" t="n">
        <f>IF(F320=0,I320*2,F320/$N$603+I320)</f>
        <v>1301.18179008168</v>
      </c>
      <c r="K320" s="18" t="n">
        <f>ROW(K320)-1</f>
        <v>319</v>
      </c>
      <c r="L320" s="18" t="e">
        <f t="array" ref="L320">INDEX(TOP3277!#REF!,MATCH(C320,TOP3277!$B$501:$B$3035,0))</f>
        <v>#N/A</v>
      </c>
    </row>
    <row r="321" ht="14.399999999999999" customHeight="1">
      <c r="A321" s="14" t="n">
        <v>9249</v>
      </c>
      <c r="B321" s="10" t="s">
        <v>8368</v>
      </c>
      <c r="C321" s="10" t="s">
        <v>8369</v>
      </c>
      <c r="D321" s="13" t="n">
        <v>2149</v>
      </c>
      <c r="E321" s="13" t="n">
        <v>3435</v>
      </c>
      <c r="F321" s="11" t="n">
        <f>SUM(D321+E321)/2</f>
        <v>2792</v>
      </c>
      <c r="G321" s="18" t="n">
        <v>690</v>
      </c>
      <c r="H321" s="18" t="n">
        <v>904</v>
      </c>
      <c r="I321" s="11" t="n">
        <f>SUM(G321+H321)/2</f>
        <v>797</v>
      </c>
      <c r="J321" s="16" t="n">
        <f>IF(F321=0,I321*2,F321/$N$603+I321)</f>
        <v>1298.55437476896</v>
      </c>
      <c r="K321" s="18" t="n">
        <f>ROW(K321)-1</f>
        <v>320</v>
      </c>
      <c r="L321" s="18" t="e">
        <f t="array" ref="L321">INDEX(TOP3277!#REF!,MATCH(C321,TOP3277!$B$501:$B$3035,0))</f>
        <v>#N/A</v>
      </c>
    </row>
    <row r="322" ht="14.399999999999999" customHeight="1">
      <c r="A322" s="14" t="n">
        <v>15749</v>
      </c>
      <c r="B322" s="10" t="s">
        <v>8370</v>
      </c>
      <c r="C322" s="10" t="s">
        <v>8371</v>
      </c>
      <c r="D322" s="13" t="n">
        <v>2567</v>
      </c>
      <c r="E322" s="13" t="n">
        <v>4101</v>
      </c>
      <c r="F322" s="11" t="n">
        <f>SUM(D322+E322)/2</f>
        <v>3334</v>
      </c>
      <c r="G322" s="18" t="n">
        <v>551</v>
      </c>
      <c r="H322" s="18" t="n">
        <v>771</v>
      </c>
      <c r="I322" s="11" t="n">
        <f>SUM(G322+H322)/2</f>
        <v>661</v>
      </c>
      <c r="J322" s="16" t="n">
        <f>IF(F322=0,I322*2,F322/$N$603+I322)</f>
        <v>1259.91915669044</v>
      </c>
      <c r="K322" s="18" t="n">
        <f>ROW(K322)-1</f>
        <v>321</v>
      </c>
      <c r="L322" s="18" t="e">
        <f t="array" ref="L322">INDEX(TOP3277!#REF!,MATCH(C322,TOP3277!$B$501:$B$3035,0))</f>
        <v>#N/A</v>
      </c>
    </row>
    <row r="323" ht="14.399999999999999" customHeight="1">
      <c r="A323" s="10" t="n">
        <v>293</v>
      </c>
      <c r="B323" s="10" t="s">
        <v>1040</v>
      </c>
      <c r="C323" s="10" t="s">
        <v>305</v>
      </c>
      <c r="D323" s="10" t="n">
        <f t="array" ref="D323">INDEX('原始数据'!C$2:C$3689,MATCH($C323,'原始数据'!$B$2:$B$3689,0))</f>
        <v>2945</v>
      </c>
      <c r="E323" s="10" t="n">
        <f t="array" ref="E323">INDEX('原始数据'!D$2:D$3689,MATCH($C323,'原始数据'!$B$2:$B$3689,0))</f>
        <v>4705</v>
      </c>
      <c r="F323" s="11" t="n">
        <f t="array" ref="F323">INDEX('原始数据'!E$2:E$3689,MATCH($C323,'原始数据'!$B$2:$B$3689,0))</f>
        <v>3825</v>
      </c>
      <c r="G323" s="10" t="n">
        <f t="array" ref="G323">INDEX('原始数据'!F$2:F$3689,MATCH($C323,'原始数据'!$B$2:$B$3689,0))</f>
        <v>491</v>
      </c>
      <c r="H323" s="10" t="n">
        <f t="array" ref="H323">INDEX('原始数据'!G$2:G$3689,MATCH($C323,'原始数据'!$B$2:$B$3689,0))</f>
        <v>641</v>
      </c>
      <c r="I323" s="11" t="n">
        <f t="array" ref="I323">INDEX('原始数据'!H$2:H$3689,MATCH($C323,'原始数据'!$B$2:$B$3689,0))</f>
        <v>566</v>
      </c>
      <c r="J323" s="16" t="n">
        <f>IF(F323=0,I323*2,F323/$N$603+I323)</f>
        <v>1253.12230784071</v>
      </c>
      <c r="K323" s="18" t="n">
        <f>ROW(K323)-1</f>
        <v>322</v>
      </c>
      <c r="L323" s="18" t="n">
        <f t="array" ref="L323">INDEX(TOP3277!#REF!,MATCH(C323,TOP3277!$B$501:$B$3035,0))</f>
        <v>1606</v>
      </c>
    </row>
    <row r="324" ht="14.399999999999999" customHeight="1">
      <c r="A324" s="14" t="n">
        <v>15417</v>
      </c>
      <c r="B324" s="10" t="s">
        <v>476</v>
      </c>
      <c r="C324" s="10" t="s">
        <v>477</v>
      </c>
      <c r="D324" s="13" t="n">
        <v>1061</v>
      </c>
      <c r="E324" s="13" t="n">
        <v>1691</v>
      </c>
      <c r="F324" s="11" t="n">
        <f>SUM(D324+E324)/2</f>
        <v>1376</v>
      </c>
      <c r="G324" s="18" t="n">
        <v>824</v>
      </c>
      <c r="H324" s="12" t="n">
        <v>1165</v>
      </c>
      <c r="I324" s="11" t="n">
        <f>SUM(G324+H324)/2</f>
        <v>994.5</v>
      </c>
      <c r="J324" s="16" t="n">
        <f>IF(F324=0,I324*2,F324/$N$603+I324)</f>
        <v>1241.68439100361</v>
      </c>
      <c r="K324" s="18" t="n">
        <f>ROW(K324)-1</f>
        <v>323</v>
      </c>
      <c r="L324" s="18" t="e">
        <f t="array" ref="L324">INDEX(TOP3277!#REF!,MATCH(C324,TOP3277!$B$501:$B$3035,0))</f>
        <v>#N/A</v>
      </c>
    </row>
    <row r="325" ht="14.399999999999999" customHeight="1">
      <c r="A325" s="14" t="n">
        <v>15286</v>
      </c>
      <c r="B325" s="10" t="s">
        <v>8372</v>
      </c>
      <c r="C325" s="10" t="s">
        <v>8373</v>
      </c>
      <c r="D325" s="10" t="n">
        <v>10</v>
      </c>
      <c r="E325" s="10" t="n">
        <v>18</v>
      </c>
      <c r="F325" s="11" t="n">
        <f>SUM(D325+E325)/2</f>
        <v>14</v>
      </c>
      <c r="G325" s="12" t="n">
        <v>1086</v>
      </c>
      <c r="H325" s="12" t="n">
        <v>1376</v>
      </c>
      <c r="I325" s="11" t="n">
        <f>SUM(G325+H325)/2</f>
        <v>1231</v>
      </c>
      <c r="J325" s="16" t="n">
        <f>IF(F325=0,I325*2,F325/$N$603+I325)</f>
        <v>1233.51495746661</v>
      </c>
      <c r="K325" s="18" t="n">
        <f>ROW(K325)-1</f>
        <v>324</v>
      </c>
      <c r="L325" s="18" t="e">
        <f t="array" ref="L325">INDEX(TOP3277!#REF!,MATCH(C325,TOP3277!$B$501:$B$3035,0))</f>
        <v>#N/A</v>
      </c>
    </row>
    <row r="326" ht="14.399999999999999" customHeight="1">
      <c r="A326" s="14" t="n">
        <v>15712</v>
      </c>
      <c r="B326" s="10" t="s">
        <v>8374</v>
      </c>
      <c r="C326" s="10" t="s">
        <v>8375</v>
      </c>
      <c r="D326" s="13" t="n">
        <v>2653</v>
      </c>
      <c r="E326" s="13" t="n">
        <v>4235</v>
      </c>
      <c r="F326" s="11" t="n">
        <f>SUM(D326+E326)/2</f>
        <v>3444</v>
      </c>
      <c r="G326" s="18" t="n">
        <v>484</v>
      </c>
      <c r="H326" s="18" t="n">
        <v>743</v>
      </c>
      <c r="I326" s="11" t="n">
        <f>SUM(G326+H326)/2</f>
        <v>613.5</v>
      </c>
      <c r="J326" s="16" t="n">
        <f>IF(F326=0,I326*2,F326/$N$603+I326)</f>
        <v>1232.17953678521</v>
      </c>
      <c r="K326" s="18" t="n">
        <f>ROW(K326)-1</f>
        <v>325</v>
      </c>
      <c r="L326" s="18" t="e">
        <f t="array" ref="L326">INDEX(TOP3277!#REF!,MATCH(C326,TOP3277!$B$501:$B$3035,0))</f>
        <v>#N/A</v>
      </c>
    </row>
    <row r="327" ht="14.399999999999999" customHeight="1">
      <c r="A327" s="14" t="n">
        <v>12115</v>
      </c>
      <c r="B327" s="10" t="s">
        <v>8376</v>
      </c>
      <c r="C327" s="10" t="s">
        <v>8377</v>
      </c>
      <c r="D327" s="10" t="n">
        <v>588</v>
      </c>
      <c r="E327" s="10" t="n">
        <v>938</v>
      </c>
      <c r="F327" s="11" t="n">
        <f>SUM(D327+E327)/2</f>
        <v>763</v>
      </c>
      <c r="G327" s="18" t="n">
        <v>907</v>
      </c>
      <c r="H327" s="12" t="n">
        <v>1281</v>
      </c>
      <c r="I327" s="11" t="n">
        <f>SUM(G327+H327)/2</f>
        <v>1094</v>
      </c>
      <c r="J327" s="16" t="n">
        <f>IF(F327=0,I327*2,F327/$N$603+I327)</f>
        <v>1231.06518193006</v>
      </c>
      <c r="K327" s="18" t="n">
        <f>ROW(K327)-1</f>
        <v>326</v>
      </c>
      <c r="L327" s="18" t="e">
        <f t="array" ref="L327">INDEX(TOP3277!#REF!,MATCH(C327,TOP3277!$B$501:$B$3035,0))</f>
        <v>#N/A</v>
      </c>
    </row>
    <row r="328" ht="14.399999999999999" customHeight="1">
      <c r="A328" s="10" t="n">
        <v>413</v>
      </c>
      <c r="B328" s="10" t="s">
        <v>8378</v>
      </c>
      <c r="C328" s="10" t="s">
        <v>8379</v>
      </c>
      <c r="D328" s="10" t="n">
        <v>916</v>
      </c>
      <c r="E328" s="13" t="n">
        <v>1462</v>
      </c>
      <c r="F328" s="11" t="n">
        <f>SUM(D328+E328)/2</f>
        <v>1189</v>
      </c>
      <c r="G328" s="18" t="n">
        <v>953</v>
      </c>
      <c r="H328" s="12" t="n">
        <v>1059</v>
      </c>
      <c r="I328" s="11" t="n">
        <f>SUM(G328+H328)/2</f>
        <v>1006</v>
      </c>
      <c r="J328" s="16" t="n">
        <f>IF(F328=0,I328*2,F328/$N$603+I328)</f>
        <v>1219.59174484251</v>
      </c>
      <c r="K328" s="18" t="n">
        <f>ROW(K328)-1</f>
        <v>327</v>
      </c>
      <c r="L328" s="18" t="e">
        <f t="array" ref="L328">INDEX(TOP3277!#REF!,MATCH(C328,TOP3277!$B$501:$B$3035,0))</f>
        <v>#N/A</v>
      </c>
    </row>
    <row r="329" ht="14.399999999999999" customHeight="1">
      <c r="A329" s="14" t="n">
        <v>11526</v>
      </c>
      <c r="B329" s="10" t="s">
        <v>8380</v>
      </c>
      <c r="C329" s="10" t="s">
        <v>8381</v>
      </c>
      <c r="D329" s="13" t="n">
        <v>1462</v>
      </c>
      <c r="E329" s="13" t="n">
        <v>2334</v>
      </c>
      <c r="F329" s="11" t="n">
        <f>SUM(D329+E329)/2</f>
        <v>1898</v>
      </c>
      <c r="G329" s="18" t="n">
        <v>732</v>
      </c>
      <c r="H329" s="12" t="n">
        <v>1025</v>
      </c>
      <c r="I329" s="11" t="n">
        <f>SUM(G329+H329)/2</f>
        <v>878.5</v>
      </c>
      <c r="J329" s="16" t="n">
        <f>IF(F329=0,I329*2,F329/$N$603+I329)</f>
        <v>1219.45637654423</v>
      </c>
      <c r="K329" s="18" t="n">
        <f>ROW(K329)-1</f>
        <v>328</v>
      </c>
      <c r="L329" s="18" t="e">
        <f t="array" ref="L329">INDEX(TOP3277!#REF!,MATCH(C329,TOP3277!$B$501:$B$3035,0))</f>
        <v>#N/A</v>
      </c>
    </row>
    <row r="330" ht="14.399999999999999" customHeight="1">
      <c r="A330" s="10" t="n">
        <v>434</v>
      </c>
      <c r="B330" s="10" t="s">
        <v>454</v>
      </c>
      <c r="C330" s="10" t="s">
        <v>455</v>
      </c>
      <c r="D330" s="13" t="n">
        <v>1516</v>
      </c>
      <c r="E330" s="13" t="n">
        <v>2420</v>
      </c>
      <c r="F330" s="11" t="n">
        <f>SUM(D330+E330)/2</f>
        <v>1968</v>
      </c>
      <c r="G330" s="18" t="n">
        <v>729</v>
      </c>
      <c r="H330" s="18" t="n">
        <v>992</v>
      </c>
      <c r="I330" s="11" t="n">
        <f>SUM(G330+H330)/2</f>
        <v>860.5</v>
      </c>
      <c r="J330" s="16" t="n">
        <f>IF(F330=0,I330*2,F330/$N$603+I330)</f>
        <v>1214.03116387726</v>
      </c>
      <c r="K330" s="18" t="n">
        <f>ROW(K330)-1</f>
        <v>329</v>
      </c>
      <c r="L330" s="18" t="e">
        <f t="array" ref="L330">INDEX(TOP3277!#REF!,MATCH(C330,TOP3277!$B$501:$B$3035,0))</f>
        <v>#N/A</v>
      </c>
    </row>
    <row r="331" ht="14.399999999999999" customHeight="1">
      <c r="A331" s="14" t="n">
        <v>11904</v>
      </c>
      <c r="B331" s="10" t="s">
        <v>508</v>
      </c>
      <c r="C331" s="10" t="s">
        <v>509</v>
      </c>
      <c r="D331" s="10" t="n">
        <v>767</v>
      </c>
      <c r="E331" s="13" t="n">
        <v>1225</v>
      </c>
      <c r="F331" s="11" t="n">
        <f>SUM(D331+E331)/2</f>
        <v>996</v>
      </c>
      <c r="G331" s="18" t="n">
        <v>842</v>
      </c>
      <c r="H331" s="12" t="n">
        <v>1210</v>
      </c>
      <c r="I331" s="11" t="n">
        <f>SUM(G331+H331)/2</f>
        <v>1026</v>
      </c>
      <c r="J331" s="16" t="n">
        <f>IF(F331=0,I331*2,F331/$N$603+I331)</f>
        <v>1204.92125976715</v>
      </c>
      <c r="K331" s="18" t="n">
        <f>ROW(K331)-1</f>
        <v>330</v>
      </c>
      <c r="L331" s="18" t="e">
        <f t="array" ref="L331">INDEX(TOP3277!#REF!,MATCH(C331,TOP3277!$B$501:$B$3035,0))</f>
        <v>#N/A</v>
      </c>
    </row>
    <row r="332" ht="14.399999999999999" customHeight="1">
      <c r="A332" s="14" t="n">
        <v>14060</v>
      </c>
      <c r="B332" s="10" t="s">
        <v>5551</v>
      </c>
      <c r="C332" s="10" t="s">
        <v>8382</v>
      </c>
      <c r="D332" s="13" t="n">
        <v>1118</v>
      </c>
      <c r="E332" s="13" t="n">
        <v>1784</v>
      </c>
      <c r="F332" s="11" t="n">
        <f>SUM(D332+E332)/2</f>
        <v>1451</v>
      </c>
      <c r="G332" s="18" t="n">
        <v>747</v>
      </c>
      <c r="H332" s="12" t="n">
        <v>1044</v>
      </c>
      <c r="I332" s="11" t="n">
        <f>SUM(G332+H332)/2</f>
        <v>895.5</v>
      </c>
      <c r="J332" s="16" t="n">
        <f>IF(F332=0,I332*2,F332/$N$603+I332)</f>
        <v>1156.15737743186</v>
      </c>
      <c r="K332" s="18" t="n">
        <f>ROW(K332)-1</f>
        <v>331</v>
      </c>
      <c r="L332" s="18" t="e">
        <f t="array" ref="L332">INDEX(TOP3277!#REF!,MATCH(C332,TOP3277!$B$501:$B$3035,0))</f>
        <v>#N/A</v>
      </c>
    </row>
    <row r="333" ht="14.399999999999999" customHeight="1">
      <c r="A333" s="10" t="n">
        <v>312</v>
      </c>
      <c r="B333" s="10" t="s">
        <v>316</v>
      </c>
      <c r="C333" s="10" t="s">
        <v>1041</v>
      </c>
      <c r="D333" s="13" t="n">
        <v>3131</v>
      </c>
      <c r="E333" s="13" t="n">
        <v>5001</v>
      </c>
      <c r="F333" s="11" t="n">
        <f>SUM(D333+E333)/2</f>
        <v>4066</v>
      </c>
      <c r="G333" s="18" t="n">
        <v>334</v>
      </c>
      <c r="H333" s="18" t="n">
        <v>467</v>
      </c>
      <c r="I333" s="11" t="n">
        <f>SUM(G333+H333)/2</f>
        <v>400.5</v>
      </c>
      <c r="J333" s="16" t="n">
        <f>IF(F333=0,I333*2,F333/$N$603+I333)</f>
        <v>1130.91550423015</v>
      </c>
      <c r="K333" s="18" t="n">
        <f>ROW(K333)-1</f>
        <v>332</v>
      </c>
      <c r="L333" s="18" t="n">
        <f t="array" ref="L333">INDEX(TOP3277!#REF!,MATCH(C333,TOP3277!$B$501:$B$3035,0))</f>
        <v>1610</v>
      </c>
    </row>
    <row r="334" ht="14.399999999999999" customHeight="1">
      <c r="A334" s="10" t="n">
        <v>355</v>
      </c>
      <c r="B334" s="10" t="s">
        <v>660</v>
      </c>
      <c r="C334" s="10" t="s">
        <v>1542</v>
      </c>
      <c r="D334" s="13" t="n">
        <v>1652</v>
      </c>
      <c r="E334" s="13" t="n">
        <v>2642</v>
      </c>
      <c r="F334" s="11" t="n">
        <f>SUM(D334+E334)/2</f>
        <v>2147</v>
      </c>
      <c r="G334" s="18" t="n">
        <v>602</v>
      </c>
      <c r="H334" s="18" t="n">
        <v>874</v>
      </c>
      <c r="I334" s="11" t="n">
        <f>SUM(G334+H334)/2</f>
        <v>738</v>
      </c>
      <c r="J334" s="16" t="n">
        <f>IF(F334=0,I334*2,F334/$N$603+I334)</f>
        <v>1123.68669148602</v>
      </c>
      <c r="K334" s="18" t="n">
        <f>ROW(K334)-1</f>
        <v>333</v>
      </c>
      <c r="L334" s="18" t="n">
        <f t="array" ref="L334">INDEX(TOP3277!#REF!,MATCH(C334,TOP3277!$B$501:$B$3035,0))</f>
        <v>1692</v>
      </c>
    </row>
    <row r="335" ht="14.399999999999999" customHeight="1">
      <c r="A335" s="10" t="n">
        <v>484</v>
      </c>
      <c r="B335" s="10" t="s">
        <v>8383</v>
      </c>
      <c r="C335" s="10" t="s">
        <v>8384</v>
      </c>
      <c r="D335" s="13" t="n">
        <v>4659</v>
      </c>
      <c r="E335" s="13" t="n">
        <v>7443</v>
      </c>
      <c r="F335" s="11" t="n">
        <f>SUM(D335+E335)/2</f>
        <v>6051</v>
      </c>
      <c r="G335" s="18" t="n">
        <v>6</v>
      </c>
      <c r="H335" s="18" t="n">
        <v>14</v>
      </c>
      <c r="I335" s="11" t="n">
        <f>SUM(G335+H335)/2</f>
        <v>10</v>
      </c>
      <c r="J335" s="16" t="n">
        <f>IF(F335=0,I335*2,F335/$N$603+I335)</f>
        <v>1097.00054503115</v>
      </c>
      <c r="K335" s="18" t="n">
        <f>ROW(K335)-1</f>
        <v>334</v>
      </c>
      <c r="L335" s="18" t="e">
        <f t="array" ref="L335">INDEX(TOP3277!#REF!,MATCH(C335,TOP3277!$B$501:$B$3035,0))</f>
        <v>#N/A</v>
      </c>
    </row>
    <row r="336" ht="14.399999999999999" customHeight="1">
      <c r="A336" s="10" t="n">
        <v>356</v>
      </c>
      <c r="B336" s="10" t="s">
        <v>490</v>
      </c>
      <c r="C336" s="10" t="s">
        <v>8385</v>
      </c>
      <c r="D336" s="13" t="n">
        <v>1959</v>
      </c>
      <c r="E336" s="13" t="n">
        <v>3129</v>
      </c>
      <c r="F336" s="11" t="n">
        <f>SUM(D336+E336)/2</f>
        <v>2544</v>
      </c>
      <c r="G336" s="18" t="n">
        <v>509</v>
      </c>
      <c r="H336" s="18" t="n">
        <v>724</v>
      </c>
      <c r="I336" s="11" t="n">
        <f>SUM(G336+H336)/2</f>
        <v>616.5</v>
      </c>
      <c r="J336" s="16" t="n">
        <f>IF(F336=0,I336*2,F336/$N$603+I336)</f>
        <v>1073.50369964621</v>
      </c>
      <c r="K336" s="18" t="n">
        <f>ROW(K336)-1</f>
        <v>335</v>
      </c>
      <c r="L336" s="18" t="e">
        <f t="array" ref="L336">INDEX(TOP3277!#REF!,MATCH(C336,TOP3277!$B$501:$B$3035,0))</f>
        <v>#N/A</v>
      </c>
    </row>
    <row r="337" ht="14.399999999999999" customHeight="1">
      <c r="A337" s="14" t="n">
        <v>11641</v>
      </c>
      <c r="B337" s="10" t="s">
        <v>8386</v>
      </c>
      <c r="C337" s="10" t="s">
        <v>8387</v>
      </c>
      <c r="D337" s="13" t="n">
        <v>1454</v>
      </c>
      <c r="E337" s="13" t="n">
        <v>2322</v>
      </c>
      <c r="F337" s="11" t="n">
        <f>SUM(D337+E337)/2</f>
        <v>1888</v>
      </c>
      <c r="G337" s="18" t="n">
        <v>601</v>
      </c>
      <c r="H337" s="18" t="n">
        <v>865</v>
      </c>
      <c r="I337" s="11" t="n">
        <f>SUM(G337+H337)/2</f>
        <v>733</v>
      </c>
      <c r="J337" s="16" t="n">
        <f>IF(F337=0,I337*2,F337/$N$603+I337)</f>
        <v>1072.15997835379</v>
      </c>
      <c r="K337" s="18" t="n">
        <f>ROW(K337)-1</f>
        <v>336</v>
      </c>
      <c r="L337" s="18" t="e">
        <f t="array" ref="L337">INDEX(TOP3277!#REF!,MATCH(C337,TOP3277!$B$501:$B$3035,0))</f>
        <v>#N/A</v>
      </c>
    </row>
    <row r="338" ht="14.399999999999999" customHeight="1">
      <c r="A338" s="14" t="n">
        <v>9493</v>
      </c>
      <c r="B338" s="10" t="s">
        <v>8388</v>
      </c>
      <c r="C338" s="10" t="s">
        <v>8389</v>
      </c>
      <c r="D338" s="10" t="n">
        <v>643</v>
      </c>
      <c r="E338" s="13" t="n">
        <v>1029</v>
      </c>
      <c r="F338" s="11" t="n">
        <f>SUM(D338+E338)/2</f>
        <v>836</v>
      </c>
      <c r="G338" s="18" t="n">
        <v>734</v>
      </c>
      <c r="H338" s="12" t="n">
        <v>1101</v>
      </c>
      <c r="I338" s="11" t="n">
        <f>SUM(G338+H338)/2</f>
        <v>917.5</v>
      </c>
      <c r="J338" s="16" t="n">
        <f>IF(F338=0,I338*2,F338/$N$603+I338)</f>
        <v>1067.67888872022</v>
      </c>
      <c r="K338" s="18" t="n">
        <f>ROW(K338)-1</f>
        <v>337</v>
      </c>
      <c r="L338" s="18" t="e">
        <f t="array" ref="L338">INDEX(TOP3277!#REF!,MATCH(C338,TOP3277!$B$501:$B$3035,0))</f>
        <v>#N/A</v>
      </c>
    </row>
    <row r="339" ht="14.399999999999999" customHeight="1">
      <c r="A339" s="10" t="n">
        <v>382</v>
      </c>
      <c r="B339" s="10" t="s">
        <v>606</v>
      </c>
      <c r="C339" s="10" t="s">
        <v>2105</v>
      </c>
      <c r="D339" s="13" t="n">
        <v>1017</v>
      </c>
      <c r="E339" s="13" t="n">
        <v>1623</v>
      </c>
      <c r="F339" s="11" t="n">
        <f>SUM(D339+E339)/2</f>
        <v>1320</v>
      </c>
      <c r="G339" s="18" t="n">
        <v>720</v>
      </c>
      <c r="H339" s="18" t="n">
        <v>906</v>
      </c>
      <c r="I339" s="11" t="n">
        <f>SUM(G339+H339)/2</f>
        <v>813</v>
      </c>
      <c r="J339" s="16" t="n">
        <f>IF(F339=0,I339*2,F339/$N$603+I339)</f>
        <v>1050.12456113719</v>
      </c>
      <c r="K339" s="18" t="n">
        <f>ROW(K339)-1</f>
        <v>338</v>
      </c>
      <c r="L339" s="18" t="n">
        <f t="array" ref="L339">INDEX(TOP3277!#REF!,MATCH(C339,TOP3277!$B$501:$B$3035,0))</f>
        <v>1626</v>
      </c>
    </row>
    <row r="340" ht="14.399999999999999" customHeight="1">
      <c r="A340" s="14" t="n">
        <v>15702</v>
      </c>
      <c r="B340" s="10" t="s">
        <v>8390</v>
      </c>
      <c r="C340" s="10" t="s">
        <v>8391</v>
      </c>
      <c r="D340" s="13" t="n">
        <v>1696</v>
      </c>
      <c r="E340" s="13" t="n">
        <v>2710</v>
      </c>
      <c r="F340" s="11" t="n">
        <f>SUM(D340+E340)/2</f>
        <v>2203</v>
      </c>
      <c r="G340" s="18" t="n">
        <v>504</v>
      </c>
      <c r="H340" s="18" t="n">
        <v>796</v>
      </c>
      <c r="I340" s="11" t="n">
        <f>SUM(G340+H340)/2</f>
        <v>650</v>
      </c>
      <c r="J340" s="16" t="n">
        <f>IF(F340=0,I340*2,F340/$N$603+I340)</f>
        <v>1045.74652135244</v>
      </c>
      <c r="K340" s="18" t="n">
        <f>ROW(K340)-1</f>
        <v>339</v>
      </c>
      <c r="L340" s="18" t="e">
        <f t="array" ref="L340">INDEX(TOP3277!#REF!,MATCH(C340,TOP3277!$B$501:$B$3035,0))</f>
        <v>#N/A</v>
      </c>
    </row>
    <row r="341" ht="14.399999999999999" customHeight="1">
      <c r="A341" s="10" t="n">
        <v>341</v>
      </c>
      <c r="B341" s="10" t="s">
        <v>434</v>
      </c>
      <c r="C341" s="10" t="s">
        <v>435</v>
      </c>
      <c r="D341" s="10" t="n">
        <f t="array" ref="D341">INDEX('原始数据'!C$2:C$3689,MATCH($C341,'原始数据'!$B$2:$B$3689,0))</f>
        <v>1391</v>
      </c>
      <c r="E341" s="10" t="n">
        <f t="array" ref="E341">INDEX('原始数据'!D$2:D$3689,MATCH($C341,'原始数据'!$B$2:$B$3689,0))</f>
        <v>2223</v>
      </c>
      <c r="F341" s="11" t="n">
        <f t="array" ref="F341">INDEX('原始数据'!E$2:E$3689,MATCH($C341,'原始数据'!$B$2:$B$3689,0))</f>
        <v>1807</v>
      </c>
      <c r="G341" s="10" t="n">
        <f t="array" ref="G341">INDEX('原始数据'!F$2:F$3689,MATCH($C341,'原始数据'!$B$2:$B$3689,0))</f>
        <v>652</v>
      </c>
      <c r="H341" s="10" t="n">
        <f t="array" ref="H341">INDEX('原始数据'!G$2:G$3689,MATCH($C341,'原始数据'!$B$2:$B$3689,0))</f>
        <v>783</v>
      </c>
      <c r="I341" s="11" t="n">
        <f t="array" ref="I341">INDEX('原始数据'!H$2:H$3689,MATCH($C341,'原始数据'!$B$2:$B$3689,0))</f>
        <v>717.5</v>
      </c>
      <c r="J341" s="16" t="n">
        <f>IF(F341=0,I341*2,F341/$N$603+I341)</f>
        <v>1042.10915301129</v>
      </c>
      <c r="K341" s="18" t="n">
        <f>ROW(K341)-1</f>
        <v>340</v>
      </c>
      <c r="L341" s="18" t="n">
        <f t="array" ref="L341">INDEX(TOP3277!#REF!,MATCH(C341,TOP3277!$B$501:$B$3035,0))</f>
        <v>1615</v>
      </c>
    </row>
    <row r="342" ht="14.399999999999999" customHeight="1">
      <c r="A342" s="10" t="n">
        <v>317</v>
      </c>
      <c r="B342" s="10" t="s">
        <v>580</v>
      </c>
      <c r="C342" s="10" t="s">
        <v>1054</v>
      </c>
      <c r="D342" s="10" t="n">
        <v>577</v>
      </c>
      <c r="E342" s="10" t="n">
        <v>921</v>
      </c>
      <c r="F342" s="11" t="n">
        <f>SUM(D342+E342)/2</f>
        <v>749</v>
      </c>
      <c r="G342" s="18" t="n">
        <v>725</v>
      </c>
      <c r="H342" s="12" t="n">
        <v>1081</v>
      </c>
      <c r="I342" s="11" t="n">
        <f>SUM(G342+H342)/2</f>
        <v>903</v>
      </c>
      <c r="J342" s="16" t="n">
        <f>IF(F342=0,I342*2,F342/$N$603+I342)</f>
        <v>1037.55022446345</v>
      </c>
      <c r="K342" s="18" t="n">
        <f>ROW(K342)-1</f>
        <v>341</v>
      </c>
      <c r="L342" s="18" t="n">
        <f t="array" ref="L342">INDEX(TOP3277!#REF!,MATCH(C342,TOP3277!$B$501:$B$3035,0))</f>
        <v>1624</v>
      </c>
    </row>
    <row r="343" ht="14.399999999999999" customHeight="1">
      <c r="A343" s="14" t="n">
        <v>12068</v>
      </c>
      <c r="B343" s="10" t="s">
        <v>8392</v>
      </c>
      <c r="C343" s="10" t="s">
        <v>8393</v>
      </c>
      <c r="D343" s="10" t="n">
        <v>534</v>
      </c>
      <c r="E343" s="10" t="n">
        <v>852</v>
      </c>
      <c r="F343" s="11" t="n">
        <f>SUM(D343+E343)/2</f>
        <v>693</v>
      </c>
      <c r="G343" s="18" t="n">
        <v>737</v>
      </c>
      <c r="H343" s="12" t="n">
        <v>1088</v>
      </c>
      <c r="I343" s="11" t="n">
        <f>SUM(G343+H343)/2</f>
        <v>912.5</v>
      </c>
      <c r="J343" s="16" t="n">
        <f>IF(F343=0,I343*2,F343/$N$603+I343)</f>
        <v>1036.99039459702</v>
      </c>
      <c r="K343" s="18" t="n">
        <f>ROW(K343)-1</f>
        <v>342</v>
      </c>
      <c r="L343" s="18" t="e">
        <f t="array" ref="L343">INDEX(TOP3277!#REF!,MATCH(C343,TOP3277!$B$501:$B$3035,0))</f>
        <v>#N/A</v>
      </c>
    </row>
    <row r="344" ht="14.399999999999999" customHeight="1">
      <c r="A344" s="14" t="n">
        <v>15474</v>
      </c>
      <c r="B344" s="10" t="s">
        <v>8394</v>
      </c>
      <c r="C344" s="10" t="s">
        <v>8395</v>
      </c>
      <c r="D344" s="10" t="n">
        <v>116</v>
      </c>
      <c r="E344" s="10" t="n">
        <v>190</v>
      </c>
      <c r="F344" s="11" t="n">
        <f>SUM(D344+E344)/2</f>
        <v>153</v>
      </c>
      <c r="G344" s="18" t="n">
        <v>864</v>
      </c>
      <c r="H344" s="12" t="n">
        <v>1142</v>
      </c>
      <c r="I344" s="11" t="n">
        <f>SUM(G344+H344)/2</f>
        <v>1003</v>
      </c>
      <c r="J344" s="16" t="n">
        <f>IF(F344=0,I344*2,F344/$N$603+I344)</f>
        <v>1030.48489231363</v>
      </c>
      <c r="K344" s="18" t="n">
        <f>ROW(K344)-1</f>
        <v>343</v>
      </c>
      <c r="L344" s="18" t="e">
        <f t="array" ref="L344">INDEX(TOP3277!#REF!,MATCH(C344,TOP3277!$B$501:$B$3035,0))</f>
        <v>#N/A</v>
      </c>
    </row>
    <row r="345" ht="14.399999999999999" customHeight="1">
      <c r="A345" s="14" t="n">
        <v>8738</v>
      </c>
      <c r="B345" s="10" t="s">
        <v>408</v>
      </c>
      <c r="C345" s="10" t="s">
        <v>8396</v>
      </c>
      <c r="D345" s="10" t="n">
        <v>933</v>
      </c>
      <c r="E345" s="13" t="n">
        <v>1491</v>
      </c>
      <c r="F345" s="11" t="n">
        <f>SUM(D345+E345)/2</f>
        <v>1212</v>
      </c>
      <c r="G345" s="18" t="n">
        <v>664</v>
      </c>
      <c r="H345" s="18" t="n">
        <v>936</v>
      </c>
      <c r="I345" s="11" t="n">
        <f>SUM(G345+H345)/2</f>
        <v>800</v>
      </c>
      <c r="J345" s="16" t="n">
        <f>IF(F345=0,I345*2,F345/$N$603+I345)</f>
        <v>1017.72346068051</v>
      </c>
      <c r="K345" s="18" t="n">
        <f>ROW(K345)-1</f>
        <v>344</v>
      </c>
      <c r="L345" s="18" t="e">
        <f t="array" ref="L345">INDEX(TOP3277!#REF!,MATCH(C345,TOP3277!$B$501:$B$3035,0))</f>
        <v>#N/A</v>
      </c>
    </row>
    <row r="346" ht="14.399999999999999" customHeight="1">
      <c r="A346" s="14" t="n">
        <v>14974</v>
      </c>
      <c r="B346" s="10" t="s">
        <v>384</v>
      </c>
      <c r="C346" s="10" t="s">
        <v>385</v>
      </c>
      <c r="D346" s="13" t="n">
        <v>1805</v>
      </c>
      <c r="E346" s="13" t="n">
        <v>2885</v>
      </c>
      <c r="F346" s="11" t="n">
        <f>SUM(D346+E346)/2</f>
        <v>2345</v>
      </c>
      <c r="G346" s="18" t="n">
        <v>550</v>
      </c>
      <c r="H346" s="18" t="n">
        <v>635</v>
      </c>
      <c r="I346" s="11" t="n">
        <f>SUM(G346+H346)/2</f>
        <v>592.5</v>
      </c>
      <c r="J346" s="16" t="n">
        <f>IF(F346=0,I346*2,F346/$N$603+I346)</f>
        <v>1013.75537565659</v>
      </c>
      <c r="K346" s="18" t="n">
        <f>ROW(K346)-1</f>
        <v>345</v>
      </c>
      <c r="L346" s="18" t="e">
        <f t="array" ref="L346">INDEX(TOP3277!#REF!,MATCH(C346,TOP3277!$B$501:$B$3035,0))</f>
        <v>#N/A</v>
      </c>
    </row>
    <row r="347" ht="14.399999999999999" customHeight="1">
      <c r="A347" s="10" t="n">
        <v>321</v>
      </c>
      <c r="B347" s="10" t="s">
        <v>1372</v>
      </c>
      <c r="C347" s="10" t="s">
        <v>1373</v>
      </c>
      <c r="D347" s="13" t="n">
        <v>2763</v>
      </c>
      <c r="E347" s="13" t="n">
        <v>4413</v>
      </c>
      <c r="F347" s="11" t="n">
        <f>SUM(D347+E347)/2</f>
        <v>3588</v>
      </c>
      <c r="G347" s="18" t="n">
        <v>279</v>
      </c>
      <c r="H347" s="18" t="n">
        <v>427</v>
      </c>
      <c r="I347" s="11" t="n">
        <f>SUM(G347+H347)/2</f>
        <v>353</v>
      </c>
      <c r="J347" s="16" t="n">
        <f>IF(F347=0,I347*2,F347/$N$603+I347)</f>
        <v>997.547670727443</v>
      </c>
      <c r="K347" s="18" t="n">
        <f>ROW(K347)-1</f>
        <v>346</v>
      </c>
      <c r="L347" s="18" t="n">
        <f t="array" ref="L347">INDEX(TOP3277!#REF!,MATCH(C347,TOP3277!$B$501:$B$3035,0))</f>
        <v>1618</v>
      </c>
    </row>
    <row r="348" ht="14.399999999999999" customHeight="1">
      <c r="A348" s="10" t="n">
        <v>320</v>
      </c>
      <c r="B348" s="10" t="s">
        <v>426</v>
      </c>
      <c r="C348" s="10" t="s">
        <v>2093</v>
      </c>
      <c r="D348" s="13" t="n">
        <v>1683</v>
      </c>
      <c r="E348" s="13" t="n">
        <v>2687</v>
      </c>
      <c r="F348" s="11" t="n">
        <f>SUM(D348+E348)/2</f>
        <v>2185</v>
      </c>
      <c r="G348" s="18" t="n">
        <v>539</v>
      </c>
      <c r="H348" s="18" t="n">
        <v>636</v>
      </c>
      <c r="I348" s="11" t="n">
        <f>SUM(G348+H348)/2</f>
        <v>587.5</v>
      </c>
      <c r="J348" s="16" t="n">
        <f>IF(F348=0,I348*2,F348/$N$603+I348)</f>
        <v>980.013004609661</v>
      </c>
      <c r="K348" s="18" t="n">
        <f>ROW(K348)-1</f>
        <v>347</v>
      </c>
      <c r="L348" s="18" t="n">
        <f t="array" ref="L348">INDEX(TOP3277!#REF!,MATCH(C348,TOP3277!$B$501:$B$3035,0))</f>
        <v>1620</v>
      </c>
    </row>
    <row r="349" ht="14.399999999999999" customHeight="1">
      <c r="A349" s="10" t="n">
        <v>285</v>
      </c>
      <c r="B349" s="10" t="s">
        <v>286</v>
      </c>
      <c r="C349" s="10" t="s">
        <v>287</v>
      </c>
      <c r="D349" s="13" t="n">
        <v>3409</v>
      </c>
      <c r="E349" s="13" t="n">
        <v>5445</v>
      </c>
      <c r="F349" s="11" t="n">
        <f>SUM(D349+E349)/2</f>
        <v>4427</v>
      </c>
      <c r="G349" s="18" t="n">
        <v>146</v>
      </c>
      <c r="H349" s="18" t="n">
        <v>216</v>
      </c>
      <c r="I349" s="11" t="n">
        <f>SUM(G349+H349)/2</f>
        <v>181</v>
      </c>
      <c r="J349" s="16" t="n">
        <f>IF(F349=0,I349*2,F349/$N$603+I349)</f>
        <v>976.265478904791</v>
      </c>
      <c r="K349" s="18" t="n">
        <f>ROW(K349)-1</f>
        <v>348</v>
      </c>
      <c r="L349" s="18" t="e">
        <f t="array" ref="L349">INDEX(TOP3277!#REF!,MATCH(C349,TOP3277!$B$501:$B$3035,0))</f>
        <v>#N/A</v>
      </c>
    </row>
    <row r="350" ht="14.399999999999999" customHeight="1">
      <c r="A350" s="10" t="n">
        <v>467</v>
      </c>
      <c r="B350" s="10" t="s">
        <v>432</v>
      </c>
      <c r="C350" s="10" t="s">
        <v>433</v>
      </c>
      <c r="D350" s="10" t="n">
        <f t="array" ref="D350">INDEX('原始数据'!C$2:C$3689,MATCH($C350,'原始数据'!$B$2:$B$3689,0))</f>
        <v>944</v>
      </c>
      <c r="E350" s="10" t="n">
        <f t="array" ref="E350">INDEX('原始数据'!D$2:D$3689,MATCH($C350,'原始数据'!$B$2:$B$3689,0))</f>
        <v>1510</v>
      </c>
      <c r="F350" s="11" t="n">
        <f t="array" ref="F350">INDEX('原始数据'!E$2:E$3689,MATCH($C350,'原始数据'!$B$2:$B$3689,0))</f>
        <v>1227</v>
      </c>
      <c r="G350" s="10" t="n">
        <f t="array" ref="G350">INDEX('原始数据'!F$2:F$3689,MATCH($C350,'原始数据'!$B$2:$B$3689,0))</f>
        <v>627</v>
      </c>
      <c r="H350" s="10" t="n">
        <f t="array" ref="H350">INDEX('原始数据'!G$2:G$3689,MATCH($C350,'原始数据'!$B$2:$B$3689,0))</f>
        <v>880</v>
      </c>
      <c r="I350" s="11" t="n">
        <f t="array" ref="I350">INDEX('原始数据'!H$2:H$3689,MATCH($C350,'原始数据'!$B$2:$B$3689,0))</f>
        <v>753.5</v>
      </c>
      <c r="J350" s="16" t="n">
        <f>IF(F350=0,I350*2,F350/$N$603+I350)</f>
        <v>973.918057966157</v>
      </c>
      <c r="K350" s="18" t="n">
        <f>ROW(K350)-1</f>
        <v>349</v>
      </c>
      <c r="L350" s="18" t="n">
        <f t="array" ref="L350">INDEX(TOP3277!#REF!,MATCH(C350,TOP3277!$B$501:$B$3035,0))</f>
        <v>1621</v>
      </c>
    </row>
    <row r="351" ht="14.399999999999999" customHeight="1">
      <c r="A351" s="14" t="n">
        <v>14682</v>
      </c>
      <c r="B351" s="10" t="s">
        <v>8397</v>
      </c>
      <c r="C351" s="10" t="s">
        <v>8398</v>
      </c>
      <c r="D351" s="13" t="n">
        <v>2416</v>
      </c>
      <c r="E351" s="13" t="n">
        <v>3856</v>
      </c>
      <c r="F351" s="11" t="n">
        <f>SUM(D351+E351)/2</f>
        <v>3136</v>
      </c>
      <c r="G351" s="18" t="n">
        <v>357</v>
      </c>
      <c r="H351" s="18" t="n">
        <v>423</v>
      </c>
      <c r="I351" s="11" t="n">
        <f>SUM(G351+H351)/2</f>
        <v>390</v>
      </c>
      <c r="J351" s="16" t="n">
        <f>IF(F351=0,I351*2,F351/$N$603+I351)</f>
        <v>953.350472519861</v>
      </c>
      <c r="K351" s="18" t="n">
        <f>ROW(K351)-1</f>
        <v>350</v>
      </c>
      <c r="L351" s="18" t="e">
        <f t="array" ref="L351">INDEX(TOP3277!#REF!,MATCH(C351,TOP3277!$B$501:$B$3035,0))</f>
        <v>#N/A</v>
      </c>
    </row>
    <row r="352" ht="14.399999999999999" customHeight="1">
      <c r="A352" s="10" t="n">
        <v>289</v>
      </c>
      <c r="B352" s="10" t="s">
        <v>334</v>
      </c>
      <c r="C352" s="10" t="s">
        <v>335</v>
      </c>
      <c r="D352" s="10" t="n">
        <f t="array" ref="D352">INDEX('原始数据'!C$2:C$3689,MATCH($C352,'原始数据'!$B$2:$B$3689,0))</f>
        <v>2653</v>
      </c>
      <c r="E352" s="10" t="n">
        <f t="array" ref="E352">INDEX('原始数据'!D$2:D$3689,MATCH($C352,'原始数据'!$B$2:$B$3689,0))</f>
        <v>4239</v>
      </c>
      <c r="F352" s="11" t="n">
        <f t="array" ref="F352">INDEX('原始数据'!E$2:E$3689,MATCH($C352,'原始数据'!$B$2:$B$3689,0))</f>
        <v>3446</v>
      </c>
      <c r="G352" s="10" t="n">
        <f t="array" ref="G352">INDEX('原始数据'!F$2:F$3689,MATCH($C352,'原始数据'!$B$2:$B$3689,0))</f>
        <v>274</v>
      </c>
      <c r="H352" s="10" t="n">
        <f t="array" ref="H352">INDEX('原始数据'!G$2:G$3689,MATCH($C352,'原始数据'!$B$2:$B$3689,0))</f>
        <v>392</v>
      </c>
      <c r="I352" s="11" t="n">
        <f t="array" ref="I352">INDEX('原始数据'!H$2:H$3689,MATCH($C352,'原始数据'!$B$2:$B$3689,0))</f>
        <v>333</v>
      </c>
      <c r="J352" s="16" t="n">
        <f>IF(F352=0,I352*2,F352/$N$603+I352)</f>
        <v>952.038816423292</v>
      </c>
      <c r="K352" s="18" t="n">
        <f>ROW(K352)-1</f>
        <v>351</v>
      </c>
      <c r="L352" s="18" t="n">
        <f t="array" ref="L352">INDEX(TOP3277!#REF!,MATCH(C352,TOP3277!$B$501:$B$3035,0))</f>
        <v>1617</v>
      </c>
    </row>
    <row r="353" ht="14.399999999999999" customHeight="1">
      <c r="A353" s="10" t="n">
        <v>326</v>
      </c>
      <c r="B353" s="10" t="s">
        <v>1370</v>
      </c>
      <c r="C353" s="10" t="s">
        <v>1371</v>
      </c>
      <c r="D353" s="10" t="n">
        <f t="array" ref="D353">INDEX('原始数据'!C$2:C$3689,MATCH($C353,'原始数据'!$B$2:$B$3689,0))</f>
        <v>3523</v>
      </c>
      <c r="E353" s="10" t="n">
        <f t="array" ref="E353">INDEX('原始数据'!D$2:D$3689,MATCH($C353,'原始数据'!$B$2:$B$3689,0))</f>
        <v>5627</v>
      </c>
      <c r="F353" s="11" t="n">
        <f t="array" ref="F353">INDEX('原始数据'!E$2:E$3689,MATCH($C353,'原始数据'!$B$2:$B$3689,0))</f>
        <v>4575</v>
      </c>
      <c r="G353" s="10" t="n">
        <f t="array" ref="G353">INDEX('原始数据'!F$2:F$3689,MATCH($C353,'原始数据'!$B$2:$B$3689,0))</f>
        <v>107</v>
      </c>
      <c r="H353" s="10" t="n">
        <f t="array" ref="H353">INDEX('原始数据'!G$2:G$3689,MATCH($C353,'原始数据'!$B$2:$B$3689,0))</f>
        <v>136</v>
      </c>
      <c r="I353" s="11" t="n">
        <f t="array" ref="I353">INDEX('原始数据'!H$2:H$3689,MATCH($C353,'原始数据'!$B$2:$B$3689,0))</f>
        <v>121.5</v>
      </c>
      <c r="J353" s="16" t="n">
        <f>IF(F353=0,I353*2,F353/$N$603+I353)</f>
        <v>943.352172123203</v>
      </c>
      <c r="K353" s="18" t="n">
        <f>ROW(K353)-1</f>
        <v>352</v>
      </c>
      <c r="L353" s="18" t="n">
        <f t="array" ref="L353">INDEX(TOP3277!#REF!,MATCH(C353,TOP3277!$B$501:$B$3035,0))</f>
        <v>1616</v>
      </c>
    </row>
    <row r="354" ht="14.399999999999999" customHeight="1">
      <c r="A354" s="10" t="n">
        <v>316</v>
      </c>
      <c r="B354" s="10" t="s">
        <v>506</v>
      </c>
      <c r="C354" s="10" t="s">
        <v>507</v>
      </c>
      <c r="D354" s="10" t="n">
        <f t="array" ref="D354">INDEX('原始数据'!C$2:C$3689,MATCH($C354,'原始数据'!$B$2:$B$3689,0))</f>
        <v>1155</v>
      </c>
      <c r="E354" s="10" t="n">
        <f t="array" ref="E354">INDEX('原始数据'!D$2:D$3689,MATCH($C354,'原始数据'!$B$2:$B$3689,0))</f>
        <v>1843</v>
      </c>
      <c r="F354" s="11" t="n">
        <f t="array" ref="F354">INDEX('原始数据'!E$2:E$3689,MATCH($C354,'原始数据'!$B$2:$B$3689,0))</f>
        <v>1499</v>
      </c>
      <c r="G354" s="10" t="n">
        <f t="array" ref="G354">INDEX('原始数据'!F$2:F$3689,MATCH($C354,'原始数据'!$B$2:$B$3689,0))</f>
        <v>583</v>
      </c>
      <c r="H354" s="10" t="n">
        <f t="array" ref="H354">INDEX('原始数据'!G$2:G$3689,MATCH($C354,'原始数据'!$B$2:$B$3689,0))</f>
        <v>719</v>
      </c>
      <c r="I354" s="11" t="n">
        <f t="array" ref="I354">INDEX('原始数据'!H$2:H$3689,MATCH($C354,'原始数据'!$B$2:$B$3689,0))</f>
        <v>651</v>
      </c>
      <c r="J354" s="16" t="n">
        <f>IF(F354=0,I354*2,F354/$N$603+I354)</f>
        <v>920.280088745941</v>
      </c>
      <c r="K354" s="18" t="n">
        <f>ROW(K354)-1</f>
        <v>353</v>
      </c>
      <c r="L354" s="18" t="n">
        <f t="array" ref="L354">INDEX(TOP3277!#REF!,MATCH(C354,TOP3277!$B$501:$B$3035,0))</f>
        <v>1623</v>
      </c>
    </row>
    <row r="355" ht="14.399999999999999" customHeight="1">
      <c r="A355" s="14" t="n">
        <v>13239</v>
      </c>
      <c r="B355" s="10" t="s">
        <v>8399</v>
      </c>
      <c r="C355" s="10" t="s">
        <v>8400</v>
      </c>
      <c r="D355" s="10" t="n">
        <v>174</v>
      </c>
      <c r="E355" s="10" t="n">
        <v>278</v>
      </c>
      <c r="F355" s="11" t="n">
        <f>SUM(D355+E355)/2</f>
        <v>226</v>
      </c>
      <c r="G355" s="18" t="n">
        <v>733</v>
      </c>
      <c r="H355" s="12" t="n">
        <v>1007</v>
      </c>
      <c r="I355" s="11" t="n">
        <f>SUM(G355+H355)/2</f>
        <v>870</v>
      </c>
      <c r="J355" s="16" t="n">
        <f>IF(F355=0,I355*2,F355/$N$603+I355)</f>
        <v>910.598599103791</v>
      </c>
      <c r="K355" s="18" t="n">
        <f>ROW(K355)-1</f>
        <v>354</v>
      </c>
      <c r="L355" s="18" t="e">
        <f t="array" ref="L355">INDEX(TOP3277!#REF!,MATCH(C355,TOP3277!$B$501:$B$3035,0))</f>
        <v>#N/A</v>
      </c>
    </row>
    <row r="356" ht="14.399999999999999" customHeight="1">
      <c r="A356" s="10" t="n">
        <v>401</v>
      </c>
      <c r="B356" s="10" t="s">
        <v>404</v>
      </c>
      <c r="C356" s="10" t="s">
        <v>405</v>
      </c>
      <c r="D356" s="13" t="n">
        <v>1991</v>
      </c>
      <c r="E356" s="13" t="n">
        <v>3179</v>
      </c>
      <c r="F356" s="11" t="n">
        <f>SUM(D356+E356)/2</f>
        <v>2585</v>
      </c>
      <c r="G356" s="18" t="n">
        <v>376</v>
      </c>
      <c r="H356" s="18" t="n">
        <v>514</v>
      </c>
      <c r="I356" s="11" t="n">
        <f>SUM(G356+H356)/2</f>
        <v>445</v>
      </c>
      <c r="J356" s="16" t="n">
        <f>IF(F356=0,I356*2,F356/$N$603+I356)</f>
        <v>909.36893222699</v>
      </c>
      <c r="K356" s="18" t="n">
        <f>ROW(K356)-1</f>
        <v>355</v>
      </c>
      <c r="L356" s="18" t="e">
        <f t="array" ref="L356">INDEX(TOP3277!#REF!,MATCH(C356,TOP3277!$B$501:$B$3035,0))</f>
        <v>#N/A</v>
      </c>
    </row>
    <row r="357" ht="14.399999999999999" customHeight="1">
      <c r="A357" s="10" t="n">
        <v>422</v>
      </c>
      <c r="B357" s="10" t="s">
        <v>8401</v>
      </c>
      <c r="C357" s="10" t="s">
        <v>8402</v>
      </c>
      <c r="D357" s="13" t="n">
        <v>1116</v>
      </c>
      <c r="E357" s="13" t="n">
        <v>1784</v>
      </c>
      <c r="F357" s="11" t="n">
        <f>SUM(D357+E357)/2</f>
        <v>1450</v>
      </c>
      <c r="G357" s="18" t="n">
        <v>549</v>
      </c>
      <c r="H357" s="18" t="n">
        <v>746</v>
      </c>
      <c r="I357" s="11" t="n">
        <f>SUM(G357+H357)/2</f>
        <v>647.5</v>
      </c>
      <c r="J357" s="16" t="n">
        <f>IF(F357=0,I357*2,F357/$N$603+I357)</f>
        <v>907.977737612819</v>
      </c>
      <c r="K357" s="18" t="n">
        <f>ROW(K357)-1</f>
        <v>356</v>
      </c>
      <c r="L357" s="18" t="e">
        <f t="array" ref="L357">INDEX(TOP3277!#REF!,MATCH(C357,TOP3277!$B$501:$B$3035,0))</f>
        <v>#N/A</v>
      </c>
    </row>
    <row r="358" ht="14.399999999999999" customHeight="1">
      <c r="A358" s="14" t="n">
        <v>7177</v>
      </c>
      <c r="B358" s="10" t="s">
        <v>8403</v>
      </c>
      <c r="C358" s="10" t="s">
        <v>8404</v>
      </c>
      <c r="D358" s="13" t="n">
        <v>1115</v>
      </c>
      <c r="E358" s="13" t="n">
        <v>1781</v>
      </c>
      <c r="F358" s="11" t="n">
        <f>SUM(D358+E358)/2</f>
        <v>1448</v>
      </c>
      <c r="G358" s="18" t="n">
        <v>561</v>
      </c>
      <c r="H358" s="18" t="n">
        <v>699</v>
      </c>
      <c r="I358" s="11" t="n">
        <f>SUM(G358+H358)/2</f>
        <v>630</v>
      </c>
      <c r="J358" s="16" t="n">
        <f>IF(F358=0,I358*2,F358/$N$603+I358)</f>
        <v>890.118457974732</v>
      </c>
      <c r="K358" s="18" t="n">
        <f>ROW(K358)-1</f>
        <v>357</v>
      </c>
      <c r="L358" s="18" t="e">
        <f t="array" ref="L358">INDEX(TOP3277!#REF!,MATCH(C358,TOP3277!$B$501:$B$3035,0))</f>
        <v>#N/A</v>
      </c>
    </row>
    <row r="359" ht="14.399999999999999" customHeight="1">
      <c r="A359" s="14" t="n">
        <v>12335</v>
      </c>
      <c r="B359" s="10" t="s">
        <v>8405</v>
      </c>
      <c r="C359" s="10" t="s">
        <v>8406</v>
      </c>
      <c r="D359" s="10" t="n">
        <v>653</v>
      </c>
      <c r="E359" s="13" t="n">
        <v>1043</v>
      </c>
      <c r="F359" s="11" t="n">
        <f>SUM(D359+E359)/2</f>
        <v>848</v>
      </c>
      <c r="G359" s="18" t="n">
        <v>608</v>
      </c>
      <c r="H359" s="18" t="n">
        <v>852</v>
      </c>
      <c r="I359" s="11" t="n">
        <f>SUM(G359+H359)/2</f>
        <v>730</v>
      </c>
      <c r="J359" s="16" t="n">
        <f>IF(F359=0,I359*2,F359/$N$603+I359)</f>
        <v>882.334566548738</v>
      </c>
      <c r="K359" s="18" t="n">
        <f>ROW(K359)-1</f>
        <v>358</v>
      </c>
      <c r="L359" s="18" t="e">
        <f t="array" ref="L359">INDEX(TOP3277!#REF!,MATCH(C359,TOP3277!$B$501:$B$3035,0))</f>
        <v>#N/A</v>
      </c>
    </row>
    <row r="360" ht="14.399999999999999" customHeight="1">
      <c r="A360" s="14" t="n">
        <v>13267</v>
      </c>
      <c r="B360" s="10" t="s">
        <v>8407</v>
      </c>
      <c r="C360" s="10" t="s">
        <v>5289</v>
      </c>
      <c r="D360" s="10" t="n">
        <f t="array" ref="D360">INDEX('原始数据'!C$2:C$3689,MATCH($C360,'原始数据'!$B$2:$B$3689,0))</f>
        <v>354</v>
      </c>
      <c r="E360" s="10" t="n">
        <f t="array" ref="E360">INDEX('原始数据'!D$2:D$3689,MATCH($C360,'原始数据'!$B$2:$B$3689,0))</f>
        <v>568</v>
      </c>
      <c r="F360" s="11" t="n">
        <f t="array" ref="F360">INDEX('原始数据'!E$2:E$3689,MATCH($C360,'原始数据'!$B$2:$B$3689,0))</f>
        <v>461</v>
      </c>
      <c r="G360" s="10" t="n">
        <f t="array" ref="G360">INDEX('原始数据'!F$2:F$3689,MATCH($C360,'原始数据'!$B$2:$B$3689,0))</f>
        <v>667</v>
      </c>
      <c r="H360" s="10" t="n">
        <f t="array" ref="H360">INDEX('原始数据'!G$2:G$3689,MATCH($C360,'原始数据'!$B$2:$B$3689,0))</f>
        <v>927</v>
      </c>
      <c r="I360" s="11" t="n">
        <f t="array" ref="I360">INDEX('原始数据'!H$2:H$3689,MATCH($C360,'原始数据'!$B$2:$B$3689,0))</f>
        <v>797</v>
      </c>
      <c r="J360" s="16" t="n">
        <f>IF(F360=0,I360*2,F360/$N$603+I360)</f>
        <v>879.813956578972</v>
      </c>
      <c r="K360" s="18" t="n">
        <f>ROW(K360)-1</f>
        <v>359</v>
      </c>
      <c r="L360" s="18" t="n">
        <f t="array" ref="L360">INDEX(TOP3277!#REF!,MATCH(C360,TOP3277!$B$501:$B$3035,0))</f>
        <v>1627</v>
      </c>
    </row>
    <row r="361" ht="14.399999999999999" customHeight="1">
      <c r="A361" s="14" t="n">
        <v>11969</v>
      </c>
      <c r="B361" s="10" t="s">
        <v>8408</v>
      </c>
      <c r="C361" s="10" t="s">
        <v>8409</v>
      </c>
      <c r="D361" s="10" t="n">
        <v>970</v>
      </c>
      <c r="E361" s="13" t="n">
        <v>1546</v>
      </c>
      <c r="F361" s="11" t="n">
        <f>SUM(D361+E361)/2</f>
        <v>1258</v>
      </c>
      <c r="G361" s="18" t="n">
        <v>601</v>
      </c>
      <c r="H361" s="18" t="n">
        <v>705</v>
      </c>
      <c r="I361" s="11" t="n">
        <f>SUM(G361+H361)/2</f>
        <v>653</v>
      </c>
      <c r="J361" s="16" t="n">
        <f>IF(F361=0,I361*2,F361/$N$603+I361)</f>
        <v>878.9868923565</v>
      </c>
      <c r="K361" s="18" t="n">
        <f>ROW(K361)-1</f>
        <v>360</v>
      </c>
      <c r="L361" s="18" t="e">
        <f t="array" ref="L361">INDEX(TOP3277!#REF!,MATCH(C361,TOP3277!$B$501:$B$3035,0))</f>
        <v>#N/A</v>
      </c>
    </row>
    <row r="362" ht="14.399999999999999" customHeight="1">
      <c r="A362" s="14" t="n">
        <v>12450</v>
      </c>
      <c r="B362" s="10" t="s">
        <v>8410</v>
      </c>
      <c r="C362" s="10" t="s">
        <v>8411</v>
      </c>
      <c r="D362" s="13" t="n">
        <v>1207</v>
      </c>
      <c r="E362" s="13" t="n">
        <v>1929</v>
      </c>
      <c r="F362" s="11" t="n">
        <f>SUM(D362+E362)/2</f>
        <v>1568</v>
      </c>
      <c r="G362" s="18" t="n">
        <v>448</v>
      </c>
      <c r="H362" s="18" t="n">
        <v>715</v>
      </c>
      <c r="I362" s="11" t="n">
        <f>SUM(G362+H362)/2</f>
        <v>581.5</v>
      </c>
      <c r="J362" s="16" t="n">
        <f>IF(F362=0,I362*2,F362/$N$603+I362)</f>
        <v>863.175236259931</v>
      </c>
      <c r="K362" s="18" t="n">
        <f>ROW(K362)-1</f>
        <v>361</v>
      </c>
      <c r="L362" s="18" t="e">
        <f t="array" ref="L362">INDEX(TOP3277!#REF!,MATCH(C362,TOP3277!$B$501:$B$3035,0))</f>
        <v>#N/A</v>
      </c>
    </row>
    <row r="363" ht="14.399999999999999" customHeight="1">
      <c r="A363" s="14" t="n">
        <v>14404</v>
      </c>
      <c r="B363" s="10" t="s">
        <v>8412</v>
      </c>
      <c r="C363" s="10" t="s">
        <v>8413</v>
      </c>
      <c r="D363" s="13" t="n">
        <v>1274</v>
      </c>
      <c r="E363" s="13" t="n">
        <v>2036</v>
      </c>
      <c r="F363" s="11" t="n">
        <f>SUM(D363+E363)/2</f>
        <v>1655</v>
      </c>
      <c r="G363" s="18" t="n">
        <v>494</v>
      </c>
      <c r="H363" s="18" t="n">
        <v>605</v>
      </c>
      <c r="I363" s="11" t="n">
        <f>SUM(G363+H363)/2</f>
        <v>549.5</v>
      </c>
      <c r="J363" s="16" t="n">
        <f>IF(F363=0,I363*2,F363/$N$603+I363)</f>
        <v>846.8039005167</v>
      </c>
      <c r="K363" s="18" t="n">
        <f>ROW(K363)-1</f>
        <v>362</v>
      </c>
      <c r="L363" s="18" t="e">
        <f t="array" ref="L363">INDEX(TOP3277!#REF!,MATCH(C363,TOP3277!$B$501:$B$3035,0))</f>
        <v>#N/A</v>
      </c>
    </row>
    <row r="364" ht="14.399999999999999" customHeight="1">
      <c r="A364" s="14" t="n">
        <v>13288</v>
      </c>
      <c r="B364" s="10" t="s">
        <v>8414</v>
      </c>
      <c r="C364" s="10" t="s">
        <v>8415</v>
      </c>
      <c r="D364" s="10" t="n">
        <v>333</v>
      </c>
      <c r="E364" s="10" t="n">
        <v>533</v>
      </c>
      <c r="F364" s="11" t="n">
        <f>SUM(D364+E364)/2</f>
        <v>433</v>
      </c>
      <c r="G364" s="18" t="n">
        <v>611</v>
      </c>
      <c r="H364" s="18" t="n">
        <v>910</v>
      </c>
      <c r="I364" s="11" t="n">
        <f>SUM(G364+H364)/2</f>
        <v>760.5</v>
      </c>
      <c r="J364" s="16" t="n">
        <f>IF(F364=0,I364*2,F364/$N$603+I364)</f>
        <v>838.284041645759</v>
      </c>
      <c r="K364" s="18" t="n">
        <f>ROW(K364)-1</f>
        <v>363</v>
      </c>
      <c r="L364" s="18" t="e">
        <f t="array" ref="L364">INDEX(TOP3277!#REF!,MATCH(C364,TOP3277!$B$501:$B$3035,0))</f>
        <v>#N/A</v>
      </c>
    </row>
    <row r="365" ht="14.399999999999999" customHeight="1">
      <c r="A365" s="14" t="n">
        <v>12777</v>
      </c>
      <c r="B365" s="10" t="s">
        <v>5290</v>
      </c>
      <c r="C365" s="10" t="s">
        <v>5291</v>
      </c>
      <c r="D365" s="10" t="n">
        <f t="array" ref="D365">INDEX('原始数据'!C$2:C$3689,MATCH($C365,'原始数据'!$B$2:$B$3689,0))</f>
        <v>1289</v>
      </c>
      <c r="E365" s="10" t="n">
        <f t="array" ref="E365">INDEX('原始数据'!D$2:D$3689,MATCH($C365,'原始数据'!$B$2:$B$3689,0))</f>
        <v>2061</v>
      </c>
      <c r="F365" s="11" t="n">
        <f t="array" ref="F365">INDEX('原始数据'!E$2:E$3689,MATCH($C365,'原始数据'!$B$2:$B$3689,0))</f>
        <v>1675</v>
      </c>
      <c r="G365" s="10" t="n">
        <f t="array" ref="G365">INDEX('原始数据'!F$2:F$3689,MATCH($C365,'原始数据'!$B$2:$B$3689,0))</f>
        <v>473</v>
      </c>
      <c r="H365" s="10" t="n">
        <f t="array" ref="H365">INDEX('原始数据'!G$2:G$3689,MATCH($C365,'原始数据'!$B$2:$B$3689,0))</f>
        <v>593</v>
      </c>
      <c r="I365" s="11" t="n">
        <f t="array" ref="I365">INDEX('原始数据'!H$2:H$3689,MATCH($C365,'原始数据'!$B$2:$B$3689,0))</f>
        <v>533</v>
      </c>
      <c r="J365" s="16" t="n">
        <f>IF(F365=0,I365*2,F365/$N$603+I365)</f>
        <v>833.896696897566</v>
      </c>
      <c r="K365" s="18" t="n">
        <f>ROW(K365)-1</f>
        <v>364</v>
      </c>
      <c r="L365" s="18" t="n">
        <f t="array" ref="L365">INDEX(TOP3277!#REF!,MATCH(C365,TOP3277!$B$501:$B$3035,0))</f>
        <v>1629</v>
      </c>
    </row>
    <row r="366" ht="14.399999999999999" customHeight="1">
      <c r="A366" s="10" t="n">
        <v>380</v>
      </c>
      <c r="B366" s="10" t="s">
        <v>456</v>
      </c>
      <c r="C366" s="10" t="s">
        <v>457</v>
      </c>
      <c r="D366" s="10" t="n">
        <v>921</v>
      </c>
      <c r="E366" s="13" t="n">
        <v>1471</v>
      </c>
      <c r="F366" s="11" t="n">
        <f>SUM(D366+E366)/2</f>
        <v>1196</v>
      </c>
      <c r="G366" s="18" t="n">
        <v>544</v>
      </c>
      <c r="H366" s="18" t="n">
        <v>645</v>
      </c>
      <c r="I366" s="11" t="n">
        <f>SUM(G366+H366)/2</f>
        <v>594.5</v>
      </c>
      <c r="J366" s="16" t="n">
        <f>IF(F366=0,I366*2,F366/$N$603+I366)</f>
        <v>809.349223575814</v>
      </c>
      <c r="K366" s="18" t="n">
        <f>ROW(K366)-1</f>
        <v>365</v>
      </c>
      <c r="L366" s="18" t="e">
        <f t="array" ref="L366">INDEX(TOP3277!#REF!,MATCH(C366,TOP3277!$B$501:$B$3035,0))</f>
        <v>#N/A</v>
      </c>
    </row>
    <row r="367" ht="14.399999999999999" customHeight="1">
      <c r="A367" s="10" t="n">
        <v>305</v>
      </c>
      <c r="B367" s="10" t="s">
        <v>350</v>
      </c>
      <c r="C367" s="10" t="s">
        <v>351</v>
      </c>
      <c r="D367" s="10" t="n">
        <f t="array" ref="D367">INDEX('原始数据'!C$2:C$3689,MATCH($C367,'原始数据'!$B$2:$B$3689,0))</f>
        <v>2160</v>
      </c>
      <c r="E367" s="10" t="n">
        <f t="array" ref="E367">INDEX('原始数据'!D$2:D$3689,MATCH($C367,'原始数据'!$B$2:$B$3689,0))</f>
        <v>3450</v>
      </c>
      <c r="F367" s="11" t="n">
        <f t="array" ref="F367">INDEX('原始数据'!E$2:E$3689,MATCH($C367,'原始数据'!$B$2:$B$3689,0))</f>
        <v>2805</v>
      </c>
      <c r="G367" s="10" t="n">
        <f t="array" ref="G367">INDEX('原始数据'!F$2:F$3689,MATCH($C367,'原始数据'!$B$2:$B$3689,0))</f>
        <v>219</v>
      </c>
      <c r="H367" s="10" t="n">
        <f t="array" ref="H367">INDEX('原始数据'!G$2:G$3689,MATCH($C367,'原始数据'!$B$2:$B$3689,0))</f>
        <v>376</v>
      </c>
      <c r="I367" s="11" t="n">
        <f t="array" ref="I367">INDEX('原始数据'!H$2:H$3689,MATCH($C367,'原始数据'!$B$2:$B$3689,0))</f>
        <v>297.5</v>
      </c>
      <c r="J367" s="16" t="n">
        <f>IF(F367=0,I367*2,F367/$N$603+I367)</f>
        <v>801.389692416521</v>
      </c>
      <c r="K367" s="18" t="n">
        <f>ROW(K367)-1</f>
        <v>366</v>
      </c>
      <c r="L367" s="18" t="n">
        <f t="array" ref="L367">INDEX(TOP3277!#REF!,MATCH(C367,TOP3277!$B$501:$B$3035,0))</f>
        <v>1628</v>
      </c>
    </row>
    <row r="368" ht="14.399999999999999" customHeight="1">
      <c r="A368" s="10" t="n">
        <v>345</v>
      </c>
      <c r="B368" s="10" t="s">
        <v>360</v>
      </c>
      <c r="C368" s="10" t="s">
        <v>361</v>
      </c>
      <c r="D368" s="13" t="n">
        <v>2357</v>
      </c>
      <c r="E368" s="13" t="n">
        <v>3767</v>
      </c>
      <c r="F368" s="11" t="n">
        <f>SUM(D368+E368)/2</f>
        <v>3062</v>
      </c>
      <c r="G368" s="18" t="n">
        <v>201</v>
      </c>
      <c r="H368" s="18" t="n">
        <v>298</v>
      </c>
      <c r="I368" s="11" t="n">
        <f>SUM(G368+H368)/2</f>
        <v>249.5</v>
      </c>
      <c r="J368" s="16" t="n">
        <f>IF(F368=0,I368*2,F368/$N$603+I368)</f>
        <v>799.557125910655</v>
      </c>
      <c r="K368" s="18" t="n">
        <f>ROW(K368)-1</f>
        <v>367</v>
      </c>
      <c r="L368" s="18" t="e">
        <f t="array" ref="L368">INDEX(TOP3277!#REF!,MATCH(C368,TOP3277!$B$501:$B$3035,0))</f>
        <v>#N/A</v>
      </c>
    </row>
    <row r="369" ht="14.399999999999999" customHeight="1">
      <c r="A369" s="10" t="n">
        <v>481</v>
      </c>
      <c r="B369" s="10" t="s">
        <v>586</v>
      </c>
      <c r="C369" s="10" t="s">
        <v>1237</v>
      </c>
      <c r="D369" s="13" t="n">
        <v>2863</v>
      </c>
      <c r="E369" s="13" t="n">
        <v>4573</v>
      </c>
      <c r="F369" s="11" t="n">
        <f>SUM(D369+E369)/2</f>
        <v>3718</v>
      </c>
      <c r="G369" s="18" t="n">
        <v>95</v>
      </c>
      <c r="H369" s="18" t="n">
        <v>141</v>
      </c>
      <c r="I369" s="11" t="n">
        <f>SUM(G369+H369)/2</f>
        <v>118</v>
      </c>
      <c r="J369" s="16" t="n">
        <f>IF(F369=0,I369*2,F369/$N$603+I369)</f>
        <v>785.900847203075</v>
      </c>
      <c r="K369" s="18" t="n">
        <f>ROW(K369)-1</f>
        <v>368</v>
      </c>
      <c r="L369" s="18" t="n">
        <f t="array" ref="L369">INDEX(TOP3277!#REF!,MATCH(C369,TOP3277!$B$501:$B$3035,0))</f>
        <v>1750</v>
      </c>
    </row>
    <row r="370" ht="14.399999999999999" customHeight="1">
      <c r="A370" s="10" t="n">
        <v>328</v>
      </c>
      <c r="B370" s="10" t="s">
        <v>520</v>
      </c>
      <c r="C370" s="10" t="s">
        <v>521</v>
      </c>
      <c r="D370" s="10" t="n">
        <f t="array" ref="D370">INDEX('原始数据'!C$2:C$3689,MATCH($C370,'原始数据'!$B$2:$B$3689,0))</f>
        <v>857</v>
      </c>
      <c r="E370" s="10" t="n">
        <f t="array" ref="E370">INDEX('原始数据'!D$2:D$3689,MATCH($C370,'原始数据'!$B$2:$B$3689,0))</f>
        <v>1369</v>
      </c>
      <c r="F370" s="11" t="n">
        <f t="array" ref="F370">INDEX('原始数据'!E$2:E$3689,MATCH($C370,'原始数据'!$B$2:$B$3689,0))</f>
        <v>1113</v>
      </c>
      <c r="G370" s="10" t="n">
        <f t="array" ref="G370">INDEX('原始数据'!F$2:F$3689,MATCH($C370,'原始数据'!$B$2:$B$3689,0))</f>
        <v>453</v>
      </c>
      <c r="H370" s="10" t="n">
        <f t="array" ref="H370">INDEX('原始数据'!G$2:G$3689,MATCH($C370,'原始数据'!$B$2:$B$3689,0))</f>
        <v>638</v>
      </c>
      <c r="I370" s="11" t="n">
        <f t="array" ref="I370">INDEX('原始数据'!H$2:H$3689,MATCH($C370,'原始数据'!$B$2:$B$3689,0))</f>
        <v>545.5</v>
      </c>
      <c r="J370" s="16" t="n">
        <f>IF(F370=0,I370*2,F370/$N$603+I370)</f>
        <v>745.439118595219</v>
      </c>
      <c r="K370" s="18" t="n">
        <f>ROW(K370)-1</f>
        <v>369</v>
      </c>
      <c r="L370" s="18" t="e">
        <f t="array" ref="L370">INDEX(TOP3277!#REF!,MATCH(C370,TOP3277!$B$501:$B$3035,0))</f>
        <v>#N/A</v>
      </c>
    </row>
    <row r="371" ht="14.399999999999999" customHeight="1">
      <c r="A371" s="14" t="n">
        <v>13887</v>
      </c>
      <c r="B371" s="10" t="s">
        <v>8416</v>
      </c>
      <c r="C371" s="10" t="s">
        <v>8417</v>
      </c>
      <c r="D371" s="10" t="n">
        <v>924</v>
      </c>
      <c r="E371" s="13" t="n">
        <v>1474</v>
      </c>
      <c r="F371" s="11" t="n">
        <f>SUM(D371+E371)/2</f>
        <v>1199</v>
      </c>
      <c r="G371" s="18" t="n">
        <v>465</v>
      </c>
      <c r="H371" s="18" t="n">
        <v>529</v>
      </c>
      <c r="I371" s="11" t="n">
        <f>SUM(G371+H371)/2</f>
        <v>497</v>
      </c>
      <c r="J371" s="16" t="n">
        <f>IF(F371=0,I371*2,F371/$N$603+I371)</f>
        <v>712.388143032944</v>
      </c>
      <c r="K371" s="18" t="n">
        <f>ROW(K371)-1</f>
        <v>370</v>
      </c>
      <c r="L371" s="18" t="e">
        <f t="array" ref="L371">INDEX(TOP3277!#REF!,MATCH(C371,TOP3277!$B$501:$B$3035,0))</f>
        <v>#N/A</v>
      </c>
    </row>
    <row r="372" ht="14.399999999999999" customHeight="1">
      <c r="A372" s="14" t="n">
        <v>14347</v>
      </c>
      <c r="B372" s="10" t="s">
        <v>8418</v>
      </c>
      <c r="C372" s="10" t="s">
        <v>8419</v>
      </c>
      <c r="D372" s="13" t="n">
        <v>1148</v>
      </c>
      <c r="E372" s="13" t="n">
        <v>1832</v>
      </c>
      <c r="F372" s="11" t="n">
        <f>SUM(D372+E372)/2</f>
        <v>1490</v>
      </c>
      <c r="G372" s="18" t="n">
        <v>327</v>
      </c>
      <c r="H372" s="18" t="n">
        <v>529</v>
      </c>
      <c r="I372" s="11" t="n">
        <f>SUM(G372+H372)/2</f>
        <v>428</v>
      </c>
      <c r="J372" s="16" t="n">
        <f>IF(F372=0,I372*2,F372/$N$603+I372)</f>
        <v>695.663330374551</v>
      </c>
      <c r="K372" s="18" t="n">
        <f>ROW(K372)-1</f>
        <v>371</v>
      </c>
      <c r="L372" s="18" t="e">
        <f t="array" ref="L372">INDEX(TOP3277!#REF!,MATCH(C372,TOP3277!$B$501:$B$3035,0))</f>
        <v>#N/A</v>
      </c>
    </row>
    <row r="373" ht="14.399999999999999" customHeight="1">
      <c r="A373" s="10" t="n">
        <v>364</v>
      </c>
      <c r="B373" s="10" t="s">
        <v>388</v>
      </c>
      <c r="C373" s="10" t="s">
        <v>389</v>
      </c>
      <c r="D373" s="13" t="n">
        <v>1595</v>
      </c>
      <c r="E373" s="13" t="n">
        <v>2551</v>
      </c>
      <c r="F373" s="11" t="n">
        <f>SUM(D373+E373)/2</f>
        <v>2073</v>
      </c>
      <c r="G373" s="18" t="n">
        <v>274</v>
      </c>
      <c r="H373" s="18" t="n">
        <v>329</v>
      </c>
      <c r="I373" s="11" t="n">
        <f>SUM(G373+H373)/2</f>
        <v>301.5</v>
      </c>
      <c r="J373" s="16" t="n">
        <f>IF(F373=0,I373*2,F373/$N$603+I373)</f>
        <v>673.893344876809</v>
      </c>
      <c r="K373" s="18" t="n">
        <f>ROW(K373)-1</f>
        <v>372</v>
      </c>
      <c r="L373" s="18" t="e">
        <f t="array" ref="L373">INDEX(TOP3277!#REF!,MATCH(C373,TOP3277!$B$501:$B$3035,0))</f>
        <v>#N/A</v>
      </c>
    </row>
    <row r="374" ht="14.399999999999999" customHeight="1">
      <c r="A374" s="10" t="n">
        <v>340</v>
      </c>
      <c r="B374" s="10" t="s">
        <v>604</v>
      </c>
      <c r="C374" s="10" t="s">
        <v>605</v>
      </c>
      <c r="D374" s="10" t="n">
        <v>941</v>
      </c>
      <c r="E374" s="13" t="n">
        <v>1505</v>
      </c>
      <c r="F374" s="11" t="n">
        <f>SUM(D374+E374)/2</f>
        <v>1223</v>
      </c>
      <c r="G374" s="18" t="n">
        <v>359</v>
      </c>
      <c r="H374" s="18" t="n">
        <v>513</v>
      </c>
      <c r="I374" s="11" t="n">
        <f>SUM(G374+H374)/2</f>
        <v>436</v>
      </c>
      <c r="J374" s="16" t="n">
        <f>IF(F374=0,I374*2,F374/$N$603+I374)</f>
        <v>655.699498689984</v>
      </c>
      <c r="K374" s="18" t="n">
        <f>ROW(K374)-1</f>
        <v>373</v>
      </c>
      <c r="L374" s="18" t="e">
        <f t="array" ref="L374">INDEX(TOP3277!#REF!,MATCH(C374,TOP3277!$B$501:$B$3035,0))</f>
        <v>#N/A</v>
      </c>
    </row>
    <row r="375" ht="14.399999999999999" customHeight="1">
      <c r="A375" s="14" t="n">
        <v>13352</v>
      </c>
      <c r="B375" s="10" t="s">
        <v>612</v>
      </c>
      <c r="C375" s="10" t="s">
        <v>8420</v>
      </c>
      <c r="D375" s="10" t="n">
        <v>657</v>
      </c>
      <c r="E375" s="13" t="n">
        <v>1051</v>
      </c>
      <c r="F375" s="11" t="n">
        <f>SUM(D375+E375)/2</f>
        <v>854</v>
      </c>
      <c r="G375" s="18" t="n">
        <v>441</v>
      </c>
      <c r="H375" s="18" t="n">
        <v>560</v>
      </c>
      <c r="I375" s="11" t="n">
        <f>SUM(G375+H375)/2</f>
        <v>500.5</v>
      </c>
      <c r="J375" s="16" t="n">
        <f>IF(F375=0,I375*2,F375/$N$603+I375)</f>
        <v>653.912405462998</v>
      </c>
      <c r="K375" s="18" t="n">
        <f>ROW(K375)-1</f>
        <v>374</v>
      </c>
      <c r="L375" s="18" t="e">
        <f t="array" ref="L375">INDEX(TOP3277!#REF!,MATCH(C375,TOP3277!$B$501:$B$3035,0))</f>
        <v>#N/A</v>
      </c>
    </row>
    <row r="376" ht="14.399999999999999" customHeight="1">
      <c r="A376" s="14" t="n">
        <v>14519</v>
      </c>
      <c r="B376" s="10" t="s">
        <v>418</v>
      </c>
      <c r="C376" s="10" t="s">
        <v>419</v>
      </c>
      <c r="D376" s="13" t="n">
        <v>1148</v>
      </c>
      <c r="E376" s="13" t="n">
        <v>1834</v>
      </c>
      <c r="F376" s="11" t="n">
        <f>SUM(D376+E376)/2</f>
        <v>1491</v>
      </c>
      <c r="G376" s="18" t="n">
        <v>343</v>
      </c>
      <c r="H376" s="18" t="n">
        <v>401</v>
      </c>
      <c r="I376" s="11" t="n">
        <f>SUM(G376+H376)/2</f>
        <v>372</v>
      </c>
      <c r="J376" s="16" t="n">
        <f>IF(F376=0,I376*2,F376/$N$603+I376)</f>
        <v>639.842970193595</v>
      </c>
      <c r="K376" s="18" t="n">
        <f>ROW(K376)-1</f>
        <v>375</v>
      </c>
      <c r="L376" s="18" t="e">
        <f t="array" ref="L376">INDEX(TOP3277!#REF!,MATCH(C376,TOP3277!$B$501:$B$3035,0))</f>
        <v>#N/A</v>
      </c>
    </row>
    <row r="377" ht="14.399999999999999" customHeight="1">
      <c r="A377" s="10" t="n">
        <v>359</v>
      </c>
      <c r="B377" s="10" t="s">
        <v>636</v>
      </c>
      <c r="C377" s="10" t="s">
        <v>1945</v>
      </c>
      <c r="D377" s="10" t="n">
        <v>669</v>
      </c>
      <c r="E377" s="13" t="n">
        <v>1069</v>
      </c>
      <c r="F377" s="11" t="n">
        <f>SUM(D377+E377)/2</f>
        <v>869</v>
      </c>
      <c r="G377" s="18" t="n">
        <v>435</v>
      </c>
      <c r="H377" s="18" t="n">
        <v>524</v>
      </c>
      <c r="I377" s="11" t="n">
        <f>SUM(G377+H377)/2</f>
        <v>479.5</v>
      </c>
      <c r="J377" s="16" t="n">
        <f>IF(F377=0,I377*2,F377/$N$603+I377)</f>
        <v>635.607002748648</v>
      </c>
      <c r="K377" s="18" t="n">
        <f>ROW(K377)-1</f>
        <v>376</v>
      </c>
      <c r="L377" s="18" t="n">
        <f t="array" ref="L377">INDEX(TOP3277!#REF!,MATCH(C377,TOP3277!$B$501:$B$3035,0))</f>
        <v>1645</v>
      </c>
    </row>
    <row r="378" ht="14.399999999999999" customHeight="1">
      <c r="A378" s="10" t="n">
        <v>319</v>
      </c>
      <c r="B378" s="10" t="s">
        <v>626</v>
      </c>
      <c r="C378" s="10" t="s">
        <v>627</v>
      </c>
      <c r="D378" s="10" t="n">
        <f t="array" ref="D378">INDEX('原始数据'!C$2:C$3689,MATCH($C378,'原始数据'!$B$2:$B$3689,0))</f>
        <v>615</v>
      </c>
      <c r="E378" s="10" t="n">
        <f t="array" ref="E378">INDEX('原始数据'!D$2:D$3689,MATCH($C378,'原始数据'!$B$2:$B$3689,0))</f>
        <v>983</v>
      </c>
      <c r="F378" s="11" t="n">
        <f t="array" ref="F378">INDEX('原始数据'!E$2:E$3689,MATCH($C378,'原始数据'!$B$2:$B$3689,0))</f>
        <v>799</v>
      </c>
      <c r="G378" s="10" t="n">
        <f t="array" ref="G378">INDEX('原始数据'!F$2:F$3689,MATCH($C378,'原始数据'!$B$2:$B$3689,0))</f>
        <v>444</v>
      </c>
      <c r="H378" s="10" t="n">
        <f t="array" ref="H378">INDEX('原始数据'!G$2:G$3689,MATCH($C378,'原始数据'!$B$2:$B$3689,0))</f>
        <v>526</v>
      </c>
      <c r="I378" s="11" t="n">
        <f t="array" ref="I378">INDEX('原始数据'!H$2:H$3689,MATCH($C378,'原始数据'!$B$2:$B$3689,0))</f>
        <v>485</v>
      </c>
      <c r="J378" s="16" t="n">
        <f>IF(F378=0,I378*2,F378/$N$603+I378)</f>
        <v>628.532215415615</v>
      </c>
      <c r="K378" s="18" t="n">
        <f>ROW(K378)-1</f>
        <v>377</v>
      </c>
      <c r="L378" s="18" t="n">
        <f t="array" ref="L378">INDEX(TOP3277!#REF!,MATCH(C378,TOP3277!$B$501:$B$3035,0))</f>
        <v>1640</v>
      </c>
    </row>
    <row r="379" ht="14.399999999999999" customHeight="1">
      <c r="A379" s="10" t="n">
        <v>553</v>
      </c>
      <c r="B379" s="10" t="s">
        <v>1943</v>
      </c>
      <c r="C379" s="10" t="s">
        <v>1944</v>
      </c>
      <c r="D379" s="10" t="n">
        <f t="array" ref="D379">INDEX('原始数据'!C$2:C$3689,MATCH($C379,'原始数据'!$B$2:$B$3689,0))</f>
        <v>18</v>
      </c>
      <c r="E379" s="10" t="n">
        <f t="array" ref="E379">INDEX('原始数据'!D$2:D$3689,MATCH($C379,'原始数据'!$B$2:$B$3689,0))</f>
        <v>30</v>
      </c>
      <c r="F379" s="11" t="n">
        <f t="array" ref="F379">INDEX('原始数据'!E$2:E$3689,MATCH($C379,'原始数据'!$B$2:$B$3689,0))</f>
        <v>24</v>
      </c>
      <c r="G379" s="10" t="n">
        <f t="array" ref="G379">INDEX('原始数据'!F$2:F$3689,MATCH($C379,'原始数据'!$B$2:$B$3689,0))</f>
        <v>502</v>
      </c>
      <c r="H379" s="10" t="n">
        <f t="array" ref="H379">INDEX('原始数据'!G$2:G$3689,MATCH($C379,'原始数据'!$B$2:$B$3689,0))</f>
        <v>745</v>
      </c>
      <c r="I379" s="11" t="n">
        <f t="array" ref="I379">INDEX('原始数据'!H$2:H$3689,MATCH($C379,'原始数据'!$B$2:$B$3689,0))</f>
        <v>623.5</v>
      </c>
      <c r="J379" s="16" t="n">
        <f>IF(F379=0,I379*2,F379/$N$603+I379)</f>
        <v>627.81135565704</v>
      </c>
      <c r="K379" s="18" t="n">
        <f>ROW(K379)-1</f>
        <v>378</v>
      </c>
      <c r="L379" s="18" t="n">
        <f t="array" ref="L379">INDEX(TOP3277!#REF!,MATCH(C379,TOP3277!$B$501:$B$3035,0))</f>
        <v>1643</v>
      </c>
    </row>
    <row r="380" ht="14.399999999999999" customHeight="1">
      <c r="A380" s="10" t="n">
        <v>343</v>
      </c>
      <c r="B380" s="10" t="s">
        <v>658</v>
      </c>
      <c r="C380" s="10" t="s">
        <v>1374</v>
      </c>
      <c r="D380" s="10" t="n">
        <v>733</v>
      </c>
      <c r="E380" s="13" t="n">
        <v>1173</v>
      </c>
      <c r="F380" s="11" t="n">
        <f>SUM(D380+E380)/2</f>
        <v>953</v>
      </c>
      <c r="G380" s="18" t="n">
        <v>368</v>
      </c>
      <c r="H380" s="18" t="n">
        <v>540</v>
      </c>
      <c r="I380" s="11" t="n">
        <f>SUM(G380+H380)/2</f>
        <v>454</v>
      </c>
      <c r="J380" s="16" t="n">
        <f>IF(F380=0,I380*2,F380/$N$603+I380)</f>
        <v>625.196747548287</v>
      </c>
      <c r="K380" s="18" t="n">
        <f>ROW(K380)-1</f>
        <v>379</v>
      </c>
      <c r="L380" s="18" t="n">
        <f t="array" ref="L380">INDEX(TOP3277!#REF!,MATCH(C380,TOP3277!$B$501:$B$3035,0))</f>
        <v>1648</v>
      </c>
    </row>
    <row r="381" ht="14.399999999999999" customHeight="1">
      <c r="A381" s="14" t="n">
        <v>12184</v>
      </c>
      <c r="B381" s="10" t="s">
        <v>492</v>
      </c>
      <c r="C381" s="10" t="s">
        <v>493</v>
      </c>
      <c r="D381" s="10" t="n">
        <f t="array" ref="D381">INDEX('原始数据'!C$2:C$3689,MATCH($C381,'原始数据'!$B$2:$B$3689,0))</f>
        <v>59</v>
      </c>
      <c r="E381" s="10" t="n">
        <f t="array" ref="E381">INDEX('原始数据'!D$2:D$3689,MATCH($C381,'原始数据'!$B$2:$B$3689,0))</f>
        <v>91</v>
      </c>
      <c r="F381" s="11" t="n">
        <f t="array" ref="F381">INDEX('原始数据'!E$2:E$3689,MATCH($C381,'原始数据'!$B$2:$B$3689,0))</f>
        <v>75</v>
      </c>
      <c r="G381" s="10" t="n">
        <f t="array" ref="G381">INDEX('原始数据'!F$2:F$3689,MATCH($C381,'原始数据'!$B$2:$B$3689,0))</f>
        <v>467</v>
      </c>
      <c r="H381" s="10" t="n">
        <f t="array" ref="H381">INDEX('原始数据'!G$2:G$3689,MATCH($C381,'原始数据'!$B$2:$B$3689,0))</f>
        <v>686</v>
      </c>
      <c r="I381" s="11" t="n">
        <f t="array" ref="I381">INDEX('原始数据'!H$2:H$3689,MATCH($C381,'原始数据'!$B$2:$B$3689,0))</f>
        <v>576.5</v>
      </c>
      <c r="J381" s="16" t="n">
        <f>IF(F381=0,I381*2,F381/$N$603+I381)</f>
        <v>589.972986428249</v>
      </c>
      <c r="K381" s="18" t="n">
        <f>ROW(K381)-1</f>
        <v>380</v>
      </c>
      <c r="L381" s="18" t="n">
        <f t="array" ref="L381">INDEX(TOP3277!#REF!,MATCH(C381,TOP3277!$B$501:$B$3035,0))</f>
        <v>1646</v>
      </c>
    </row>
    <row r="382" ht="14.399999999999999" customHeight="1">
      <c r="A382" s="10" t="n">
        <v>468</v>
      </c>
      <c r="B382" s="10" t="s">
        <v>602</v>
      </c>
      <c r="C382" s="10" t="s">
        <v>1117</v>
      </c>
      <c r="D382" s="10" t="n">
        <v>627</v>
      </c>
      <c r="E382" s="13" t="n">
        <v>1001</v>
      </c>
      <c r="F382" s="11" t="n">
        <f>SUM(D382+E382)/2</f>
        <v>814</v>
      </c>
      <c r="G382" s="18" t="n">
        <v>360</v>
      </c>
      <c r="H382" s="18" t="n">
        <v>504</v>
      </c>
      <c r="I382" s="11" t="n">
        <f>SUM(G382+H382)/2</f>
        <v>432</v>
      </c>
      <c r="J382" s="16" t="n">
        <f>IF(F382=0,I382*2,F382/$N$603+I382)</f>
        <v>578.226812701265</v>
      </c>
      <c r="K382" s="18" t="n">
        <f>ROW(K382)-1</f>
        <v>381</v>
      </c>
      <c r="L382" s="18" t="n">
        <f t="array" ref="L382">INDEX(TOP3277!#REF!,MATCH(C382,TOP3277!$B$501:$B$3035,0))</f>
        <v>1656</v>
      </c>
    </row>
    <row r="383" ht="14.399999999999999" customHeight="1">
      <c r="A383" s="14" t="n">
        <v>14022</v>
      </c>
      <c r="B383" s="10" t="s">
        <v>8421</v>
      </c>
      <c r="C383" s="10" t="s">
        <v>8422</v>
      </c>
      <c r="D383" s="10" t="n">
        <v>389</v>
      </c>
      <c r="E383" s="10" t="n">
        <v>623</v>
      </c>
      <c r="F383" s="11" t="n">
        <f>SUM(D383+E383)/2</f>
        <v>506</v>
      </c>
      <c r="G383" s="18" t="n">
        <v>399</v>
      </c>
      <c r="H383" s="18" t="n">
        <v>572</v>
      </c>
      <c r="I383" s="11" t="n">
        <f>SUM(G383+H383)/2</f>
        <v>485.5</v>
      </c>
      <c r="J383" s="16" t="n">
        <f>IF(F383=0,I383*2,F383/$N$603+I383)</f>
        <v>576.397748435922</v>
      </c>
      <c r="K383" s="18" t="n">
        <f>ROW(K383)-1</f>
        <v>382</v>
      </c>
      <c r="L383" s="18" t="e">
        <f t="array" ref="L383">INDEX(TOP3277!#REF!,MATCH(C383,TOP3277!$B$501:$B$3035,0))</f>
        <v>#N/A</v>
      </c>
    </row>
    <row r="384" ht="14.399999999999999" customHeight="1">
      <c r="A384" s="14" t="n">
        <v>14933</v>
      </c>
      <c r="B384" s="10" t="s">
        <v>584</v>
      </c>
      <c r="C384" s="10" t="s">
        <v>8423</v>
      </c>
      <c r="D384" s="10" t="n">
        <v>291</v>
      </c>
      <c r="E384" s="10" t="n">
        <v>465</v>
      </c>
      <c r="F384" s="11" t="n">
        <f>SUM(D384+E384)/2</f>
        <v>378</v>
      </c>
      <c r="G384" s="18" t="n">
        <v>433</v>
      </c>
      <c r="H384" s="18" t="n">
        <v>573</v>
      </c>
      <c r="I384" s="11" t="n">
        <f>SUM(G384+H384)/2</f>
        <v>503</v>
      </c>
      <c r="J384" s="16" t="n">
        <f>IF(F384=0,I384*2,F384/$N$603+I384)</f>
        <v>570.903851598376</v>
      </c>
      <c r="K384" s="18" t="n">
        <f>ROW(K384)-1</f>
        <v>383</v>
      </c>
      <c r="L384" s="18" t="e">
        <f t="array" ref="L384">INDEX(TOP3277!#REF!,MATCH(C384,TOP3277!$B$501:$B$3035,0))</f>
        <v>#N/A</v>
      </c>
    </row>
    <row r="385" ht="14.399999999999999" customHeight="1">
      <c r="A385" s="10" t="n">
        <v>309</v>
      </c>
      <c r="B385" s="10" t="s">
        <v>424</v>
      </c>
      <c r="C385" s="10" t="s">
        <v>425</v>
      </c>
      <c r="D385" s="10" t="n">
        <f t="array" ref="D385">INDEX('原始数据'!C$2:C$3689,MATCH($C385,'原始数据'!$B$2:$B$3689,0))</f>
        <v>1266</v>
      </c>
      <c r="E385" s="10" t="n">
        <f t="array" ref="E385">INDEX('原始数据'!D$2:D$3689,MATCH($C385,'原始数据'!$B$2:$B$3689,0))</f>
        <v>2024</v>
      </c>
      <c r="F385" s="11" t="n">
        <f t="array" ref="F385">INDEX('原始数据'!E$2:E$3689,MATCH($C385,'原始数据'!$B$2:$B$3689,0))</f>
        <v>1645</v>
      </c>
      <c r="G385" s="10" t="n">
        <f t="array" ref="G385">INDEX('原始数据'!F$2:F$3689,MATCH($C385,'原始数据'!$B$2:$B$3689,0))</f>
        <v>81</v>
      </c>
      <c r="H385" s="10" t="n">
        <f t="array" ref="H385">INDEX('原始数据'!G$2:G$3689,MATCH($C385,'原始数据'!$B$2:$B$3689,0))</f>
        <v>450</v>
      </c>
      <c r="I385" s="11" t="n">
        <f t="array" ref="I385">INDEX('原始数据'!H$2:H$3689,MATCH($C385,'原始数据'!$B$2:$B$3689,0))</f>
        <v>265.5</v>
      </c>
      <c r="J385" s="16" t="n">
        <f>IF(F385=0,I385*2,F385/$N$603+I385)</f>
        <v>561.007502326267</v>
      </c>
      <c r="K385" s="18" t="n">
        <f>ROW(K385)-1</f>
        <v>384</v>
      </c>
      <c r="L385" s="18" t="n">
        <f t="array" ref="L385">INDEX(TOP3277!#REF!,MATCH(C385,TOP3277!$B$501:$B$3035,0))</f>
        <v>1644</v>
      </c>
    </row>
    <row r="386" ht="14.399999999999999" customHeight="1">
      <c r="A386" s="14" t="n">
        <v>14970</v>
      </c>
      <c r="B386" s="10" t="s">
        <v>8424</v>
      </c>
      <c r="C386" s="10" t="s">
        <v>5760</v>
      </c>
      <c r="D386" s="10" t="n">
        <f t="array" ref="D386">INDEX('原始数据'!C$2:C$3689,MATCH($C386,'原始数据'!$B$2:$B$3689,0))</f>
        <v>152</v>
      </c>
      <c r="E386" s="10" t="n">
        <f t="array" ref="E386">INDEX('原始数据'!D$2:D$3689,MATCH($C386,'原始数据'!$B$2:$B$3689,0))</f>
        <v>242</v>
      </c>
      <c r="F386" s="11" t="n">
        <f t="array" ref="F386">INDEX('原始数据'!E$2:E$3689,MATCH($C386,'原始数据'!$B$2:$B$3689,0))</f>
        <v>197</v>
      </c>
      <c r="G386" s="10" t="n">
        <f t="array" ref="G386">INDEX('原始数据'!F$2:F$3689,MATCH($C386,'原始数据'!$B$2:$B$3689,0))</f>
        <v>419</v>
      </c>
      <c r="H386" s="10" t="n">
        <f t="array" ref="H386">INDEX('原始数据'!G$2:G$3689,MATCH($C386,'原始数据'!$B$2:$B$3689,0))</f>
        <v>590</v>
      </c>
      <c r="I386" s="11" t="n">
        <f t="array" ref="I386">INDEX('原始数据'!H$2:H$3689,MATCH($C386,'原始数据'!$B$2:$B$3689,0))</f>
        <v>504.5</v>
      </c>
      <c r="J386" s="16" t="n">
        <f>IF(F386=0,I386*2,F386/$N$603+I386)</f>
        <v>539.889044351535</v>
      </c>
      <c r="K386" s="18" t="n">
        <f>ROW(K386)-1</f>
        <v>385</v>
      </c>
      <c r="L386" s="18" t="e">
        <f t="array" ref="L386">INDEX(TOP3277!#REF!,MATCH(C386,TOP3277!$B$501:$B$3035,0))</f>
        <v>#N/A</v>
      </c>
    </row>
    <row r="387" ht="14.399999999999999" customHeight="1">
      <c r="A387" s="10" t="n">
        <v>456</v>
      </c>
      <c r="B387" s="10" t="s">
        <v>1115</v>
      </c>
      <c r="C387" s="10" t="s">
        <v>1116</v>
      </c>
      <c r="D387" s="10" t="n">
        <f t="array" ref="D387">INDEX('原始数据'!C$2:C$3689,MATCH($C387,'原始数据'!$B$2:$B$3689,0))</f>
        <v>294</v>
      </c>
      <c r="E387" s="10" t="n">
        <f t="array" ref="E387">INDEX('原始数据'!D$2:D$3689,MATCH($C387,'原始数据'!$B$2:$B$3689,0))</f>
        <v>470</v>
      </c>
      <c r="F387" s="11" t="n">
        <f t="array" ref="F387">INDEX('原始数据'!E$2:E$3689,MATCH($C387,'原始数据'!$B$2:$B$3689,0))</f>
        <v>382</v>
      </c>
      <c r="G387" s="10" t="n">
        <f t="array" ref="G387">INDEX('原始数据'!F$2:F$3689,MATCH($C387,'原始数据'!$B$2:$B$3689,0))</f>
        <v>376</v>
      </c>
      <c r="H387" s="10" t="n">
        <f t="array" ref="H387">INDEX('原始数据'!G$2:G$3689,MATCH($C387,'原始数据'!$B$2:$B$3689,0))</f>
        <v>537</v>
      </c>
      <c r="I387" s="11" t="n">
        <f t="array" ref="I387">INDEX('原始数据'!H$2:H$3689,MATCH($C387,'原始数据'!$B$2:$B$3689,0))</f>
        <v>456.5</v>
      </c>
      <c r="J387" s="16" t="n">
        <f>IF(F387=0,I387*2,F387/$N$603+I387)</f>
        <v>525.122410874549</v>
      </c>
      <c r="K387" s="18" t="n">
        <f>ROW(K387)-1</f>
        <v>386</v>
      </c>
      <c r="L387" s="18" t="n">
        <f t="array" ref="L387">INDEX(TOP3277!#REF!,MATCH(C387,TOP3277!$B$501:$B$3035,0))</f>
        <v>1654</v>
      </c>
    </row>
    <row r="388" ht="14.399999999999999" customHeight="1">
      <c r="A388" s="10" t="n">
        <v>472</v>
      </c>
      <c r="B388" s="10" t="s">
        <v>622</v>
      </c>
      <c r="C388" s="10" t="s">
        <v>623</v>
      </c>
      <c r="D388" s="10" t="n">
        <f t="array" ref="D388">INDEX('原始数据'!C$2:C$3689,MATCH($C388,'原始数据'!$B$2:$B$3689,0))</f>
        <v>624</v>
      </c>
      <c r="E388" s="10" t="n">
        <f t="array" ref="E388">INDEX('原始数据'!D$2:D$3689,MATCH($C388,'原始数据'!$B$2:$B$3689,0))</f>
        <v>996</v>
      </c>
      <c r="F388" s="11" t="n">
        <f t="array" ref="F388">INDEX('原始数据'!E$2:E$3689,MATCH($C388,'原始数据'!$B$2:$B$3689,0))</f>
        <v>810</v>
      </c>
      <c r="G388" s="10" t="n">
        <f t="array" ref="G388">INDEX('原始数据'!F$2:F$3689,MATCH($C388,'原始数据'!$B$2:$B$3689,0))</f>
        <v>306</v>
      </c>
      <c r="H388" s="10" t="n">
        <f t="array" ref="H388">INDEX('原始数据'!G$2:G$3689,MATCH($C388,'原始数据'!$B$2:$B$3689,0))</f>
        <v>426</v>
      </c>
      <c r="I388" s="11" t="n">
        <f t="array" ref="I388">INDEX('原始数据'!H$2:H$3689,MATCH($C388,'原始数据'!$B$2:$B$3689,0))</f>
        <v>366</v>
      </c>
      <c r="J388" s="16" t="n">
        <f>IF(F388=0,I388*2,F388/$N$603+I388)</f>
        <v>511.508253425092</v>
      </c>
      <c r="K388" s="18" t="n">
        <f>ROW(K388)-1</f>
        <v>387</v>
      </c>
      <c r="L388" s="18" t="n">
        <f t="array" ref="L388">INDEX(TOP3277!#REF!,MATCH(C388,TOP3277!$B$501:$B$3035,0))</f>
        <v>1653</v>
      </c>
    </row>
    <row r="389" ht="14.399999999999999" customHeight="1">
      <c r="A389" s="10" t="n">
        <v>428</v>
      </c>
      <c r="B389" s="10" t="s">
        <v>422</v>
      </c>
      <c r="C389" s="10" t="s">
        <v>423</v>
      </c>
      <c r="D389" s="10" t="n">
        <f t="array" ref="D389">INDEX('原始数据'!C$2:C$3689,MATCH($C389,'原始数据'!$B$2:$B$3689,0))</f>
        <v>878</v>
      </c>
      <c r="E389" s="10" t="n">
        <f t="array" ref="E389">INDEX('原始数据'!D$2:D$3689,MATCH($C389,'原始数据'!$B$2:$B$3689,0))</f>
        <v>1402</v>
      </c>
      <c r="F389" s="11" t="n">
        <f t="array" ref="F389">INDEX('原始数据'!E$2:E$3689,MATCH($C389,'原始数据'!$B$2:$B$3689,0))</f>
        <v>1140</v>
      </c>
      <c r="G389" s="10" t="n">
        <f t="array" ref="G389">INDEX('原始数据'!F$2:F$3689,MATCH($C389,'原始数据'!$B$2:$B$3689,0))</f>
        <v>228</v>
      </c>
      <c r="H389" s="10" t="n">
        <f t="array" ref="H389">INDEX('原始数据'!G$2:G$3689,MATCH($C389,'原始数据'!$B$2:$B$3689,0))</f>
        <v>379</v>
      </c>
      <c r="I389" s="11" t="n">
        <f t="array" ref="I389">INDEX('原始数据'!H$2:H$3689,MATCH($C389,'原始数据'!$B$2:$B$3689,0))</f>
        <v>303.5</v>
      </c>
      <c r="J389" s="16" t="n">
        <f>IF(F389=0,I389*2,F389/$N$603+I389)</f>
        <v>508.289393709388</v>
      </c>
      <c r="K389" s="18" t="n">
        <f>ROW(K389)-1</f>
        <v>388</v>
      </c>
      <c r="L389" s="18" t="n">
        <f t="array" ref="L389">INDEX(TOP3277!#REF!,MATCH(C389,TOP3277!$B$501:$B$3035,0))</f>
        <v>1652</v>
      </c>
    </row>
    <row r="390" ht="14.399999999999999" customHeight="1">
      <c r="A390" s="10" t="n">
        <v>465</v>
      </c>
      <c r="B390" s="10" t="s">
        <v>1118</v>
      </c>
      <c r="C390" s="10" t="s">
        <v>1119</v>
      </c>
      <c r="D390" s="10" t="n">
        <f t="array" ref="D390">INDEX('原始数据'!C$2:C$3689,MATCH($C390,'原始数据'!$B$2:$B$3689,0))</f>
        <v>298</v>
      </c>
      <c r="E390" s="10" t="n">
        <f t="array" ref="E390">INDEX('原始数据'!D$2:D$3689,MATCH($C390,'原始数据'!$B$2:$B$3689,0))</f>
        <v>477</v>
      </c>
      <c r="F390" s="11" t="n">
        <f t="array" ref="F390">INDEX('原始数据'!E$2:E$3689,MATCH($C390,'原始数据'!$B$2:$B$3689,0))</f>
        <v>387.5</v>
      </c>
      <c r="G390" s="10" t="n">
        <f t="array" ref="G390">INDEX('原始数据'!F$2:F$3689,MATCH($C390,'原始数据'!$B$2:$B$3689,0))</f>
        <v>360</v>
      </c>
      <c r="H390" s="10" t="n">
        <f t="array" ref="H390">INDEX('原始数据'!G$2:G$3689,MATCH($C390,'原始数据'!$B$2:$B$3689,0))</f>
        <v>511</v>
      </c>
      <c r="I390" s="11" t="n">
        <f t="array" ref="I390">INDEX('原始数据'!H$2:H$3689,MATCH($C390,'原始数据'!$B$2:$B$3689,0))</f>
        <v>435.5</v>
      </c>
      <c r="J390" s="16" t="n">
        <f>IF(F390=0,I390*2,F390/$N$603+I390)</f>
        <v>505.110429879288</v>
      </c>
      <c r="K390" s="18" t="n">
        <f>ROW(K390)-1</f>
        <v>389</v>
      </c>
      <c r="L390" s="18" t="n">
        <f t="array" ref="L390">INDEX(TOP3277!#REF!,MATCH(C390,TOP3277!$B$501:$B$3035,0))</f>
        <v>1657</v>
      </c>
    </row>
    <row r="391" ht="14.399999999999999" customHeight="1">
      <c r="A391" s="10" t="n">
        <v>448</v>
      </c>
      <c r="B391" s="10" t="s">
        <v>2110</v>
      </c>
      <c r="C391" s="10" t="s">
        <v>2111</v>
      </c>
      <c r="D391" s="10" t="n">
        <v>240</v>
      </c>
      <c r="E391" s="10" t="n">
        <v>384</v>
      </c>
      <c r="F391" s="11" t="n">
        <f>SUM(D391+E391)/2</f>
        <v>312</v>
      </c>
      <c r="G391" s="18" t="n">
        <v>353</v>
      </c>
      <c r="H391" s="18" t="n">
        <v>525</v>
      </c>
      <c r="I391" s="11" t="n">
        <f>SUM(G391+H391)/2</f>
        <v>439</v>
      </c>
      <c r="J391" s="16" t="n">
        <f>IF(F391=0,I391*2,F391/$N$603+I391)</f>
        <v>495.047623541517</v>
      </c>
      <c r="K391" s="18" t="n">
        <f>ROW(K391)-1</f>
        <v>390</v>
      </c>
      <c r="L391" s="18" t="n">
        <f t="array" ref="L391">INDEX(TOP3277!#REF!,MATCH(C391,TOP3277!$B$501:$B$3035,0))</f>
        <v>1670</v>
      </c>
    </row>
    <row r="392" ht="14.399999999999999" customHeight="1">
      <c r="A392" s="10" t="n">
        <v>275</v>
      </c>
      <c r="B392" s="10" t="s">
        <v>226</v>
      </c>
      <c r="C392" s="10" t="s">
        <v>6488</v>
      </c>
      <c r="D392" s="10"/>
      <c r="E392" s="10"/>
      <c r="F392" s="11" t="n">
        <f>SUM(D392+E392)/2</f>
        <v>0</v>
      </c>
      <c r="G392" s="18" t="n">
        <v>220</v>
      </c>
      <c r="H392" s="18" t="n">
        <v>261</v>
      </c>
      <c r="I392" s="11" t="n">
        <f>SUM(G392+H392)/2</f>
        <v>240.5</v>
      </c>
      <c r="J392" s="16" t="n">
        <f>IF(F392=0,I392*2,F392/$N$603+I392)</f>
        <v>481</v>
      </c>
      <c r="K392" s="18" t="n">
        <f>ROW(K392)-1</f>
        <v>391</v>
      </c>
      <c r="L392" s="18" t="e">
        <f t="array" ref="L392">INDEX(TOP3277!#REF!,MATCH(C392,TOP3277!$B$501:$B$3035,0))</f>
        <v>#N/A</v>
      </c>
    </row>
    <row r="393" ht="14.399999999999999" customHeight="1">
      <c r="A393" s="10" t="n">
        <v>360</v>
      </c>
      <c r="B393" s="10" t="s">
        <v>372</v>
      </c>
      <c r="C393" s="10" t="s">
        <v>373</v>
      </c>
      <c r="D393" s="10" t="n">
        <f t="array" ref="D393">INDEX('原始数据'!C$2:C$3689,MATCH($C393,'原始数据'!$B$2:$B$3689,0))</f>
        <v>1017</v>
      </c>
      <c r="E393" s="10" t="n">
        <f t="array" ref="E393">INDEX('原始数据'!D$2:D$3689,MATCH($C393,'原始数据'!$B$2:$B$3689,0))</f>
        <v>1625</v>
      </c>
      <c r="F393" s="11" t="n">
        <f t="array" ref="F393">INDEX('原始数据'!E$2:E$3689,MATCH($C393,'原始数据'!$B$2:$B$3689,0))</f>
        <v>1321</v>
      </c>
      <c r="G393" s="10" t="n">
        <f t="array" ref="G393">INDEX('原始数据'!F$2:F$3689,MATCH($C393,'原始数据'!$B$2:$B$3689,0))</f>
        <v>212</v>
      </c>
      <c r="H393" s="10" t="n">
        <f t="array" ref="H393">INDEX('原始数据'!G$2:G$3689,MATCH($C393,'原始数据'!$B$2:$B$3689,0))</f>
        <v>275</v>
      </c>
      <c r="I393" s="11" t="n">
        <f t="array" ref="I393">INDEX('原始数据'!H$2:H$3689,MATCH($C393,'原始数据'!$B$2:$B$3689,0))</f>
        <v>243.5</v>
      </c>
      <c r="J393" s="16" t="n">
        <f>IF(F393=0,I393*2,F393/$N$603+I393)</f>
        <v>480.80420095623</v>
      </c>
      <c r="K393" s="18" t="n">
        <f>ROW(K393)-1</f>
        <v>392</v>
      </c>
      <c r="L393" s="18" t="n">
        <f t="array" ref="L393">INDEX(TOP3277!#REF!,MATCH(C393,TOP3277!$B$501:$B$3035,0))</f>
        <v>1655</v>
      </c>
    </row>
    <row r="394" ht="14.399999999999999" customHeight="1">
      <c r="A394" s="10" t="n">
        <v>366</v>
      </c>
      <c r="B394" s="10" t="s">
        <v>618</v>
      </c>
      <c r="C394" s="10" t="s">
        <v>619</v>
      </c>
      <c r="D394" s="10" t="n">
        <f t="array" ref="D394">INDEX('原始数据'!C$2:C$3689,MATCH($C394,'原始数据'!$B$2:$B$3689,0))</f>
        <v>449</v>
      </c>
      <c r="E394" s="10" t="n">
        <f t="array" ref="E394">INDEX('原始数据'!D$2:D$3689,MATCH($C394,'原始数据'!$B$2:$B$3689,0))</f>
        <v>717</v>
      </c>
      <c r="F394" s="11" t="n">
        <f t="array" ref="F394">INDEX('原始数据'!E$2:E$3689,MATCH($C394,'原始数据'!$B$2:$B$3689,0))</f>
        <v>583</v>
      </c>
      <c r="G394" s="10" t="n">
        <f t="array" ref="G394">INDEX('原始数据'!F$2:F$3689,MATCH($C394,'原始数据'!$B$2:$B$3689,0))</f>
        <v>270</v>
      </c>
      <c r="H394" s="10" t="n">
        <f t="array" ref="H394">INDEX('原始数据'!G$2:G$3689,MATCH($C394,'原始数据'!$B$2:$B$3689,0))</f>
        <v>432</v>
      </c>
      <c r="I394" s="11" t="n">
        <f t="array" ref="I394">INDEX('原始数据'!H$2:H$3689,MATCH($C394,'原始数据'!$B$2:$B$3689,0))</f>
        <v>351</v>
      </c>
      <c r="J394" s="16" t="n">
        <f>IF(F394=0,I394*2,F394/$N$603+I394)</f>
        <v>455.730014502257</v>
      </c>
      <c r="K394" s="18" t="n">
        <f>ROW(K394)-1</f>
        <v>393</v>
      </c>
      <c r="L394" s="18" t="e">
        <f t="array" ref="L394">INDEX(TOP3277!#REF!,MATCH(C394,TOP3277!$B$501:$B$3035,0))</f>
        <v>#N/A</v>
      </c>
    </row>
    <row r="395" ht="14.399999999999999" customHeight="1">
      <c r="A395" s="10" t="n">
        <v>368</v>
      </c>
      <c r="B395" s="10" t="s">
        <v>676</v>
      </c>
      <c r="C395" s="10" t="s">
        <v>8425</v>
      </c>
      <c r="D395" s="10" t="n">
        <v>470</v>
      </c>
      <c r="E395" s="10" t="n">
        <v>750</v>
      </c>
      <c r="F395" s="11" t="n">
        <f>SUM(D395+E395)/2</f>
        <v>610</v>
      </c>
      <c r="G395" s="18" t="n">
        <v>299</v>
      </c>
      <c r="H395" s="18" t="n">
        <v>356</v>
      </c>
      <c r="I395" s="11" t="n">
        <f>SUM(G395+H395)/2</f>
        <v>327.5</v>
      </c>
      <c r="J395" s="16" t="n">
        <f>IF(F395=0,I395*2,F395/$N$603+I395)</f>
        <v>437.080289616427</v>
      </c>
      <c r="K395" s="18" t="n">
        <f>ROW(K395)-1</f>
        <v>394</v>
      </c>
      <c r="L395" s="18" t="e">
        <f t="array" ref="L395">INDEX(TOP3277!#REF!,MATCH(C395,TOP3277!$B$501:$B$3035,0))</f>
        <v>#N/A</v>
      </c>
    </row>
    <row r="396" ht="14.399999999999999" customHeight="1">
      <c r="A396" s="10" t="n">
        <v>459</v>
      </c>
      <c r="B396" s="10" t="s">
        <v>478</v>
      </c>
      <c r="C396" s="10" t="s">
        <v>479</v>
      </c>
      <c r="D396" s="10" t="n">
        <f t="array" ref="D396">INDEX('原始数据'!C$2:C$3689,MATCH($C396,'原始数据'!$B$2:$B$3689,0))</f>
        <v>1007</v>
      </c>
      <c r="E396" s="10" t="n">
        <f t="array" ref="E396">INDEX('原始数据'!D$2:D$3689,MATCH($C396,'原始数据'!$B$2:$B$3689,0))</f>
        <v>1611</v>
      </c>
      <c r="F396" s="11" t="n">
        <f t="array" ref="F396">INDEX('原始数据'!E$2:E$3689,MATCH($C396,'原始数据'!$B$2:$B$3689,0))</f>
        <v>1309</v>
      </c>
      <c r="G396" s="10" t="n">
        <f t="array" ref="G396">INDEX('原始数据'!F$2:F$3689,MATCH($C396,'原始数据'!$B$2:$B$3689,0))</f>
        <v>148</v>
      </c>
      <c r="H396" s="10" t="n">
        <f t="array" ref="H396">INDEX('原始数据'!G$2:G$3689,MATCH($C396,'原始数据'!$B$2:$B$3689,0))</f>
        <v>213</v>
      </c>
      <c r="I396" s="11" t="n">
        <f t="array" ref="I396">INDEX('原始数据'!H$2:H$3689,MATCH($C396,'原始数据'!$B$2:$B$3689,0))</f>
        <v>180.5</v>
      </c>
      <c r="J396" s="16" t="n">
        <f>IF(F396=0,I396*2,F396/$N$603+I396)</f>
        <v>415.64852312771</v>
      </c>
      <c r="K396" s="18" t="n">
        <f>ROW(K396)-1</f>
        <v>395</v>
      </c>
      <c r="L396" s="18" t="e">
        <f t="array" ref="L396">INDEX(TOP3277!#REF!,MATCH(C396,TOP3277!$B$501:$B$3035,0))</f>
        <v>#N/A</v>
      </c>
    </row>
    <row r="397" ht="14.399999999999999" customHeight="1">
      <c r="A397" s="10" t="n">
        <v>426</v>
      </c>
      <c r="B397" s="10" t="s">
        <v>442</v>
      </c>
      <c r="C397" s="10" t="s">
        <v>443</v>
      </c>
      <c r="D397" s="10" t="n">
        <f t="array" ref="D397">INDEX('原始数据'!C$2:C$3689,MATCH($C397,'原始数据'!$B$2:$B$3689,0))</f>
        <v>378</v>
      </c>
      <c r="E397" s="10" t="n">
        <f t="array" ref="E397">INDEX('原始数据'!D$2:D$3689,MATCH($C397,'原始数据'!$B$2:$B$3689,0))</f>
        <v>604</v>
      </c>
      <c r="F397" s="11" t="n">
        <f t="array" ref="F397">INDEX('原始数据'!E$2:E$3689,MATCH($C397,'原始数据'!$B$2:$B$3689,0))</f>
        <v>491</v>
      </c>
      <c r="G397" s="10" t="n">
        <f t="array" ref="G397">INDEX('原始数据'!F$2:F$3689,MATCH($C397,'原始数据'!$B$2:$B$3689,0))</f>
        <v>302</v>
      </c>
      <c r="H397" s="10" t="n">
        <f t="array" ref="H397">INDEX('原始数据'!G$2:G$3689,MATCH($C397,'原始数据'!$B$2:$B$3689,0))</f>
        <v>335</v>
      </c>
      <c r="I397" s="11" t="n">
        <f t="array" ref="I397">INDEX('原始数据'!H$2:H$3689,MATCH($C397,'原始数据'!$B$2:$B$3689,0))</f>
        <v>318.5</v>
      </c>
      <c r="J397" s="16" t="n">
        <f>IF(F397=0,I397*2,F397/$N$603+I397)</f>
        <v>406.703151150272</v>
      </c>
      <c r="K397" s="18" t="n">
        <f>ROW(K397)-1</f>
        <v>396</v>
      </c>
      <c r="L397" s="18" t="n">
        <f t="array" ref="L397">INDEX(TOP3277!#REF!,MATCH(C397,TOP3277!$B$501:$B$3035,0))</f>
        <v>1673</v>
      </c>
    </row>
    <row r="398" ht="14.399999999999999" customHeight="1">
      <c r="A398" s="10" t="n">
        <v>376</v>
      </c>
      <c r="B398" s="10" t="s">
        <v>410</v>
      </c>
      <c r="C398" s="10" t="s">
        <v>411</v>
      </c>
      <c r="D398" s="10" t="n">
        <f t="array" ref="D398">INDEX('原始数据'!C$2:C$3689,MATCH($C398,'原始数据'!$B$2:$B$3689,0))</f>
        <v>1486</v>
      </c>
      <c r="E398" s="10" t="n">
        <f t="array" ref="E398">INDEX('原始数据'!D$2:D$3689,MATCH($C398,'原始数据'!$B$2:$B$3689,0))</f>
        <v>2372</v>
      </c>
      <c r="F398" s="11" t="n">
        <f t="array" ref="F398">INDEX('原始数据'!E$2:E$3689,MATCH($C398,'原始数据'!$B$2:$B$3689,0))</f>
        <v>1929</v>
      </c>
      <c r="G398" s="10" t="n">
        <f t="array" ref="G398">INDEX('原始数据'!F$2:F$3689,MATCH($C398,'原始数据'!$B$2:$B$3689,0))</f>
        <v>45</v>
      </c>
      <c r="H398" s="10" t="n">
        <f t="array" ref="H398">INDEX('原始数据'!G$2:G$3689,MATCH($C398,'原始数据'!$B$2:$B$3689,0))</f>
        <v>72</v>
      </c>
      <c r="I398" s="11" t="n">
        <f t="array" ref="I398">INDEX('原始数据'!H$2:H$3689,MATCH($C398,'原始数据'!$B$2:$B$3689,0))</f>
        <v>58.5</v>
      </c>
      <c r="J398" s="16" t="n">
        <f>IF(F398=0,I398*2,F398/$N$603+I398)</f>
        <v>405.02521093457</v>
      </c>
      <c r="K398" s="18" t="n">
        <f>ROW(K398)-1</f>
        <v>397</v>
      </c>
      <c r="L398" s="18" t="n">
        <f t="array" ref="L398">INDEX(TOP3277!#REF!,MATCH(C398,TOP3277!$B$501:$B$3035,0))</f>
        <v>1664</v>
      </c>
    </row>
    <row r="399" ht="14.399999999999999" customHeight="1">
      <c r="A399" s="10" t="n">
        <v>580</v>
      </c>
      <c r="B399" s="10" t="s">
        <v>550</v>
      </c>
      <c r="C399" s="10" t="s">
        <v>551</v>
      </c>
      <c r="D399" s="10" t="n">
        <f t="array" ref="D399">INDEX('原始数据'!C$2:C$3689,MATCH($C399,'原始数据'!$B$2:$B$3689,0))</f>
        <v>891</v>
      </c>
      <c r="E399" s="10" t="n">
        <f t="array" ref="E399">INDEX('原始数据'!D$2:D$3689,MATCH($C399,'原始数据'!$B$2:$B$3689,0))</f>
        <v>1427</v>
      </c>
      <c r="F399" s="11" t="n">
        <f t="array" ref="F399">INDEX('原始数据'!E$2:E$3689,MATCH($C399,'原始数据'!$B$2:$B$3689,0))</f>
        <v>1159</v>
      </c>
      <c r="G399" s="10" t="n">
        <f t="array" ref="G399">INDEX('原始数据'!F$2:F$3689,MATCH($C399,'原始数据'!$B$2:$B$3689,0))</f>
        <v>152</v>
      </c>
      <c r="H399" s="10" t="n">
        <f t="array" ref="H399">INDEX('原始数据'!G$2:G$3689,MATCH($C399,'原始数据'!$B$2:$B$3689,0))</f>
        <v>201</v>
      </c>
      <c r="I399" s="11" t="n">
        <f t="array" ref="I399">INDEX('原始数据'!H$2:H$3689,MATCH($C399,'原始数据'!$B$2:$B$3689,0))</f>
        <v>176.5</v>
      </c>
      <c r="J399" s="16" t="n">
        <f>IF(F399=0,I399*2,F399/$N$603+I399)</f>
        <v>384.702550271211</v>
      </c>
      <c r="K399" s="18" t="n">
        <f>ROW(K399)-1</f>
        <v>398</v>
      </c>
      <c r="L399" s="18" t="e">
        <f t="array" ref="L399">INDEX(TOP3277!#REF!,MATCH(C399,TOP3277!$B$501:$B$3035,0))</f>
        <v>#N/A</v>
      </c>
    </row>
    <row r="400" ht="14.399999999999999" customHeight="1">
      <c r="A400" s="10" t="n">
        <v>369</v>
      </c>
      <c r="B400" s="10" t="s">
        <v>656</v>
      </c>
      <c r="C400" s="10" t="s">
        <v>657</v>
      </c>
      <c r="D400" s="10" t="n">
        <f t="array" ref="D400">INDEX('原始数据'!C$2:C$3689,MATCH($C400,'原始数据'!$B$2:$B$3689,0))</f>
        <v>479</v>
      </c>
      <c r="E400" s="10" t="n">
        <f t="array" ref="E400">INDEX('原始数据'!D$2:D$3689,MATCH($C400,'原始数据'!$B$2:$B$3689,0))</f>
        <v>765</v>
      </c>
      <c r="F400" s="11" t="n">
        <f t="array" ref="F400">INDEX('原始数据'!E$2:E$3689,MATCH($C400,'原始数据'!$B$2:$B$3689,0))</f>
        <v>622</v>
      </c>
      <c r="G400" s="10" t="n">
        <f t="array" ref="G400">INDEX('原始数据'!F$2:F$3689,MATCH($C400,'原始数据'!$B$2:$B$3689,0))</f>
        <v>208</v>
      </c>
      <c r="H400" s="10" t="n">
        <f t="array" ref="H400">INDEX('原始数据'!G$2:G$3689,MATCH($C400,'原始数据'!$B$2:$B$3689,0))</f>
        <v>319</v>
      </c>
      <c r="I400" s="11" t="n">
        <f t="array" ref="I400">INDEX('原始数据'!H$2:H$3689,MATCH($C400,'原始数据'!$B$2:$B$3689,0))</f>
        <v>263.5</v>
      </c>
      <c r="J400" s="16" t="n">
        <f>IF(F400=0,I400*2,F400/$N$603+I400)</f>
        <v>375.235967444947</v>
      </c>
      <c r="K400" s="18" t="n">
        <f>ROW(K400)-1</f>
        <v>399</v>
      </c>
      <c r="L400" s="18" t="n">
        <f t="array" ref="L400">INDEX(TOP3277!#REF!,MATCH(C400,TOP3277!$B$501:$B$3035,0))</f>
        <v>1676</v>
      </c>
    </row>
    <row r="401" ht="14.399999999999999" customHeight="1">
      <c r="A401" s="10" t="n">
        <v>372</v>
      </c>
      <c r="B401" s="10" t="s">
        <v>8135</v>
      </c>
      <c r="C401" s="10" t="s">
        <v>8136</v>
      </c>
      <c r="D401" s="10" t="n">
        <f t="array" ref="D401">INDEX('原始数据'!C$2:C$3689,MATCH($C401,'原始数据'!$B$2:$B$3689,0))</f>
        <v>380</v>
      </c>
      <c r="E401" s="10" t="n">
        <f t="array" ref="E401">INDEX('原始数据'!D$2:D$3689,MATCH($C401,'原始数据'!$B$2:$B$3689,0))</f>
        <v>608</v>
      </c>
      <c r="F401" s="11" t="n">
        <f t="array" ref="F401">INDEX('原始数据'!E$2:E$3689,MATCH($C401,'原始数据'!$B$2:$B$3689,0))</f>
        <v>494</v>
      </c>
      <c r="G401" s="10" t="n">
        <f t="array" ref="G401">INDEX('原始数据'!F$2:F$3689,MATCH($C401,'原始数据'!$B$2:$B$3689,0))</f>
        <v>228</v>
      </c>
      <c r="H401" s="10" t="n">
        <f t="array" ref="H401">INDEX('原始数据'!G$2:G$3689,MATCH($C401,'原始数据'!$B$2:$B$3689,0))</f>
        <v>317</v>
      </c>
      <c r="I401" s="11" t="n">
        <f t="array" ref="I401">INDEX('原始数据'!H$2:H$3689,MATCH($C401,'原始数据'!$B$2:$B$3689,0))</f>
        <v>272.5</v>
      </c>
      <c r="J401" s="16" t="n">
        <f>IF(F401=0,I401*2,F401/$N$603+I401)</f>
        <v>361.242070607402</v>
      </c>
      <c r="K401" s="18" t="n">
        <f>ROW(K401)-1</f>
        <v>400</v>
      </c>
      <c r="L401" s="18" t="e">
        <f t="array" ref="L401">INDEX(TOP3277!#REF!,MATCH(C401,TOP3277!$B$501:$B$3035,0))</f>
        <v>#N/A</v>
      </c>
    </row>
    <row r="402" ht="14.399999999999999" customHeight="1">
      <c r="A402" s="10" t="n">
        <v>475</v>
      </c>
      <c r="B402" s="10" t="s">
        <v>538</v>
      </c>
      <c r="C402" s="10" t="s">
        <v>8426</v>
      </c>
      <c r="D402" s="10" t="n">
        <v>827</v>
      </c>
      <c r="E402" s="13" t="n">
        <v>1317</v>
      </c>
      <c r="F402" s="11" t="n">
        <f>SUM(D402+E402)/2</f>
        <v>1072</v>
      </c>
      <c r="G402" s="18" t="n">
        <v>132</v>
      </c>
      <c r="H402" s="18" t="n">
        <v>203</v>
      </c>
      <c r="I402" s="11" t="n">
        <f>SUM(G402+H402)/2</f>
        <v>167.5</v>
      </c>
      <c r="J402" s="16" t="n">
        <f>IF(F402=0,I402*2,F402/$N$603+I402)</f>
        <v>360.073886014442</v>
      </c>
      <c r="K402" s="18" t="n">
        <f>ROW(K402)-1</f>
        <v>401</v>
      </c>
      <c r="L402" s="18" t="e">
        <f t="array" ref="L402">INDEX(TOP3277!#REF!,MATCH(C402,TOP3277!$B$501:$B$3035,0))</f>
        <v>#N/A</v>
      </c>
    </row>
    <row r="403" ht="14.399999999999999" customHeight="1">
      <c r="A403" s="10" t="n">
        <v>573</v>
      </c>
      <c r="B403" s="10" t="s">
        <v>2642</v>
      </c>
      <c r="C403" s="10" t="s">
        <v>7734</v>
      </c>
      <c r="D403" s="10" t="n">
        <f t="array" ref="D403">INDEX('原始数据'!C$2:C$3689,MATCH($C403,'原始数据'!$B$2:$B$3689,0))</f>
        <v>75</v>
      </c>
      <c r="E403" s="10" t="n">
        <f t="array" ref="E403">INDEX('原始数据'!D$2:D$3689,MATCH($C403,'原始数据'!$B$2:$B$3689,0))</f>
        <v>119</v>
      </c>
      <c r="F403" s="11" t="n">
        <f t="array" ref="F403">INDEX('原始数据'!E$2:E$3689,MATCH($C403,'原始数据'!$B$2:$B$3689,0))</f>
        <v>97</v>
      </c>
      <c r="G403" s="10" t="n">
        <f t="array" ref="G403">INDEX('原始数据'!F$2:F$3689,MATCH($C403,'原始数据'!$B$2:$B$3689,0))</f>
        <v>318</v>
      </c>
      <c r="H403" s="10" t="n">
        <f t="array" ref="H403">INDEX('原始数据'!G$2:G$3689,MATCH($C403,'原始数据'!$B$2:$B$3689,0))</f>
        <v>353</v>
      </c>
      <c r="I403" s="11" t="n">
        <f t="array" ref="I403">INDEX('原始数据'!H$2:H$3689,MATCH($C403,'原始数据'!$B$2:$B$3689,0))</f>
        <v>335.5</v>
      </c>
      <c r="J403" s="16" t="n">
        <f>IF(F403=0,I403*2,F403/$N$603+I403)</f>
        <v>352.925062447202</v>
      </c>
      <c r="K403" s="18" t="n">
        <f>ROW(K403)-1</f>
        <v>402</v>
      </c>
      <c r="L403" s="18" t="e">
        <f t="array" ref="L403">INDEX(TOP3277!#REF!,MATCH(C403,TOP3277!$B$501:$B$3035,0))</f>
        <v>#N/A</v>
      </c>
    </row>
    <row r="404" ht="14.399999999999999" customHeight="1">
      <c r="A404" s="10" t="n">
        <v>466</v>
      </c>
      <c r="B404" s="10" t="s">
        <v>8427</v>
      </c>
      <c r="C404" s="10" t="s">
        <v>8428</v>
      </c>
      <c r="D404" s="10" t="n">
        <v>308</v>
      </c>
      <c r="E404" s="10" t="n">
        <v>494</v>
      </c>
      <c r="F404" s="11" t="n">
        <f>SUM(D404+E404)/2</f>
        <v>401</v>
      </c>
      <c r="G404" s="18" t="n">
        <v>237</v>
      </c>
      <c r="H404" s="18" t="n">
        <v>323</v>
      </c>
      <c r="I404" s="11" t="n">
        <f>SUM(G404+H404)/2</f>
        <v>280</v>
      </c>
      <c r="J404" s="16" t="n">
        <f>IF(F404=0,I404*2,F404/$N$603+I404)</f>
        <v>352.035567436373</v>
      </c>
      <c r="K404" s="18" t="n">
        <f>ROW(K404)-1</f>
        <v>403</v>
      </c>
      <c r="L404" s="18" t="e">
        <f t="array" ref="L404">INDEX(TOP3277!#REF!,MATCH(C404,TOP3277!$B$501:$B$3035,0))</f>
        <v>#N/A</v>
      </c>
    </row>
    <row r="405" ht="14.399999999999999" customHeight="1">
      <c r="A405" s="10" t="n">
        <v>349</v>
      </c>
      <c r="B405" s="10" t="s">
        <v>8429</v>
      </c>
      <c r="C405" s="10" t="s">
        <v>8430</v>
      </c>
      <c r="D405" s="10" t="n">
        <v>368</v>
      </c>
      <c r="E405" s="10" t="n">
        <v>586</v>
      </c>
      <c r="F405" s="11" t="n">
        <f>SUM(D405+E405)/2</f>
        <v>477</v>
      </c>
      <c r="G405" s="18" t="n">
        <v>210</v>
      </c>
      <c r="H405" s="18" t="n">
        <v>303</v>
      </c>
      <c r="I405" s="11" t="n">
        <f>SUM(G405+H405)/2</f>
        <v>256.5</v>
      </c>
      <c r="J405" s="16" t="n">
        <f>IF(F405=0,I405*2,F405/$N$603+I405)</f>
        <v>342.188193683665</v>
      </c>
      <c r="K405" s="18" t="n">
        <f>ROW(K405)-1</f>
        <v>404</v>
      </c>
      <c r="L405" s="18" t="e">
        <f t="array" ref="L405">INDEX(TOP3277!#REF!,MATCH(C405,TOP3277!$B$501:$B$3035,0))</f>
        <v>#N/A</v>
      </c>
    </row>
    <row r="406" ht="14.399999999999999" customHeight="1">
      <c r="A406" s="10" t="n">
        <v>511</v>
      </c>
      <c r="B406" s="10" t="s">
        <v>436</v>
      </c>
      <c r="C406" s="10" t="s">
        <v>437</v>
      </c>
      <c r="D406" s="10" t="n">
        <f t="array" ref="D406">INDEX('原始数据'!C$2:C$3689,MATCH($C406,'原始数据'!$B$2:$B$3689,0))</f>
        <v>1263</v>
      </c>
      <c r="E406" s="10" t="n">
        <f t="array" ref="E406">INDEX('原始数据'!D$2:D$3689,MATCH($C406,'原始数据'!$B$2:$B$3689,0))</f>
        <v>2017</v>
      </c>
      <c r="F406" s="11" t="n">
        <f t="array" ref="F406">INDEX('原始数据'!E$2:E$3689,MATCH($C406,'原始数据'!$B$2:$B$3689,0))</f>
        <v>1640</v>
      </c>
      <c r="G406" s="10" t="n">
        <f t="array" ref="G406">INDEX('原始数据'!F$2:F$3689,MATCH($C406,'原始数据'!$B$2:$B$3689,0))</f>
        <v>36</v>
      </c>
      <c r="H406" s="10" t="n">
        <f t="array" ref="H406">INDEX('原始数据'!G$2:G$3689,MATCH($C406,'原始数据'!$B$2:$B$3689,0))</f>
        <v>48</v>
      </c>
      <c r="I406" s="11" t="n">
        <f t="array" ref="I406">INDEX('原始数据'!H$2:H$3689,MATCH($C406,'原始数据'!$B$2:$B$3689,0))</f>
        <v>42</v>
      </c>
      <c r="J406" s="16" t="n">
        <f>IF(F406=0,I406*2,F406/$N$603+I406)</f>
        <v>336.60930323105</v>
      </c>
      <c r="K406" s="18" t="n">
        <f>ROW(K406)-1</f>
        <v>405</v>
      </c>
      <c r="L406" s="18" t="n">
        <f t="array" ref="L406">INDEX(TOP3277!#REF!,MATCH(C406,TOP3277!$B$501:$B$3035,0))</f>
        <v>1678</v>
      </c>
    </row>
    <row r="407" ht="14.399999999999999" customHeight="1">
      <c r="A407" s="10" t="n">
        <v>357</v>
      </c>
      <c r="B407" s="10" t="s">
        <v>266</v>
      </c>
      <c r="C407" s="10" t="s">
        <v>267</v>
      </c>
      <c r="D407" s="10" t="n">
        <f t="array" ref="D407">INDEX('原始数据'!C$2:C$3689,MATCH($C407,'原始数据'!$B$2:$B$3689,0))</f>
        <v>1078</v>
      </c>
      <c r="E407" s="10" t="n">
        <f t="array" ref="E407">INDEX('原始数据'!D$2:D$3689,MATCH($C407,'原始数据'!$B$2:$B$3689,0))</f>
        <v>1720</v>
      </c>
      <c r="F407" s="11" t="n">
        <f t="array" ref="F407">INDEX('原始数据'!E$2:E$3689,MATCH($C407,'原始数据'!$B$2:$B$3689,0))</f>
        <v>1399</v>
      </c>
      <c r="G407" s="10" t="n">
        <f t="array" ref="G407">INDEX('原始数据'!F$2:F$3689,MATCH($C407,'原始数据'!$B$2:$B$3689,0))</f>
        <v>59</v>
      </c>
      <c r="H407" s="10" t="n">
        <f t="array" ref="H407">INDEX('原始数据'!G$2:G$3689,MATCH($C407,'原始数据'!$B$2:$B$3689,0))</f>
        <v>100</v>
      </c>
      <c r="I407" s="11" t="n">
        <f t="array" ref="I407">INDEX('原始数据'!H$2:H$3689,MATCH($C407,'原始数据'!$B$2:$B$3689,0))</f>
        <v>79.5</v>
      </c>
      <c r="J407" s="16" t="n">
        <f>IF(F407=0,I407*2,F407/$N$603+I407)</f>
        <v>330.816106841609</v>
      </c>
      <c r="K407" s="18" t="n">
        <f>ROW(K407)-1</f>
        <v>406</v>
      </c>
      <c r="L407" s="18" t="n">
        <f t="array" ref="L407">INDEX(TOP3277!#REF!,MATCH(C407,TOP3277!$B$501:$B$3035,0))</f>
        <v>1679</v>
      </c>
    </row>
    <row r="408" ht="14.399999999999999" customHeight="1">
      <c r="A408" s="10" t="n">
        <v>421</v>
      </c>
      <c r="B408" s="10" t="s">
        <v>514</v>
      </c>
      <c r="C408" s="10" t="s">
        <v>8431</v>
      </c>
      <c r="D408" s="10" t="n">
        <v>841</v>
      </c>
      <c r="E408" s="13" t="n">
        <v>1343</v>
      </c>
      <c r="F408" s="11" t="n">
        <f>SUM(D408+E408)/2</f>
        <v>1092</v>
      </c>
      <c r="G408" s="18" t="n">
        <v>106</v>
      </c>
      <c r="H408" s="18" t="n">
        <v>138</v>
      </c>
      <c r="I408" s="11" t="n">
        <f>SUM(G408+H408)/2</f>
        <v>122</v>
      </c>
      <c r="J408" s="16" t="n">
        <f>IF(F408=0,I408*2,F408/$N$603+I408)</f>
        <v>318.166682395309</v>
      </c>
      <c r="K408" s="18" t="n">
        <f>ROW(K408)-1</f>
        <v>407</v>
      </c>
      <c r="L408" s="18" t="e">
        <f t="array" ref="L408">INDEX(TOP3277!#REF!,MATCH(C408,TOP3277!$B$501:$B$3035,0))</f>
        <v>#N/A</v>
      </c>
    </row>
    <row r="409" ht="14.399999999999999" customHeight="1">
      <c r="A409" s="10" t="n">
        <v>373</v>
      </c>
      <c r="B409" s="10" t="s">
        <v>560</v>
      </c>
      <c r="C409" s="10" t="s">
        <v>561</v>
      </c>
      <c r="D409" s="10" t="n">
        <f t="array" ref="D409">INDEX('原始数据'!C$2:C$3689,MATCH($C409,'原始数据'!$B$2:$B$3689,0))</f>
        <v>766</v>
      </c>
      <c r="E409" s="10" t="n">
        <f t="array" ref="E409">INDEX('原始数据'!D$2:D$3689,MATCH($C409,'原始数据'!$B$2:$B$3689,0))</f>
        <v>1222</v>
      </c>
      <c r="F409" s="11" t="n">
        <f t="array" ref="F409">INDEX('原始数据'!E$2:E$3689,MATCH($C409,'原始数据'!$B$2:$B$3689,0))</f>
        <v>994</v>
      </c>
      <c r="G409" s="10" t="n">
        <f t="array" ref="G409">INDEX('原始数据'!F$2:F$3689,MATCH($C409,'原始数据'!$B$2:$B$3689,0))</f>
        <v>115</v>
      </c>
      <c r="H409" s="10" t="n">
        <f t="array" ref="H409">INDEX('原始数据'!G$2:G$3689,MATCH($C409,'原始数据'!$B$2:$B$3689,0))</f>
        <v>164</v>
      </c>
      <c r="I409" s="11" t="n">
        <f t="array" ref="I409">INDEX('原始数据'!H$2:H$3689,MATCH($C409,'原始数据'!$B$2:$B$3689,0))</f>
        <v>139.5</v>
      </c>
      <c r="J409" s="16" t="n">
        <f>IF(F409=0,I409*2,F409/$N$603+I409)</f>
        <v>318.061980129063</v>
      </c>
      <c r="K409" s="18" t="n">
        <f>ROW(K409)-1</f>
        <v>408</v>
      </c>
      <c r="L409" s="18" t="n">
        <f t="array" ref="L409">INDEX(TOP3277!#REF!,MATCH(C409,TOP3277!$B$501:$B$3035,0))</f>
        <v>1685</v>
      </c>
    </row>
    <row r="410" ht="14.399999999999999" customHeight="1">
      <c r="A410" s="10" t="n">
        <v>339</v>
      </c>
      <c r="B410" s="10" t="s">
        <v>566</v>
      </c>
      <c r="C410" s="10" t="s">
        <v>567</v>
      </c>
      <c r="D410" s="10" t="n">
        <f t="array" ref="D410">INDEX('原始数据'!C$2:C$3689,MATCH($C410,'原始数据'!$B$2:$B$3689,0))</f>
        <v>715</v>
      </c>
      <c r="E410" s="10" t="n">
        <f t="array" ref="E410">INDEX('原始数据'!D$2:D$3689,MATCH($C410,'原始数据'!$B$2:$B$3689,0))</f>
        <v>1139</v>
      </c>
      <c r="F410" s="11" t="n">
        <f t="array" ref="F410">INDEX('原始数据'!E$2:E$3689,MATCH($C410,'原始数据'!$B$2:$B$3689,0))</f>
        <v>927</v>
      </c>
      <c r="G410" s="10" t="n">
        <f t="array" ref="G410">INDEX('原始数据'!F$2:F$3689,MATCH($C410,'原始数据'!$B$2:$B$3689,0))</f>
        <v>129</v>
      </c>
      <c r="H410" s="10" t="n">
        <f t="array" ref="H410">INDEX('原始数据'!G$2:G$3689,MATCH($C410,'原始数据'!$B$2:$B$3689,0))</f>
        <v>174</v>
      </c>
      <c r="I410" s="11" t="n">
        <f t="array" ref="I410">INDEX('原始数据'!H$2:H$3689,MATCH($C410,'原始数据'!$B$2:$B$3689,0))</f>
        <v>151.5</v>
      </c>
      <c r="J410" s="16" t="n">
        <f>IF(F410=0,I410*2,F410/$N$603+I410)</f>
        <v>318.026112253161</v>
      </c>
      <c r="K410" s="18" t="n">
        <f>ROW(K410)-1</f>
        <v>409</v>
      </c>
      <c r="L410" s="18" t="e">
        <f t="array" ref="L410">INDEX(TOP3277!#REF!,MATCH(C410,TOP3277!$B$501:$B$3035,0))</f>
        <v>#N/A</v>
      </c>
    </row>
    <row r="411" ht="14.399999999999999" customHeight="1">
      <c r="A411" s="10" t="n">
        <v>473</v>
      </c>
      <c r="B411" s="10" t="s">
        <v>1009</v>
      </c>
      <c r="C411" s="10" t="s">
        <v>1010</v>
      </c>
      <c r="D411" s="10" t="n">
        <f t="array" ref="D411">INDEX('原始数据'!C$2:C$3689,MATCH($C411,'原始数据'!$B$2:$B$3689,0))</f>
        <v>378</v>
      </c>
      <c r="E411" s="10" t="n">
        <f t="array" ref="E411">INDEX('原始数据'!D$2:D$3689,MATCH($C411,'原始数据'!$B$2:$B$3689,0))</f>
        <v>602</v>
      </c>
      <c r="F411" s="11" t="n">
        <f t="array" ref="F411">INDEX('原始数据'!E$2:E$3689,MATCH($C411,'原始数据'!$B$2:$B$3689,0))</f>
        <v>490</v>
      </c>
      <c r="G411" s="10" t="n">
        <f t="array" ref="G411">INDEX('原始数据'!F$2:F$3689,MATCH($C411,'原始数据'!$B$2:$B$3689,0))</f>
        <v>191</v>
      </c>
      <c r="H411" s="10" t="n">
        <f t="array" ref="H411">INDEX('原始数据'!G$2:G$3689,MATCH($C411,'原始数据'!$B$2:$B$3689,0))</f>
        <v>265</v>
      </c>
      <c r="I411" s="11" t="n">
        <f t="array" ref="I411">INDEX('原始数据'!H$2:H$3689,MATCH($C411,'原始数据'!$B$2:$B$3689,0))</f>
        <v>228</v>
      </c>
      <c r="J411" s="16" t="n">
        <f>IF(F411=0,I411*2,F411/$N$603+I411)</f>
        <v>316.023511331228</v>
      </c>
      <c r="K411" s="18" t="n">
        <f>ROW(K411)-1</f>
        <v>410</v>
      </c>
      <c r="L411" s="18" t="n">
        <f t="array" ref="L411">INDEX(TOP3277!#REF!,MATCH(C411,TOP3277!$B$501:$B$3035,0))</f>
        <v>1689</v>
      </c>
    </row>
    <row r="412" ht="14.399999999999999" customHeight="1">
      <c r="A412" s="10" t="n">
        <v>381</v>
      </c>
      <c r="B412" s="10" t="s">
        <v>686</v>
      </c>
      <c r="C412" s="10" t="s">
        <v>1154</v>
      </c>
      <c r="D412" s="10" t="n">
        <v>452</v>
      </c>
      <c r="E412" s="10" t="n">
        <v>722</v>
      </c>
      <c r="F412" s="11" t="n">
        <f>SUM(D412+E412)/2</f>
        <v>587</v>
      </c>
      <c r="G412" s="18" t="n">
        <v>181</v>
      </c>
      <c r="H412" s="18" t="n">
        <v>202</v>
      </c>
      <c r="I412" s="11" t="n">
        <f>SUM(G412+H412)/2</f>
        <v>191.5</v>
      </c>
      <c r="J412" s="16" t="n">
        <f>IF(F412=0,I412*2,F412/$N$603+I412)</f>
        <v>296.948573778431</v>
      </c>
      <c r="K412" s="18" t="n">
        <f>ROW(K412)-1</f>
        <v>411</v>
      </c>
      <c r="L412" s="18" t="n">
        <f t="array" ref="L412">INDEX(TOP3277!#REF!,MATCH(C412,TOP3277!$B$501:$B$3035,0))</f>
        <v>1695</v>
      </c>
    </row>
    <row r="413" ht="14.399999999999999" customHeight="1">
      <c r="A413" s="10" t="n">
        <v>347</v>
      </c>
      <c r="B413" s="10" t="s">
        <v>8432</v>
      </c>
      <c r="C413" s="10" t="s">
        <v>8433</v>
      </c>
      <c r="D413" s="10" t="n">
        <v>678</v>
      </c>
      <c r="E413" s="13" t="n">
        <v>1084</v>
      </c>
      <c r="F413" s="11" t="n">
        <f>SUM(D413+E413)/2</f>
        <v>881</v>
      </c>
      <c r="G413" s="18" t="n">
        <v>105</v>
      </c>
      <c r="H413" s="18" t="n">
        <v>166</v>
      </c>
      <c r="I413" s="11" t="n">
        <f>SUM(G413+H413)/2</f>
        <v>135.5</v>
      </c>
      <c r="J413" s="16" t="n">
        <f>IF(F413=0,I413*2,F413/$N$603+I413)</f>
        <v>293.762680577168</v>
      </c>
      <c r="K413" s="18" t="n">
        <f>ROW(K413)-1</f>
        <v>412</v>
      </c>
      <c r="L413" s="18" t="e">
        <f t="array" ref="L413">INDEX(TOP3277!#REF!,MATCH(C413,TOP3277!$B$501:$B$3035,0))</f>
        <v>#N/A</v>
      </c>
    </row>
    <row r="414" ht="14.399999999999999" customHeight="1">
      <c r="A414" s="10" t="n">
        <v>520</v>
      </c>
      <c r="B414" s="10" t="s">
        <v>2012</v>
      </c>
      <c r="C414" s="10" t="s">
        <v>2013</v>
      </c>
      <c r="D414" s="10" t="n">
        <v>115</v>
      </c>
      <c r="E414" s="10" t="n">
        <v>183</v>
      </c>
      <c r="F414" s="11" t="n">
        <f>SUM(D414+E414)/2</f>
        <v>149</v>
      </c>
      <c r="G414" s="18" t="n">
        <v>244</v>
      </c>
      <c r="H414" s="18" t="n">
        <v>289</v>
      </c>
      <c r="I414" s="11" t="n">
        <f>SUM(G414+H414)/2</f>
        <v>266.5</v>
      </c>
      <c r="J414" s="16" t="n">
        <f>IF(F414=0,I414*2,F414/$N$603+I414)</f>
        <v>293.266333037455</v>
      </c>
      <c r="K414" s="18" t="n">
        <f>ROW(K414)-1</f>
        <v>413</v>
      </c>
      <c r="L414" s="18" t="n">
        <f t="array" ref="L414">INDEX(TOP3277!#REF!,MATCH(C414,TOP3277!$B$501:$B$3035,0))</f>
        <v>1700</v>
      </c>
    </row>
    <row r="415" ht="14.399999999999999" customHeight="1">
      <c r="A415" s="10" t="n">
        <v>374</v>
      </c>
      <c r="B415" s="10" t="s">
        <v>8434</v>
      </c>
      <c r="C415" s="10" t="s">
        <v>8435</v>
      </c>
      <c r="D415" s="10" t="n">
        <v>353</v>
      </c>
      <c r="E415" s="10" t="n">
        <v>563</v>
      </c>
      <c r="F415" s="11" t="n">
        <f>SUM(D415+E415)/2</f>
        <v>458</v>
      </c>
      <c r="G415" s="18" t="n">
        <v>189</v>
      </c>
      <c r="H415" s="18" t="n">
        <v>230</v>
      </c>
      <c r="I415" s="11" t="n">
        <f>SUM(G415+H415)/2</f>
        <v>209.5</v>
      </c>
      <c r="J415" s="16" t="n">
        <f>IF(F415=0,I415*2,F415/$N$603+I415)</f>
        <v>291.775037121842</v>
      </c>
      <c r="K415" s="18" t="n">
        <f>ROW(K415)-1</f>
        <v>414</v>
      </c>
      <c r="L415" s="18" t="e">
        <f t="array" ref="L415">INDEX(TOP3277!#REF!,MATCH(C415,TOP3277!$B$501:$B$3035,0))</f>
        <v>#N/A</v>
      </c>
    </row>
    <row r="416" ht="14.399999999999999" customHeight="1">
      <c r="A416" s="10" t="n">
        <v>453</v>
      </c>
      <c r="B416" s="10" t="s">
        <v>1157</v>
      </c>
      <c r="C416" s="10" t="s">
        <v>1158</v>
      </c>
      <c r="D416" s="10" t="n">
        <f t="array" ref="D416">INDEX('原始数据'!C$2:C$3689,MATCH($C416,'原始数据'!$B$2:$B$3689,0))</f>
        <v>201</v>
      </c>
      <c r="E416" s="10" t="n">
        <f t="array" ref="E416">INDEX('原始数据'!D$2:D$3689,MATCH($C416,'原始数据'!$B$2:$B$3689,0))</f>
        <v>321</v>
      </c>
      <c r="F416" s="11" t="n">
        <f t="array" ref="F416">INDEX('原始数据'!E$2:E$3689,MATCH($C416,'原始数据'!$B$2:$B$3689,0))</f>
        <v>261</v>
      </c>
      <c r="G416" s="10" t="n">
        <f t="array" ref="G416">INDEX('原始数据'!F$2:F$3689,MATCH($C416,'原始数据'!$B$2:$B$3689,0))</f>
        <v>211</v>
      </c>
      <c r="H416" s="10" t="n">
        <f t="array" ref="H416">INDEX('原始数据'!G$2:G$3689,MATCH($C416,'原始数据'!$B$2:$B$3689,0))</f>
        <v>267</v>
      </c>
      <c r="I416" s="11" t="n">
        <f t="array" ref="I416">INDEX('原始数据'!H$2:H$3689,MATCH($C416,'原始数据'!$B$2:$B$3689,0))</f>
        <v>239</v>
      </c>
      <c r="J416" s="16" t="n">
        <f>IF(F416=0,I416*2,F416/$N$603+I416)</f>
        <v>285.885992770307</v>
      </c>
      <c r="K416" s="18" t="n">
        <f>ROW(K416)-1</f>
        <v>415</v>
      </c>
      <c r="L416" s="18" t="n">
        <f t="array" ref="L416">INDEX(TOP3277!#REF!,MATCH(C416,TOP3277!$B$501:$B$3035,0))</f>
        <v>1698</v>
      </c>
    </row>
    <row r="417" ht="14.399999999999999" customHeight="1">
      <c r="A417" s="10" t="n">
        <v>501</v>
      </c>
      <c r="B417" s="10" t="s">
        <v>594</v>
      </c>
      <c r="C417" s="10" t="s">
        <v>595</v>
      </c>
      <c r="D417" s="10" t="n">
        <f t="array" ref="D417">INDEX('原始数据'!C$2:C$3689,MATCH($C417,'原始数据'!$B$2:$B$3689,0))</f>
        <v>663</v>
      </c>
      <c r="E417" s="10" t="n">
        <f t="array" ref="E417">INDEX('原始数据'!D$2:D$3689,MATCH($C417,'原始数据'!$B$2:$B$3689,0))</f>
        <v>1059</v>
      </c>
      <c r="F417" s="11" t="n">
        <f t="array" ref="F417">INDEX('原始数据'!E$2:E$3689,MATCH($C417,'原始数据'!$B$2:$B$3689,0))</f>
        <v>861</v>
      </c>
      <c r="G417" s="10" t="n">
        <f t="array" ref="G417">INDEX('原始数据'!F$2:F$3689,MATCH($C417,'原始数据'!$B$2:$B$3689,0))</f>
        <v>102</v>
      </c>
      <c r="H417" s="10" t="n">
        <f t="array" ref="H417">INDEX('原始数据'!G$2:G$3689,MATCH($C417,'原始数据'!$B$2:$B$3689,0))</f>
        <v>157</v>
      </c>
      <c r="I417" s="11" t="n">
        <f t="array" ref="I417">INDEX('原始数据'!H$2:H$3689,MATCH($C417,'原始数据'!$B$2:$B$3689,0))</f>
        <v>129.5</v>
      </c>
      <c r="J417" s="16" t="n">
        <f>IF(F417=0,I417*2,F417/$N$603+I417)</f>
        <v>284.169884196301</v>
      </c>
      <c r="K417" s="18" t="n">
        <f>ROW(K417)-1</f>
        <v>416</v>
      </c>
      <c r="L417" s="18" t="n">
        <f t="array" ref="L417">INDEX(TOP3277!#REF!,MATCH(C417,TOP3277!$B$501:$B$3035,0))</f>
        <v>1694</v>
      </c>
    </row>
    <row r="418" ht="14.399999999999999" customHeight="1">
      <c r="A418" s="10" t="n">
        <v>491</v>
      </c>
      <c r="B418" s="10" t="s">
        <v>1155</v>
      </c>
      <c r="C418" s="10" t="s">
        <v>1156</v>
      </c>
      <c r="D418" s="10" t="n">
        <f t="array" ref="D418">INDEX('原始数据'!C$2:C$3689,MATCH($C418,'原始数据'!$B$2:$B$3689,0))</f>
        <v>361</v>
      </c>
      <c r="E418" s="10" t="n">
        <f t="array" ref="E418">INDEX('原始数据'!D$2:D$3689,MATCH($C418,'原始数据'!$B$2:$B$3689,0))</f>
        <v>577</v>
      </c>
      <c r="F418" s="11" t="n">
        <f t="array" ref="F418">INDEX('原始数据'!E$2:E$3689,MATCH($C418,'原始数据'!$B$2:$B$3689,0))</f>
        <v>469</v>
      </c>
      <c r="G418" s="10" t="n">
        <f t="array" ref="G418">INDEX('原始数据'!F$2:F$3689,MATCH($C418,'原始数据'!$B$2:$B$3689,0))</f>
        <v>160</v>
      </c>
      <c r="H418" s="10" t="n">
        <f t="array" ref="H418">INDEX('原始数据'!G$2:G$3689,MATCH($C418,'原始数据'!$B$2:$B$3689,0))</f>
        <v>235</v>
      </c>
      <c r="I418" s="11" t="n">
        <f t="array" ref="I418">INDEX('原始数据'!H$2:H$3689,MATCH($C418,'原始数据'!$B$2:$B$3689,0))</f>
        <v>197.5</v>
      </c>
      <c r="J418" s="16" t="n">
        <f>IF(F418=0,I418*2,F418/$N$603+I418)</f>
        <v>281.751075131319</v>
      </c>
      <c r="K418" s="18" t="n">
        <f>ROW(K418)-1</f>
        <v>417</v>
      </c>
      <c r="L418" s="18" t="n">
        <f t="array" ref="L418">INDEX(TOP3277!#REF!,MATCH(C418,TOP3277!$B$501:$B$3035,0))</f>
        <v>1696</v>
      </c>
    </row>
    <row r="419" ht="14.399999999999999" customHeight="1">
      <c r="A419" s="10" t="n">
        <v>404</v>
      </c>
      <c r="B419" s="10" t="s">
        <v>668</v>
      </c>
      <c r="C419" s="10" t="s">
        <v>669</v>
      </c>
      <c r="D419" s="10" t="n">
        <f t="array" ref="D419">INDEX('原始数据'!C$2:C$3689,MATCH($C419,'原始数据'!$B$2:$B$3689,0))</f>
        <v>413</v>
      </c>
      <c r="E419" s="10" t="n">
        <f t="array" ref="E419">INDEX('原始数据'!D$2:D$3689,MATCH($C419,'原始数据'!$B$2:$B$3689,0))</f>
        <v>661</v>
      </c>
      <c r="F419" s="11" t="n">
        <f t="array" ref="F419">INDEX('原始数据'!E$2:E$3689,MATCH($C419,'原始数据'!$B$2:$B$3689,0))</f>
        <v>537</v>
      </c>
      <c r="G419" s="10" t="n">
        <f t="array" ref="G419">INDEX('原始数据'!F$2:F$3689,MATCH($C419,'原始数据'!$B$2:$B$3689,0))</f>
        <v>167</v>
      </c>
      <c r="H419" s="10" t="n">
        <f t="array" ref="H419">INDEX('原始数据'!G$2:G$3689,MATCH($C419,'原始数据'!$B$2:$B$3689,0))</f>
        <v>197</v>
      </c>
      <c r="I419" s="11" t="n">
        <f t="array" ref="I419">INDEX('原始数据'!H$2:H$3689,MATCH($C419,'原始数据'!$B$2:$B$3689,0))</f>
        <v>182</v>
      </c>
      <c r="J419" s="16" t="n">
        <f>IF(F419=0,I419*2,F419/$N$603+I419)</f>
        <v>278.466582826264</v>
      </c>
      <c r="K419" s="18" t="n">
        <f>ROW(K419)-1</f>
        <v>418</v>
      </c>
      <c r="L419" s="18" t="n">
        <f t="array" ref="L419">INDEX(TOP3277!#REF!,MATCH(C419,TOP3277!$B$501:$B$3035,0))</f>
        <v>1697</v>
      </c>
    </row>
    <row r="420" ht="14.399999999999999" customHeight="1">
      <c r="A420" s="10" t="n">
        <v>397</v>
      </c>
      <c r="B420" s="10" t="s">
        <v>5841</v>
      </c>
      <c r="C420" s="10" t="s">
        <v>5842</v>
      </c>
      <c r="D420" s="10" t="n">
        <f t="array" ref="D420">INDEX('原始数据'!C$2:C$3689,MATCH($C420,'原始数据'!$B$2:$B$3689,0))</f>
        <v>215</v>
      </c>
      <c r="E420" s="10" t="n">
        <f t="array" ref="E420">INDEX('原始数据'!D$2:D$3689,MATCH($C420,'原始数据'!$B$2:$B$3689,0))</f>
        <v>341</v>
      </c>
      <c r="F420" s="11" t="n">
        <f t="array" ref="F420">INDEX('原始数据'!E$2:E$3689,MATCH($C420,'原始数据'!$B$2:$B$3689,0))</f>
        <v>278</v>
      </c>
      <c r="G420" s="10" t="n">
        <f t="array" ref="G420">INDEX('原始数据'!F$2:F$3689,MATCH($C420,'原始数据'!$B$2:$B$3689,0))</f>
        <v>216</v>
      </c>
      <c r="H420" s="10" t="n">
        <f t="array" ref="H420">INDEX('原始数据'!G$2:G$3689,MATCH($C420,'原始数据'!$B$2:$B$3689,0))</f>
        <v>240</v>
      </c>
      <c r="I420" s="11" t="n">
        <f t="array" ref="I420">INDEX('原始数据'!H$2:H$3689,MATCH($C420,'原始数据'!$B$2:$B$3689,0))</f>
        <v>228</v>
      </c>
      <c r="J420" s="16" t="n">
        <f>IF(F420=0,I420*2,F420/$N$603+I420)</f>
        <v>277.939869694044</v>
      </c>
      <c r="K420" s="18" t="n">
        <f>ROW(K420)-1</f>
        <v>419</v>
      </c>
      <c r="L420" s="18" t="e">
        <f t="array" ref="L420">INDEX(TOP3277!#REF!,MATCH(C420,TOP3277!$B$501:$B$3035,0))</f>
        <v>#N/A</v>
      </c>
    </row>
    <row r="421" ht="14.399999999999999" customHeight="1">
      <c r="A421" s="10" t="n">
        <v>406</v>
      </c>
      <c r="B421" s="10" t="s">
        <v>666</v>
      </c>
      <c r="C421" s="10" t="s">
        <v>1228</v>
      </c>
      <c r="D421" s="10" t="n">
        <v>583</v>
      </c>
      <c r="E421" s="10" t="n">
        <v>935</v>
      </c>
      <c r="F421" s="11" t="n">
        <f>SUM(D421+E421)/2</f>
        <v>759</v>
      </c>
      <c r="G421" s="18" t="n">
        <v>121</v>
      </c>
      <c r="H421" s="18" t="n">
        <v>156</v>
      </c>
      <c r="I421" s="11" t="n">
        <f>SUM(G421+H421)/2</f>
        <v>138.5</v>
      </c>
      <c r="J421" s="16" t="n">
        <f>IF(F421=0,I421*2,F421/$N$603+I421)</f>
        <v>274.846622653882</v>
      </c>
      <c r="K421" s="18" t="n">
        <f>ROW(K421)-1</f>
        <v>420</v>
      </c>
      <c r="L421" s="18" t="n">
        <f t="array" ref="L421">INDEX(TOP3277!#REF!,MATCH(C421,TOP3277!$B$501:$B$3035,0))</f>
        <v>1739</v>
      </c>
    </row>
    <row r="422" ht="14.399999999999999" customHeight="1">
      <c r="A422" s="10" t="n">
        <v>322</v>
      </c>
      <c r="B422" s="10" t="s">
        <v>458</v>
      </c>
      <c r="C422" s="10" t="s">
        <v>1018</v>
      </c>
      <c r="D422" s="13" t="n">
        <v>1164</v>
      </c>
      <c r="E422" s="13" t="n">
        <v>1858</v>
      </c>
      <c r="F422" s="11" t="n">
        <f>SUM(D422+E422)/2</f>
        <v>1511</v>
      </c>
      <c r="G422" s="18" t="n">
        <v>0</v>
      </c>
      <c r="H422" s="18" t="n">
        <v>0</v>
      </c>
      <c r="I422" s="11" t="n">
        <f>SUM(G422+H422)/2</f>
        <v>0</v>
      </c>
      <c r="J422" s="16" t="n">
        <f>IF(F422=0,I422*2,F422/$N$603+I422)</f>
        <v>271.435766574461</v>
      </c>
      <c r="K422" s="18" t="n">
        <f>ROW(K422)-1</f>
        <v>421</v>
      </c>
      <c r="L422" s="18" t="n">
        <f t="array" ref="L422">INDEX(TOP3277!#REF!,MATCH(C422,TOP3277!$B$501:$B$3035,0))</f>
        <v>1690</v>
      </c>
    </row>
    <row r="423" ht="14.399999999999999" customHeight="1">
      <c r="A423" s="10" t="n">
        <v>310</v>
      </c>
      <c r="B423" s="10" t="s">
        <v>480</v>
      </c>
      <c r="C423" s="10" t="s">
        <v>481</v>
      </c>
      <c r="D423" s="13" t="n">
        <v>1071</v>
      </c>
      <c r="E423" s="13" t="n">
        <v>1711</v>
      </c>
      <c r="F423" s="11" t="n">
        <f>SUM(D423+E423)/2</f>
        <v>1391</v>
      </c>
      <c r="G423" s="18" t="n">
        <v>12</v>
      </c>
      <c r="H423" s="18" t="n">
        <v>28</v>
      </c>
      <c r="I423" s="11" t="n">
        <f>SUM(G423+H423)/2</f>
        <v>20</v>
      </c>
      <c r="J423" s="16" t="n">
        <f>IF(F423=0,I423*2,F423/$N$603+I423)</f>
        <v>269.878988289262</v>
      </c>
      <c r="K423" s="18" t="n">
        <f>ROW(K423)-1</f>
        <v>422</v>
      </c>
      <c r="L423" s="18" t="e">
        <f t="array" ref="L423">INDEX(TOP3277!#REF!,MATCH(C423,TOP3277!$B$501:$B$3035,0))</f>
        <v>#N/A</v>
      </c>
    </row>
    <row r="424" ht="14.399999999999999" customHeight="1">
      <c r="A424" s="10" t="n">
        <v>329</v>
      </c>
      <c r="B424" s="10" t="s">
        <v>1016</v>
      </c>
      <c r="C424" s="10" t="s">
        <v>1017</v>
      </c>
      <c r="D424" s="10" t="n">
        <v>924</v>
      </c>
      <c r="E424" s="13" t="n">
        <v>1478</v>
      </c>
      <c r="F424" s="11" t="n">
        <f>SUM(D424+E424)/2</f>
        <v>1201</v>
      </c>
      <c r="G424" s="18" t="n">
        <v>34</v>
      </c>
      <c r="H424" s="18" t="n">
        <v>65</v>
      </c>
      <c r="I424" s="11" t="n">
        <f>SUM(G424+H424)/2</f>
        <v>49.5</v>
      </c>
      <c r="J424" s="16" t="n">
        <f>IF(F424=0,I424*2,F424/$N$603+I424)</f>
        <v>265.247422671031</v>
      </c>
      <c r="K424" s="18" t="n">
        <f>ROW(K424)-1</f>
        <v>423</v>
      </c>
      <c r="L424" s="18" t="n">
        <f t="array" ref="L424">INDEX(TOP3277!#REF!,MATCH(C424,TOP3277!$B$501:$B$3035,0))</f>
        <v>1759</v>
      </c>
    </row>
    <row r="425" ht="14.399999999999999" customHeight="1">
      <c r="A425" s="10" t="n">
        <v>512</v>
      </c>
      <c r="B425" s="10" t="s">
        <v>6450</v>
      </c>
      <c r="C425" s="10" t="s">
        <v>6451</v>
      </c>
      <c r="D425" s="10" t="n">
        <f t="array" ref="D425">INDEX('原始数据'!C$2:C$3689,MATCH($C425,'原始数据'!$B$2:$B$3689,0))</f>
        <v>293</v>
      </c>
      <c r="E425" s="10" t="n">
        <f t="array" ref="E425">INDEX('原始数据'!D$2:D$3689,MATCH($C425,'原始数据'!$B$2:$B$3689,0))</f>
        <v>469</v>
      </c>
      <c r="F425" s="11" t="n">
        <f t="array" ref="F425">INDEX('原始数据'!E$2:E$3689,MATCH($C425,'原始数据'!$B$2:$B$3689,0))</f>
        <v>381</v>
      </c>
      <c r="G425" s="10" t="n">
        <f t="array" ref="G425">INDEX('原始数据'!F$2:F$3689,MATCH($C425,'原始数据'!$B$2:$B$3689,0))</f>
        <v>161</v>
      </c>
      <c r="H425" s="10" t="n">
        <f t="array" ref="H425">INDEX('原始数据'!G$2:G$3689,MATCH($C425,'原始数据'!$B$2:$B$3689,0))</f>
        <v>232</v>
      </c>
      <c r="I425" s="11" t="n">
        <f t="array" ref="I425">INDEX('原始数据'!H$2:H$3689,MATCH($C425,'原始数据'!$B$2:$B$3689,0))</f>
        <v>196.5</v>
      </c>
      <c r="J425" s="16" t="n">
        <f>IF(F425=0,I425*2,F425/$N$603+I425)</f>
        <v>264.942771055506</v>
      </c>
      <c r="K425" s="18" t="n">
        <f>ROW(K425)-1</f>
        <v>424</v>
      </c>
      <c r="L425" s="18" t="e">
        <f t="array" ref="L425">INDEX(TOP3277!#REF!,MATCH(C425,TOP3277!$B$501:$B$3035,0))</f>
        <v>#N/A</v>
      </c>
    </row>
    <row r="426" ht="14.399999999999999" customHeight="1">
      <c r="A426" s="10" t="n">
        <v>377</v>
      </c>
      <c r="B426" s="10" t="s">
        <v>552</v>
      </c>
      <c r="C426" s="10" t="s">
        <v>1169</v>
      </c>
      <c r="D426" s="10" t="n">
        <v>863</v>
      </c>
      <c r="E426" s="13" t="n">
        <v>1379</v>
      </c>
      <c r="F426" s="11" t="n">
        <f>SUM(D426+E426)/2</f>
        <v>1121</v>
      </c>
      <c r="G426" s="18" t="n">
        <v>51</v>
      </c>
      <c r="H426" s="18" t="n">
        <v>74</v>
      </c>
      <c r="I426" s="11" t="n">
        <f>SUM(G426+H426)/2</f>
        <v>62.5</v>
      </c>
      <c r="J426" s="16" t="n">
        <f>IF(F426=0,I426*2,F426/$N$603+I426)</f>
        <v>263.876237147565</v>
      </c>
      <c r="K426" s="18" t="n">
        <f>ROW(K426)-1</f>
        <v>425</v>
      </c>
      <c r="L426" s="18" t="n">
        <f t="array" ref="L426">INDEX(TOP3277!#REF!,MATCH(C426,TOP3277!$B$501:$B$3035,0))</f>
        <v>1720</v>
      </c>
    </row>
    <row r="427" ht="14.399999999999999" customHeight="1">
      <c r="A427" s="10" t="n">
        <v>365</v>
      </c>
      <c r="B427" s="10" t="s">
        <v>1581</v>
      </c>
      <c r="C427" s="10" t="s">
        <v>1582</v>
      </c>
      <c r="D427" s="10" t="n">
        <f t="array" ref="D427">INDEX('原始数据'!C$2:C$3689,MATCH($C427,'原始数据'!$B$2:$B$3689,0))</f>
        <v>273</v>
      </c>
      <c r="E427" s="10" t="n">
        <f t="array" ref="E427">INDEX('原始数据'!D$2:D$3689,MATCH($C427,'原始数据'!$B$2:$B$3689,0))</f>
        <v>437</v>
      </c>
      <c r="F427" s="11" t="n">
        <f t="array" ref="F427">INDEX('原始数据'!E$2:E$3689,MATCH($C427,'原始数据'!$B$2:$B$3689,0))</f>
        <v>355</v>
      </c>
      <c r="G427" s="10" t="n">
        <f t="array" ref="G427">INDEX('原始数据'!F$2:F$3689,MATCH($C427,'原始数据'!$B$2:$B$3689,0))</f>
        <v>165</v>
      </c>
      <c r="H427" s="10" t="n">
        <f t="array" ref="H427">INDEX('原始数据'!G$2:G$3689,MATCH($C427,'原始数据'!$B$2:$B$3689,0))</f>
        <v>231</v>
      </c>
      <c r="I427" s="11" t="n">
        <f t="array" ref="I427">INDEX('原始数据'!H$2:H$3689,MATCH($C427,'原始数据'!$B$2:$B$3689,0))</f>
        <v>198</v>
      </c>
      <c r="J427" s="16" t="n">
        <f>IF(F427=0,I427*2,F427/$N$603+I427)</f>
        <v>261.77213576038</v>
      </c>
      <c r="K427" s="18" t="n">
        <f>ROW(K427)-1</f>
        <v>426</v>
      </c>
      <c r="L427" s="18" t="n">
        <f t="array" ref="L427">INDEX(TOP3277!#REF!,MATCH(C427,TOP3277!$B$501:$B$3035,0))</f>
        <v>1704</v>
      </c>
    </row>
    <row r="428" ht="14.399999999999999" customHeight="1">
      <c r="A428" s="10" t="n">
        <v>398</v>
      </c>
      <c r="B428" s="10" t="s">
        <v>1167</v>
      </c>
      <c r="C428" s="10" t="s">
        <v>1168</v>
      </c>
      <c r="D428" s="10" t="n">
        <f t="array" ref="D428">INDEX('原始数据'!C$2:C$3689,MATCH($C428,'原始数据'!$B$2:$B$3689,0))</f>
        <v>378</v>
      </c>
      <c r="E428" s="10" t="n">
        <f t="array" ref="E428">INDEX('原始数据'!D$2:D$3689,MATCH($C428,'原始数据'!$B$2:$B$3689,0))</f>
        <v>604</v>
      </c>
      <c r="F428" s="11" t="n">
        <f t="array" ref="F428">INDEX('原始数据'!E$2:E$3689,MATCH($C428,'原始数据'!$B$2:$B$3689,0))</f>
        <v>491</v>
      </c>
      <c r="G428" s="10" t="n">
        <f t="array" ref="G428">INDEX('原始数据'!F$2:F$3689,MATCH($C428,'原始数据'!$B$2:$B$3689,0))</f>
        <v>158</v>
      </c>
      <c r="H428" s="10" t="n">
        <f t="array" ref="H428">INDEX('原始数据'!G$2:G$3689,MATCH($C428,'原始数据'!$B$2:$B$3689,0))</f>
        <v>181</v>
      </c>
      <c r="I428" s="11" t="n">
        <f t="array" ref="I428">INDEX('原始数据'!H$2:H$3689,MATCH($C428,'原始数据'!$B$2:$B$3689,0))</f>
        <v>169.5</v>
      </c>
      <c r="J428" s="16" t="n">
        <f>IF(F428=0,I428*2,F428/$N$603+I428)</f>
        <v>257.703151150272</v>
      </c>
      <c r="K428" s="18" t="n">
        <f>ROW(K428)-1</f>
        <v>427</v>
      </c>
      <c r="L428" s="18" t="n">
        <f t="array" ref="L428">INDEX(TOP3277!#REF!,MATCH(C428,TOP3277!$B$501:$B$3035,0))</f>
        <v>1703</v>
      </c>
    </row>
    <row r="429" ht="14.399999999999999" customHeight="1">
      <c r="A429" s="10" t="n">
        <v>410</v>
      </c>
      <c r="B429" s="10" t="s">
        <v>548</v>
      </c>
      <c r="C429" s="10" t="s">
        <v>1621</v>
      </c>
      <c r="D429" s="10" t="n">
        <v>905</v>
      </c>
      <c r="E429" s="13" t="n">
        <v>1447</v>
      </c>
      <c r="F429" s="11" t="n">
        <f>SUM(D429+E429)/2</f>
        <v>1176</v>
      </c>
      <c r="G429" s="18" t="n">
        <v>25</v>
      </c>
      <c r="H429" s="18" t="n">
        <v>50</v>
      </c>
      <c r="I429" s="11" t="n">
        <f>SUM(G429+H429)/2</f>
        <v>37.5</v>
      </c>
      <c r="J429" s="16" t="n">
        <f>IF(F429=0,I429*2,F429/$N$603+I429)</f>
        <v>248.756427194948</v>
      </c>
      <c r="K429" s="18" t="n">
        <f>ROW(K429)-1</f>
        <v>428</v>
      </c>
      <c r="L429" s="18" t="n">
        <f t="array" ref="L429">INDEX(TOP3277!#REF!,MATCH(C429,TOP3277!$B$501:$B$3035,0))</f>
        <v>1716</v>
      </c>
    </row>
    <row r="430" ht="14.399999999999999" customHeight="1">
      <c r="A430" s="10" t="n">
        <v>390</v>
      </c>
      <c r="B430" s="10" t="s">
        <v>1186</v>
      </c>
      <c r="C430" s="10" t="s">
        <v>1187</v>
      </c>
      <c r="D430" s="10" t="n">
        <v>354</v>
      </c>
      <c r="E430" s="10" t="n">
        <v>566</v>
      </c>
      <c r="F430" s="11" t="n">
        <f>SUM(D430+E430)/2</f>
        <v>460</v>
      </c>
      <c r="G430" s="18" t="n">
        <v>137</v>
      </c>
      <c r="H430" s="18" t="n">
        <v>193</v>
      </c>
      <c r="I430" s="11" t="n">
        <f>SUM(G430+H430)/2</f>
        <v>165</v>
      </c>
      <c r="J430" s="16" t="n">
        <f>IF(F430=0,I430*2,F430/$N$603+I430)</f>
        <v>247.634316759929</v>
      </c>
      <c r="K430" s="18" t="n">
        <f>ROW(K430)-1</f>
        <v>429</v>
      </c>
      <c r="L430" s="18" t="n">
        <f t="array" ref="L430">INDEX(TOP3277!#REF!,MATCH(C430,TOP3277!$B$501:$B$3035,0))</f>
        <v>1729</v>
      </c>
    </row>
    <row r="431" ht="14.399999999999999" customHeight="1">
      <c r="A431" s="10" t="n">
        <v>370</v>
      </c>
      <c r="B431" s="10" t="s">
        <v>486</v>
      </c>
      <c r="C431" s="10" t="s">
        <v>487</v>
      </c>
      <c r="D431" s="10" t="n">
        <f t="array" ref="D431">INDEX('原始数据'!C$2:C$3689,MATCH($C431,'原始数据'!$B$2:$B$3689,0))</f>
        <v>751</v>
      </c>
      <c r="E431" s="10" t="n">
        <f t="array" ref="E431">INDEX('原始数据'!D$2:D$3689,MATCH($C431,'原始数据'!$B$2:$B$3689,0))</f>
        <v>1197</v>
      </c>
      <c r="F431" s="11" t="n">
        <f t="array" ref="F431">INDEX('原始数据'!E$2:E$3689,MATCH($C431,'原始数据'!$B$2:$B$3689,0))</f>
        <v>974</v>
      </c>
      <c r="G431" s="10" t="n">
        <f t="array" ref="G431">INDEX('原始数据'!F$2:F$3689,MATCH($C431,'原始数据'!$B$2:$B$3689,0))</f>
        <v>60</v>
      </c>
      <c r="H431" s="10" t="n">
        <f t="array" ref="H431">INDEX('原始数据'!G$2:G$3689,MATCH($C431,'原始数据'!$B$2:$B$3689,0))</f>
        <v>83</v>
      </c>
      <c r="I431" s="11" t="n">
        <f t="array" ref="I431">INDEX('原始数据'!H$2:H$3689,MATCH($C431,'原始数据'!$B$2:$B$3689,0))</f>
        <v>71.5</v>
      </c>
      <c r="J431" s="16" t="n">
        <f>IF(F431=0,I431*2,F431/$N$603+I431)</f>
        <v>246.469183748197</v>
      </c>
      <c r="K431" s="18" t="n">
        <f>ROW(K431)-1</f>
        <v>430</v>
      </c>
      <c r="L431" s="18" t="n">
        <f t="array" ref="L431">INDEX(TOP3277!#REF!,MATCH(C431,TOP3277!$B$501:$B$3035,0))</f>
        <v>1702</v>
      </c>
    </row>
    <row r="432" ht="14.399999999999999" customHeight="1">
      <c r="A432" s="10" t="n">
        <v>354</v>
      </c>
      <c r="B432" s="10" t="s">
        <v>592</v>
      </c>
      <c r="C432" s="10" t="s">
        <v>593</v>
      </c>
      <c r="D432" s="10" t="n">
        <f t="array" ref="D432">INDEX('原始数据'!C$2:C$3689,MATCH($C432,'原始数据'!$B$2:$B$3689,0))</f>
        <v>516</v>
      </c>
      <c r="E432" s="10" t="n">
        <f t="array" ref="E432">INDEX('原始数据'!D$2:D$3689,MATCH($C432,'原始数据'!$B$2:$B$3689,0))</f>
        <v>824</v>
      </c>
      <c r="F432" s="11" t="n">
        <f t="array" ref="F432">INDEX('原始数据'!E$2:E$3689,MATCH($C432,'原始数据'!$B$2:$B$3689,0))</f>
        <v>670</v>
      </c>
      <c r="G432" s="10" t="n">
        <f t="array" ref="G432">INDEX('原始数据'!F$2:F$3689,MATCH($C432,'原始数据'!$B$2:$B$3689,0))</f>
        <v>100</v>
      </c>
      <c r="H432" s="10" t="n">
        <f t="array" ref="H432">INDEX('原始数据'!G$2:G$3689,MATCH($C432,'原始数据'!$B$2:$B$3689,0))</f>
        <v>141</v>
      </c>
      <c r="I432" s="11" t="n">
        <f t="array" ref="I432">INDEX('原始数据'!H$2:H$3689,MATCH($C432,'原始数据'!$B$2:$B$3689,0))</f>
        <v>120.5</v>
      </c>
      <c r="J432" s="16" t="n">
        <f>IF(F432=0,I432*2,F432/$N$603+I432)</f>
        <v>240.858678759026</v>
      </c>
      <c r="K432" s="18" t="n">
        <f>ROW(K432)-1</f>
        <v>431</v>
      </c>
      <c r="L432" s="18" t="n">
        <f t="array" ref="L432">INDEX(TOP3277!#REF!,MATCH(C432,TOP3277!$B$501:$B$3035,0))</f>
        <v>1707</v>
      </c>
    </row>
    <row r="433" ht="14.399999999999999" customHeight="1">
      <c r="A433" s="10" t="n">
        <v>427</v>
      </c>
      <c r="B433" s="10" t="s">
        <v>1603</v>
      </c>
      <c r="C433" s="10" t="s">
        <v>1604</v>
      </c>
      <c r="D433" s="10" t="n">
        <v>160</v>
      </c>
      <c r="E433" s="10" t="n">
        <v>256</v>
      </c>
      <c r="F433" s="11" t="n">
        <f>SUM(D433+E433)/2</f>
        <v>208</v>
      </c>
      <c r="G433" s="18" t="n">
        <v>192</v>
      </c>
      <c r="H433" s="18" t="n">
        <v>213</v>
      </c>
      <c r="I433" s="11" t="n">
        <f>SUM(G433+H433)/2</f>
        <v>202.5</v>
      </c>
      <c r="J433" s="16" t="n">
        <f>IF(F433=0,I433*2,F433/$N$603+I433)</f>
        <v>239.865082361011</v>
      </c>
      <c r="K433" s="18" t="n">
        <f>ROW(K433)-1</f>
        <v>432</v>
      </c>
      <c r="L433" s="18" t="n">
        <f t="array" ref="L433">INDEX(TOP3277!#REF!,MATCH(C433,TOP3277!$B$501:$B$3035,0))</f>
        <v>1709</v>
      </c>
    </row>
    <row r="434" ht="14.399999999999999" customHeight="1">
      <c r="A434" s="10" t="n">
        <v>419</v>
      </c>
      <c r="B434" s="10" t="s">
        <v>1601</v>
      </c>
      <c r="C434" s="10" t="s">
        <v>1602</v>
      </c>
      <c r="D434" s="10" t="n">
        <f t="array" ref="D434">INDEX('原始数据'!C$2:C$3689,MATCH($C434,'原始数据'!$B$2:$B$3689,0))</f>
        <v>515</v>
      </c>
      <c r="E434" s="10" t="n">
        <f t="array" ref="E434">INDEX('原始数据'!D$2:D$3689,MATCH($C434,'原始数据'!$B$2:$B$3689,0))</f>
        <v>821</v>
      </c>
      <c r="F434" s="11" t="n">
        <f t="array" ref="F434">INDEX('原始数据'!E$2:E$3689,MATCH($C434,'原始数据'!$B$2:$B$3689,0))</f>
        <v>668</v>
      </c>
      <c r="G434" s="10" t="n">
        <f t="array" ref="G434">INDEX('原始数据'!F$2:F$3689,MATCH($C434,'原始数据'!$B$2:$B$3689,0))</f>
        <v>100</v>
      </c>
      <c r="H434" s="10" t="n">
        <f t="array" ref="H434">INDEX('原始数据'!G$2:G$3689,MATCH($C434,'原始数据'!$B$2:$B$3689,0))</f>
        <v>135</v>
      </c>
      <c r="I434" s="11" t="n">
        <f t="array" ref="I434">INDEX('原始数据'!H$2:H$3689,MATCH($C434,'原始数据'!$B$2:$B$3689,0))</f>
        <v>117.5</v>
      </c>
      <c r="J434" s="16" t="n">
        <f>IF(F434=0,I434*2,F434/$N$603+I434)</f>
        <v>237.49939912094</v>
      </c>
      <c r="K434" s="18" t="n">
        <f>ROW(K434)-1</f>
        <v>433</v>
      </c>
      <c r="L434" s="18" t="n">
        <f t="array" ref="L434">INDEX(TOP3277!#REF!,MATCH(C434,TOP3277!$B$501:$B$3035,0))</f>
        <v>1708</v>
      </c>
    </row>
    <row r="435" ht="14.399999999999999" customHeight="1">
      <c r="A435" s="10" t="n">
        <v>403</v>
      </c>
      <c r="B435" s="10" t="s">
        <v>6486</v>
      </c>
      <c r="C435" s="10" t="s">
        <v>6487</v>
      </c>
      <c r="D435" s="10" t="n">
        <f t="array" ref="D435">INDEX('原始数据'!C$2:C$3689,MATCH($C435,'原始数据'!$B$2:$B$3689,0))</f>
        <v>267</v>
      </c>
      <c r="E435" s="10" t="n">
        <f t="array" ref="E435">INDEX('原始数据'!D$2:D$3689,MATCH($C435,'原始数据'!$B$2:$B$3689,0))</f>
        <v>429</v>
      </c>
      <c r="F435" s="11" t="n">
        <f t="array" ref="F435">INDEX('原始数据'!E$2:E$3689,MATCH($C435,'原始数据'!$B$2:$B$3689,0))</f>
        <v>348</v>
      </c>
      <c r="G435" s="10" t="n">
        <f t="array" ref="G435">INDEX('原始数据'!F$2:F$3689,MATCH($C435,'原始数据'!$B$2:$B$3689,0))</f>
        <v>158</v>
      </c>
      <c r="H435" s="10" t="n">
        <f t="array" ref="H435">INDEX('原始数据'!G$2:G$3689,MATCH($C435,'原始数据'!$B$2:$B$3689,0))</f>
        <v>190</v>
      </c>
      <c r="I435" s="11" t="n">
        <f t="array" ref="I435">INDEX('原始数据'!H$2:H$3689,MATCH($C435,'原始数据'!$B$2:$B$3689,0))</f>
        <v>174</v>
      </c>
      <c r="J435" s="16" t="n">
        <f>IF(F435=0,I435*2,F435/$N$603+I435)</f>
        <v>236.514657027076</v>
      </c>
      <c r="K435" s="18" t="n">
        <f>ROW(K435)-1</f>
        <v>434</v>
      </c>
      <c r="L435" s="18" t="e">
        <f t="array" ref="L435">INDEX(TOP3277!#REF!,MATCH(C435,TOP3277!$B$501:$B$3035,0))</f>
        <v>#N/A</v>
      </c>
    </row>
    <row r="436" ht="14.399999999999999" customHeight="1">
      <c r="A436" s="10" t="n">
        <v>474</v>
      </c>
      <c r="B436" s="10" t="s">
        <v>8436</v>
      </c>
      <c r="C436" s="10" t="s">
        <v>8437</v>
      </c>
      <c r="D436" s="10" t="n">
        <v>667</v>
      </c>
      <c r="E436" s="13" t="n">
        <v>1065</v>
      </c>
      <c r="F436" s="11" t="n">
        <f>SUM(D436+E436)/2</f>
        <v>866</v>
      </c>
      <c r="G436" s="18" t="n">
        <v>61</v>
      </c>
      <c r="H436" s="18" t="n">
        <v>99</v>
      </c>
      <c r="I436" s="11" t="n">
        <f>SUM(G436+H436)/2</f>
        <v>80</v>
      </c>
      <c r="J436" s="16" t="n">
        <f>IF(F436=0,I436*2,F436/$N$603+I436)</f>
        <v>235.568083291518</v>
      </c>
      <c r="K436" s="18" t="n">
        <f>ROW(K436)-1</f>
        <v>435</v>
      </c>
      <c r="L436" s="18" t="e">
        <f t="array" ref="L436">INDEX(TOP3277!#REF!,MATCH(C436,TOP3277!$B$501:$B$3035,0))</f>
        <v>#N/A</v>
      </c>
    </row>
    <row r="437" ht="14.399999999999999" customHeight="1">
      <c r="A437" s="10" t="n">
        <v>405</v>
      </c>
      <c r="B437" s="10" t="s">
        <v>1336</v>
      </c>
      <c r="C437" s="10" t="s">
        <v>1337</v>
      </c>
      <c r="D437" s="10" t="n">
        <v>724</v>
      </c>
      <c r="E437" s="13" t="n">
        <v>1158</v>
      </c>
      <c r="F437" s="11" t="n">
        <f>SUM(D437+E437)/2</f>
        <v>941</v>
      </c>
      <c r="G437" s="18" t="n">
        <v>51</v>
      </c>
      <c r="H437" s="18" t="n">
        <v>73</v>
      </c>
      <c r="I437" s="11" t="n">
        <f>SUM(G437+H437)/2</f>
        <v>62</v>
      </c>
      <c r="J437" s="16" t="n">
        <f>IF(F437=0,I437*2,F437/$N$603+I437)</f>
        <v>231.041069719767</v>
      </c>
      <c r="K437" s="18" t="n">
        <f>ROW(K437)-1</f>
        <v>436</v>
      </c>
      <c r="L437" s="18" t="n">
        <f t="array" ref="L437">INDEX(TOP3277!#REF!,MATCH(C437,TOP3277!$B$501:$B$3035,0))</f>
        <v>1798</v>
      </c>
    </row>
    <row r="438" ht="14.399999999999999" customHeight="1">
      <c r="A438" s="10" t="n">
        <v>417</v>
      </c>
      <c r="B438" s="10" t="s">
        <v>8438</v>
      </c>
      <c r="C438" s="10" t="s">
        <v>8439</v>
      </c>
      <c r="D438" s="10" t="n">
        <v>379</v>
      </c>
      <c r="E438" s="10" t="n">
        <v>605</v>
      </c>
      <c r="F438" s="11" t="n">
        <f>SUM(D438+E438)/2</f>
        <v>492</v>
      </c>
      <c r="G438" s="18" t="n">
        <v>115</v>
      </c>
      <c r="H438" s="18" t="n">
        <v>165</v>
      </c>
      <c r="I438" s="11" t="n">
        <f>SUM(G438+H438)/2</f>
        <v>140</v>
      </c>
      <c r="J438" s="16" t="n">
        <f>IF(F438=0,I438*2,F438/$N$603+I438)</f>
        <v>228.382790969315</v>
      </c>
      <c r="K438" s="18" t="n">
        <f>ROW(K438)-1</f>
        <v>437</v>
      </c>
      <c r="L438" s="18" t="e">
        <f t="array" ref="L438">INDEX(TOP3277!#REF!,MATCH(C438,TOP3277!$B$501:$B$3035,0))</f>
        <v>#N/A</v>
      </c>
    </row>
    <row r="439" ht="14.399999999999999" customHeight="1">
      <c r="A439" s="10" t="n">
        <v>488</v>
      </c>
      <c r="B439" s="10" t="s">
        <v>664</v>
      </c>
      <c r="C439" s="10" t="s">
        <v>8440</v>
      </c>
      <c r="D439" s="10" t="n">
        <v>956</v>
      </c>
      <c r="E439" s="13" t="n">
        <v>1528</v>
      </c>
      <c r="F439" s="11" t="n">
        <f>SUM(D439+E439)/2</f>
        <v>1242</v>
      </c>
      <c r="G439" s="18" t="n">
        <v>3</v>
      </c>
      <c r="H439" s="18" t="n">
        <v>4</v>
      </c>
      <c r="I439" s="11" t="n">
        <f>SUM(G439+H439)/2</f>
        <v>3.5</v>
      </c>
      <c r="J439" s="16" t="n">
        <f>IF(F439=0,I439*2,F439/$N$603+I439)</f>
        <v>226.612655251807</v>
      </c>
      <c r="K439" s="18" t="n">
        <f>ROW(K439)-1</f>
        <v>438</v>
      </c>
      <c r="L439" s="18" t="e">
        <f t="array" ref="L439">INDEX(TOP3277!#REF!,MATCH(C439,TOP3277!$B$501:$B$3035,0))</f>
        <v>#N/A</v>
      </c>
    </row>
    <row r="440" ht="14.399999999999999" customHeight="1">
      <c r="A440" s="10" t="n">
        <v>441</v>
      </c>
      <c r="B440" s="10" t="s">
        <v>8047</v>
      </c>
      <c r="C440" s="10" t="s">
        <v>8048</v>
      </c>
      <c r="D440" s="10" t="n">
        <f t="array" ref="D440">INDEX('原始数据'!C$2:C$3689,MATCH($C440,'原始数据'!$B$2:$B$3689,0))</f>
        <v>427</v>
      </c>
      <c r="E440" s="10" t="n">
        <f t="array" ref="E440">INDEX('原始数据'!D$2:D$3689,MATCH($C440,'原始数据'!$B$2:$B$3689,0))</f>
        <v>683</v>
      </c>
      <c r="F440" s="11" t="n">
        <f t="array" ref="F440">INDEX('原始数据'!E$2:E$3689,MATCH($C440,'原始数据'!$B$2:$B$3689,0))</f>
        <v>555</v>
      </c>
      <c r="G440" s="10" t="n">
        <f t="array" ref="G440">INDEX('原始数据'!F$2:F$3689,MATCH($C440,'原始数据'!$B$2:$B$3689,0))</f>
        <v>107</v>
      </c>
      <c r="H440" s="10" t="n">
        <f t="array" ref="H440">INDEX('原始数据'!G$2:G$3689,MATCH($C440,'原始数据'!$B$2:$B$3689,0))</f>
        <v>124</v>
      </c>
      <c r="I440" s="11" t="n">
        <f t="array" ref="I440">INDEX('原始数据'!H$2:H$3689,MATCH($C440,'原始数据'!$B$2:$B$3689,0))</f>
        <v>115.5</v>
      </c>
      <c r="J440" s="16" t="n">
        <f>IF(F440=0,I440*2,F440/$N$603+I440)</f>
        <v>215.200099569044</v>
      </c>
      <c r="K440" s="18" t="n">
        <f>ROW(K440)-1</f>
        <v>439</v>
      </c>
      <c r="L440" s="18" t="e">
        <f t="array" ref="L440">INDEX(TOP3277!#REF!,MATCH(C440,TOP3277!$B$501:$B$3035,0))</f>
        <v>#N/A</v>
      </c>
    </row>
    <row r="441" ht="14.399999999999999" customHeight="1">
      <c r="A441" s="10" t="n">
        <v>570</v>
      </c>
      <c r="B441" s="10" t="s">
        <v>1622</v>
      </c>
      <c r="C441" s="10" t="s">
        <v>1623</v>
      </c>
      <c r="D441" s="10" t="n">
        <f t="array" ref="D441">INDEX('原始数据'!C$2:C$3689,MATCH($C441,'原始数据'!$B$2:$B$3689,0))</f>
        <v>572</v>
      </c>
      <c r="E441" s="10" t="n">
        <f t="array" ref="E441">INDEX('原始数据'!D$2:D$3689,MATCH($C441,'原始数据'!$B$2:$B$3689,0))</f>
        <v>912</v>
      </c>
      <c r="F441" s="11" t="n">
        <f t="array" ref="F441">INDEX('原始数据'!E$2:E$3689,MATCH($C441,'原始数据'!$B$2:$B$3689,0))</f>
        <v>742</v>
      </c>
      <c r="G441" s="10" t="n">
        <f t="array" ref="G441">INDEX('原始数据'!F$2:F$3689,MATCH($C441,'原始数据'!$B$2:$B$3689,0))</f>
        <v>59</v>
      </c>
      <c r="H441" s="10" t="n">
        <f t="array" ref="H441">INDEX('原始数据'!G$2:G$3689,MATCH($C441,'原始数据'!$B$2:$B$3689,0))</f>
        <v>83</v>
      </c>
      <c r="I441" s="11" t="n">
        <f t="array" ref="I441">INDEX('原始数据'!H$2:H$3689,MATCH($C441,'原始数据'!$B$2:$B$3689,0))</f>
        <v>71</v>
      </c>
      <c r="J441" s="16" t="n">
        <f>IF(F441=0,I441*2,F441/$N$603+I441)</f>
        <v>204.292745730146</v>
      </c>
      <c r="K441" s="18" t="n">
        <f>ROW(K441)-1</f>
        <v>440</v>
      </c>
      <c r="L441" s="18" t="n">
        <f t="array" ref="L441">INDEX(TOP3277!#REF!,MATCH(C441,TOP3277!$B$501:$B$3035,0))</f>
        <v>1718</v>
      </c>
    </row>
    <row r="442" ht="14.399999999999999" customHeight="1">
      <c r="A442" s="10" t="n">
        <v>378</v>
      </c>
      <c r="B442" s="10" t="s">
        <v>578</v>
      </c>
      <c r="C442" s="10" t="s">
        <v>579</v>
      </c>
      <c r="D442" s="10" t="n">
        <f t="array" ref="D442">INDEX('原始数据'!C$2:C$3689,MATCH($C442,'原始数据'!$B$2:$B$3689,0))</f>
        <v>847</v>
      </c>
      <c r="E442" s="10" t="n">
        <f t="array" ref="E442">INDEX('原始数据'!D$2:D$3689,MATCH($C442,'原始数据'!$B$2:$B$3689,0))</f>
        <v>1355</v>
      </c>
      <c r="F442" s="11" t="n">
        <f t="array" ref="F442">INDEX('原始数据'!E$2:E$3689,MATCH($C442,'原始数据'!$B$2:$B$3689,0))</f>
        <v>1101</v>
      </c>
      <c r="G442" s="10" t="n">
        <f t="array" ref="G442">INDEX('原始数据'!F$2:F$3689,MATCH($C442,'原始数据'!$B$2:$B$3689,0))</f>
        <v>0</v>
      </c>
      <c r="H442" s="10" t="n">
        <f t="array" ref="H442">INDEX('原始数据'!G$2:G$3689,MATCH($C442,'原始数据'!$B$2:$B$3689,0))</f>
        <v>0</v>
      </c>
      <c r="I442" s="11" t="n">
        <f t="array" ref="I442">INDEX('原始数据'!H$2:H$3689,MATCH($C442,'原始数据'!$B$2:$B$3689,0))</f>
        <v>0</v>
      </c>
      <c r="J442" s="16" t="n">
        <f>IF(F442=0,I442*2,F442/$N$603+I442)</f>
        <v>197.783440766699</v>
      </c>
      <c r="K442" s="18" t="n">
        <f>ROW(K442)-1</f>
        <v>441</v>
      </c>
      <c r="L442" s="18" t="n">
        <f t="array" ref="L442">INDEX(TOP3277!#REF!,MATCH(C442,TOP3277!$B$501:$B$3035,0))</f>
        <v>1717</v>
      </c>
    </row>
    <row r="443" ht="14.399999999999999" customHeight="1">
      <c r="A443" s="10" t="n">
        <v>420</v>
      </c>
      <c r="B443" s="10" t="s">
        <v>1218</v>
      </c>
      <c r="C443" s="10" t="s">
        <v>1219</v>
      </c>
      <c r="D443" s="10" t="n">
        <f t="array" ref="D443">INDEX('原始数据'!C$2:C$3689,MATCH($C443,'原始数据'!$B$2:$B$3689,0))</f>
        <v>43</v>
      </c>
      <c r="E443" s="10" t="n">
        <f t="array" ref="E443">INDEX('原始数据'!D$2:D$3689,MATCH($C443,'原始数据'!$B$2:$B$3689,0))</f>
        <v>69</v>
      </c>
      <c r="F443" s="11" t="n">
        <f t="array" ref="F443">INDEX('原始数据'!E$2:E$3689,MATCH($C443,'原始数据'!$B$2:$B$3689,0))</f>
        <v>56</v>
      </c>
      <c r="G443" s="10" t="n">
        <f t="array" ref="G443">INDEX('原始数据'!F$2:F$3689,MATCH($C443,'原始数据'!$B$2:$B$3689,0))</f>
        <v>153</v>
      </c>
      <c r="H443" s="10" t="n">
        <f t="array" ref="H443">INDEX('原始数据'!G$2:G$3689,MATCH($C443,'原始数据'!$B$2:$B$3689,0))</f>
        <v>221</v>
      </c>
      <c r="I443" s="11" t="n">
        <f t="array" ref="I443">INDEX('原始数据'!H$2:H$3689,MATCH($C443,'原始数据'!$B$2:$B$3689,0))</f>
        <v>187</v>
      </c>
      <c r="J443" s="16" t="n">
        <f>IF(F443=0,I443*2,F443/$N$603+I443)</f>
        <v>197.059829866426</v>
      </c>
      <c r="K443" s="18" t="n">
        <f>ROW(K443)-1</f>
        <v>442</v>
      </c>
      <c r="L443" s="18" t="n">
        <f t="array" ref="L443">INDEX(TOP3277!#REF!,MATCH(C443,TOP3277!$B$501:$B$3035,0))</f>
        <v>1732</v>
      </c>
    </row>
    <row r="444" ht="14.399999999999999" customHeight="1">
      <c r="A444" s="10" t="n">
        <v>412</v>
      </c>
      <c r="B444" s="10" t="s">
        <v>1805</v>
      </c>
      <c r="C444" s="10" t="s">
        <v>1806</v>
      </c>
      <c r="D444" s="10" t="n">
        <f t="array" ref="D444">INDEX('原始数据'!C$2:C$3689,MATCH($C444,'原始数据'!$B$2:$B$3689,0))</f>
        <v>173</v>
      </c>
      <c r="E444" s="10" t="n">
        <f t="array" ref="E444">INDEX('原始数据'!D$2:D$3689,MATCH($C444,'原始数据'!$B$2:$B$3689,0))</f>
        <v>275</v>
      </c>
      <c r="F444" s="11" t="n">
        <f t="array" ref="F444">INDEX('原始数据'!E$2:E$3689,MATCH($C444,'原始数据'!$B$2:$B$3689,0))</f>
        <v>224</v>
      </c>
      <c r="G444" s="10" t="n">
        <f t="array" ref="G444">INDEX('原始数据'!F$2:F$3689,MATCH($C444,'原始数据'!$B$2:$B$3689,0))</f>
        <v>143</v>
      </c>
      <c r="H444" s="10" t="n">
        <f t="array" ref="H444">INDEX('原始数据'!G$2:G$3689,MATCH($C444,'原始数据'!$B$2:$B$3689,0))</f>
        <v>165</v>
      </c>
      <c r="I444" s="11" t="n">
        <f t="array" ref="I444">INDEX('原始数据'!H$2:H$3689,MATCH($C444,'原始数据'!$B$2:$B$3689,0))</f>
        <v>154</v>
      </c>
      <c r="J444" s="16" t="n">
        <f>IF(F444=0,I444*2,F444/$N$603+I444)</f>
        <v>194.239319465704</v>
      </c>
      <c r="K444" s="18" t="n">
        <f>ROW(K444)-1</f>
        <v>443</v>
      </c>
      <c r="L444" s="18" t="n">
        <f t="array" ref="L444">INDEX(TOP3277!#REF!,MATCH(C444,TOP3277!$B$501:$B$3035,0))</f>
        <v>1730</v>
      </c>
    </row>
    <row r="445" ht="14.399999999999999" customHeight="1">
      <c r="A445" s="10" t="n">
        <v>394</v>
      </c>
      <c r="B445" s="10" t="s">
        <v>6403</v>
      </c>
      <c r="C445" s="10" t="s">
        <v>6404</v>
      </c>
      <c r="D445" s="10" t="n">
        <f t="array" ref="D445">INDEX('原始数据'!C$2:C$3689,MATCH($C445,'原始数据'!$B$2:$B$3689,0))</f>
        <v>331</v>
      </c>
      <c r="E445" s="10" t="n">
        <f t="array" ref="E445">INDEX('原始数据'!D$2:D$3689,MATCH($C445,'原始数据'!$B$2:$B$3689,0))</f>
        <v>527</v>
      </c>
      <c r="F445" s="11" t="n">
        <f t="array" ref="F445">INDEX('原始数据'!E$2:E$3689,MATCH($C445,'原始数据'!$B$2:$B$3689,0))</f>
        <v>429</v>
      </c>
      <c r="G445" s="10" t="n">
        <f t="array" ref="G445">INDEX('原始数据'!F$2:F$3689,MATCH($C445,'原始数据'!$B$2:$B$3689,0))</f>
        <v>93</v>
      </c>
      <c r="H445" s="10" t="n">
        <f t="array" ref="H445">INDEX('原始数据'!G$2:G$3689,MATCH($C445,'原始数据'!$B$2:$B$3689,0))</f>
        <v>134</v>
      </c>
      <c r="I445" s="11" t="n">
        <f t="array" ref="I445">INDEX('原始数据'!H$2:H$3689,MATCH($C445,'原始数据'!$B$2:$B$3689,0))</f>
        <v>113.5</v>
      </c>
      <c r="J445" s="16" t="n">
        <f>IF(F445=0,I445*2,F445/$N$603+I445)</f>
        <v>190.565482369586</v>
      </c>
      <c r="K445" s="18" t="n">
        <f>ROW(K445)-1</f>
        <v>444</v>
      </c>
      <c r="L445" s="18" t="e">
        <f t="array" ref="L445">INDEX(TOP3277!#REF!,MATCH(C445,TOP3277!$B$501:$B$3035,0))</f>
        <v>#N/A</v>
      </c>
    </row>
    <row r="446" ht="14.399999999999999" customHeight="1">
      <c r="A446" s="10" t="n">
        <v>437</v>
      </c>
      <c r="B446" s="10" t="s">
        <v>1184</v>
      </c>
      <c r="C446" s="10" t="s">
        <v>1185</v>
      </c>
      <c r="D446" s="10" t="n">
        <v>737</v>
      </c>
      <c r="E446" s="13" t="n">
        <v>1175</v>
      </c>
      <c r="F446" s="11" t="n">
        <f>SUM(D446+E446)/2</f>
        <v>956</v>
      </c>
      <c r="G446" s="18" t="n">
        <v>15</v>
      </c>
      <c r="H446" s="18" t="n">
        <v>22</v>
      </c>
      <c r="I446" s="11" t="n">
        <f>SUM(G446+H446)/2</f>
        <v>18.5</v>
      </c>
      <c r="J446" s="16" t="n">
        <f>IF(F446=0,I446*2,F446/$N$603+I446)</f>
        <v>190.235667005417</v>
      </c>
      <c r="K446" s="18" t="n">
        <f>ROW(K446)-1</f>
        <v>445</v>
      </c>
      <c r="L446" s="18" t="n">
        <f t="array" ref="L446">INDEX(TOP3277!#REF!,MATCH(C446,TOP3277!$B$501:$B$3035,0))</f>
        <v>1728</v>
      </c>
    </row>
    <row r="447" ht="14.399999999999999" customHeight="1">
      <c r="A447" s="10" t="n">
        <v>386</v>
      </c>
      <c r="B447" s="10" t="s">
        <v>1180</v>
      </c>
      <c r="C447" s="10" t="s">
        <v>1181</v>
      </c>
      <c r="D447" s="10" t="n">
        <f t="array" ref="D447">INDEX('原始数据'!C$2:C$3689,MATCH($C447,'原始数据'!$B$2:$B$3689,0))</f>
        <v>587</v>
      </c>
      <c r="E447" s="10" t="n">
        <f t="array" ref="E447">INDEX('原始数据'!D$2:D$3689,MATCH($C447,'原始数据'!$B$2:$B$3689,0))</f>
        <v>937</v>
      </c>
      <c r="F447" s="11" t="n">
        <f t="array" ref="F447">INDEX('原始数据'!E$2:E$3689,MATCH($C447,'原始数据'!$B$2:$B$3689,0))</f>
        <v>762</v>
      </c>
      <c r="G447" s="10" t="n">
        <f t="array" ref="G447">INDEX('原始数据'!F$2:F$3689,MATCH($C447,'原始数据'!$B$2:$B$3689,0))</f>
        <v>41</v>
      </c>
      <c r="H447" s="10" t="n">
        <f t="array" ref="H447">INDEX('原始数据'!G$2:G$3689,MATCH($C447,'原始数据'!$B$2:$B$3689,0))</f>
        <v>56</v>
      </c>
      <c r="I447" s="11" t="n">
        <f t="array" ref="I447">INDEX('原始数据'!H$2:H$3689,MATCH($C447,'原始数据'!$B$2:$B$3689,0))</f>
        <v>48.5</v>
      </c>
      <c r="J447" s="16" t="n">
        <f>IF(F447=0,I447*2,F447/$N$603+I447)</f>
        <v>185.385542111012</v>
      </c>
      <c r="K447" s="18" t="n">
        <f>ROW(K447)-1</f>
        <v>446</v>
      </c>
      <c r="L447" s="18" t="n">
        <f t="array" ref="L447">INDEX(TOP3277!#REF!,MATCH(C447,TOP3277!$B$501:$B$3035,0))</f>
        <v>1726</v>
      </c>
    </row>
    <row r="448" ht="14.399999999999999" customHeight="1">
      <c r="A448" s="10" t="n">
        <v>432</v>
      </c>
      <c r="B448" s="10" t="s">
        <v>574</v>
      </c>
      <c r="C448" s="10" t="s">
        <v>8441</v>
      </c>
      <c r="D448" s="10" t="n">
        <v>633</v>
      </c>
      <c r="E448" s="13" t="n">
        <v>1009</v>
      </c>
      <c r="F448" s="11" t="n">
        <f>SUM(D448+E448)/2</f>
        <v>821</v>
      </c>
      <c r="G448" s="18" t="n">
        <v>31</v>
      </c>
      <c r="H448" s="18" t="n">
        <v>35</v>
      </c>
      <c r="I448" s="11" t="n">
        <f>SUM(G448+H448)/2</f>
        <v>33</v>
      </c>
      <c r="J448" s="16" t="n">
        <f>IF(F448=0,I448*2,F448/$N$603+I448)</f>
        <v>180.484291434568</v>
      </c>
      <c r="K448" s="18" t="n">
        <f>ROW(K448)-1</f>
        <v>447</v>
      </c>
      <c r="L448" s="18" t="e">
        <f t="array" ref="L448">INDEX(TOP3277!#REF!,MATCH(C448,TOP3277!$B$501:$B$3035,0))</f>
        <v>#N/A</v>
      </c>
    </row>
    <row r="449" ht="14.399999999999999" customHeight="1">
      <c r="A449" s="10" t="n">
        <v>483</v>
      </c>
      <c r="B449" s="10" t="s">
        <v>624</v>
      </c>
      <c r="C449" s="10" t="s">
        <v>625</v>
      </c>
      <c r="D449" s="10" t="n">
        <f t="array" ref="D449">INDEX('原始数据'!C$2:C$3689,MATCH($C449,'原始数据'!$B$2:$B$3689,0))</f>
        <v>482</v>
      </c>
      <c r="E449" s="10" t="n">
        <f t="array" ref="E449">INDEX('原始数据'!D$2:D$3689,MATCH($C449,'原始数据'!$B$2:$B$3689,0))</f>
        <v>770</v>
      </c>
      <c r="F449" s="11" t="n">
        <f t="array" ref="F449">INDEX('原始数据'!E$2:E$3689,MATCH($C449,'原始数据'!$B$2:$B$3689,0))</f>
        <v>626</v>
      </c>
      <c r="G449" s="10" t="n">
        <f t="array" ref="G449">INDEX('原始数据'!F$2:F$3689,MATCH($C449,'原始数据'!$B$2:$B$3689,0))</f>
        <v>62</v>
      </c>
      <c r="H449" s="10" t="n">
        <f t="array" ref="H449">INDEX('原始数据'!G$2:G$3689,MATCH($C449,'原始数据'!$B$2:$B$3689,0))</f>
        <v>69</v>
      </c>
      <c r="I449" s="11" t="n">
        <f t="array" ref="I449">INDEX('原始数据'!H$2:H$3689,MATCH($C449,'原始数据'!$B$2:$B$3689,0))</f>
        <v>65.5</v>
      </c>
      <c r="J449" s="16" t="n">
        <f>IF(F449=0,I449*2,F449/$N$603+I449)</f>
        <v>177.95452672112</v>
      </c>
      <c r="K449" s="18" t="n">
        <f>ROW(K449)-1</f>
        <v>448</v>
      </c>
      <c r="L449" s="18" t="n">
        <f t="array" ref="L449">INDEX(TOP3277!#REF!,MATCH(C449,TOP3277!$B$501:$B$3035,0))</f>
        <v>1733</v>
      </c>
    </row>
    <row r="450" ht="14.399999999999999" customHeight="1">
      <c r="A450" s="10" t="n">
        <v>503</v>
      </c>
      <c r="B450" s="10" t="s">
        <v>2414</v>
      </c>
      <c r="C450" s="10" t="s">
        <v>2415</v>
      </c>
      <c r="D450" s="10" t="n">
        <f t="array" ref="D450">INDEX('原始数据'!C$2:C$3689,MATCH($C450,'原始数据'!$B$2:$B$3689,0))</f>
        <v>126</v>
      </c>
      <c r="E450" s="10" t="n">
        <f t="array" ref="E450">INDEX('原始数据'!D$2:D$3689,MATCH($C450,'原始数据'!$B$2:$B$3689,0))</f>
        <v>200</v>
      </c>
      <c r="F450" s="11" t="n">
        <f t="array" ref="F450">INDEX('原始数据'!E$2:E$3689,MATCH($C450,'原始数据'!$B$2:$B$3689,0))</f>
        <v>163</v>
      </c>
      <c r="G450" s="10" t="n">
        <f t="array" ref="G450">INDEX('原始数据'!F$2:F$3689,MATCH($C450,'原始数据'!$B$2:$B$3689,0))</f>
        <v>135</v>
      </c>
      <c r="H450" s="10" t="n">
        <f t="array" ref="H450">INDEX('原始数据'!G$2:G$3689,MATCH($C450,'原始数据'!$B$2:$B$3689,0))</f>
        <v>156</v>
      </c>
      <c r="I450" s="11" t="n">
        <f t="array" ref="I450">INDEX('原始数据'!H$2:H$3689,MATCH($C450,'原始数据'!$B$2:$B$3689,0))</f>
        <v>145.5</v>
      </c>
      <c r="J450" s="16" t="n">
        <f>IF(F450=0,I450*2,F450/$N$603+I450)</f>
        <v>174.781290504062</v>
      </c>
      <c r="K450" s="18" t="n">
        <f>ROW(K450)-1</f>
        <v>449</v>
      </c>
      <c r="L450" s="18" t="n">
        <f t="array" ref="L450">INDEX(TOP3277!#REF!,MATCH(C450,TOP3277!$B$501:$B$3035,0))</f>
        <v>1741</v>
      </c>
    </row>
    <row r="451" ht="14.399999999999999" customHeight="1">
      <c r="A451" s="10" t="n">
        <v>439</v>
      </c>
      <c r="B451" s="10" t="s">
        <v>616</v>
      </c>
      <c r="C451" s="10" t="s">
        <v>617</v>
      </c>
      <c r="D451" s="10" t="n">
        <v>693</v>
      </c>
      <c r="E451" s="13" t="n">
        <v>1107</v>
      </c>
      <c r="F451" s="11" t="n">
        <f>SUM(D451+E451)/2</f>
        <v>900</v>
      </c>
      <c r="G451" s="18" t="n">
        <v>10</v>
      </c>
      <c r="H451" s="18" t="n">
        <v>16</v>
      </c>
      <c r="I451" s="11" t="n">
        <f>SUM(G451+H451)/2</f>
        <v>13</v>
      </c>
      <c r="J451" s="16" t="n">
        <f>IF(F451=0,I451*2,F451/$N$603+I451)</f>
        <v>174.675837138991</v>
      </c>
      <c r="K451" s="18" t="n">
        <f>ROW(K451)-1</f>
        <v>450</v>
      </c>
      <c r="L451" s="18" t="e">
        <f t="array" ref="L451">INDEX(TOP3277!#REF!,MATCH(C451,TOP3277!$B$501:$B$3035,0))</f>
        <v>#N/A</v>
      </c>
    </row>
    <row r="452" ht="14.399999999999999" customHeight="1">
      <c r="A452" s="10" t="n">
        <v>388</v>
      </c>
      <c r="B452" s="10" t="s">
        <v>2402</v>
      </c>
      <c r="C452" s="10" t="s">
        <v>2403</v>
      </c>
      <c r="D452" s="10" t="n">
        <f t="array" ref="D452">INDEX('原始数据'!C$2:C$3689,MATCH($C452,'原始数据'!$B$2:$B$3689,0))</f>
        <v>301</v>
      </c>
      <c r="E452" s="10" t="n">
        <f t="array" ref="E452">INDEX('原始数据'!D$2:D$3689,MATCH($C452,'原始数据'!$B$2:$B$3689,0))</f>
        <v>479</v>
      </c>
      <c r="F452" s="11" t="n">
        <f t="array" ref="F452">INDEX('原始数据'!E$2:E$3689,MATCH($C452,'原始数据'!$B$2:$B$3689,0))</f>
        <v>390</v>
      </c>
      <c r="G452" s="10" t="n">
        <f t="array" ref="G452">INDEX('原始数据'!F$2:F$3689,MATCH($C452,'原始数据'!$B$2:$B$3689,0))</f>
        <v>49</v>
      </c>
      <c r="H452" s="10" t="n">
        <f t="array" ref="H452">INDEX('原始数据'!G$2:G$3689,MATCH($C452,'原始数据'!$B$2:$B$3689,0))</f>
        <v>156</v>
      </c>
      <c r="I452" s="11" t="n">
        <f t="array" ref="I452">INDEX('原始数据'!H$2:H$3689,MATCH($C452,'原始数据'!$B$2:$B$3689,0))</f>
        <v>102.5</v>
      </c>
      <c r="J452" s="16" t="n">
        <f>IF(F452=0,I452*2,F452/$N$603+I452)</f>
        <v>172.559529426896</v>
      </c>
      <c r="K452" s="18" t="n">
        <f>ROW(K452)-1</f>
        <v>451</v>
      </c>
      <c r="L452" s="18" t="n">
        <f t="array" ref="L452">INDEX(TOP3277!#REF!,MATCH(C452,TOP3277!$B$501:$B$3035,0))</f>
        <v>1737</v>
      </c>
    </row>
    <row r="453" ht="14.399999999999999" customHeight="1">
      <c r="A453" s="10" t="n">
        <v>408</v>
      </c>
      <c r="B453" s="10" t="s">
        <v>510</v>
      </c>
      <c r="C453" s="10" t="s">
        <v>511</v>
      </c>
      <c r="D453" s="10" t="n">
        <f t="array" ref="D453">INDEX('原始数据'!C$2:C$3689,MATCH($C453,'原始数据'!$B$2:$B$3689,0))</f>
        <v>705</v>
      </c>
      <c r="E453" s="10" t="n">
        <f t="array" ref="E453">INDEX('原始数据'!D$2:D$3689,MATCH($C453,'原始数据'!$B$2:$B$3689,0))</f>
        <v>1125</v>
      </c>
      <c r="F453" s="11" t="n">
        <f t="array" ref="F453">INDEX('原始数据'!E$2:E$3689,MATCH($C453,'原始数据'!$B$2:$B$3689,0))</f>
        <v>915</v>
      </c>
      <c r="G453" s="10" t="n">
        <f t="array" ref="G453">INDEX('原始数据'!F$2:F$3689,MATCH($C453,'原始数据'!$B$2:$B$3689,0))</f>
        <v>2</v>
      </c>
      <c r="H453" s="10" t="n">
        <f t="array" ref="H453">INDEX('原始数据'!G$2:G$3689,MATCH($C453,'原始数据'!$B$2:$B$3689,0))</f>
        <v>3</v>
      </c>
      <c r="I453" s="11" t="n">
        <f t="array" ref="I453">INDEX('原始数据'!H$2:H$3689,MATCH($C453,'原始数据'!$B$2:$B$3689,0))</f>
        <v>2.5</v>
      </c>
      <c r="J453" s="16" t="n">
        <f>IF(F453=0,I453*2,F453/$N$603+I453)</f>
        <v>166.870434424641</v>
      </c>
      <c r="K453" s="18" t="n">
        <f>ROW(K453)-1</f>
        <v>452</v>
      </c>
      <c r="L453" s="18" t="e">
        <f t="array" ref="L453">INDEX(TOP3277!#REF!,MATCH(C453,TOP3277!$B$501:$B$3035,0))</f>
        <v>#N/A</v>
      </c>
    </row>
    <row r="454" ht="14.399999999999999" customHeight="1">
      <c r="A454" s="10" t="n">
        <v>385</v>
      </c>
      <c r="B454" s="10" t="s">
        <v>1229</v>
      </c>
      <c r="C454" s="10" t="s">
        <v>1230</v>
      </c>
      <c r="D454" s="10" t="n">
        <f t="array" ref="D454">INDEX('原始数据'!C$2:C$3689,MATCH($C454,'原始数据'!$B$2:$B$3689,0))</f>
        <v>430</v>
      </c>
      <c r="E454" s="10" t="n">
        <f t="array" ref="E454">INDEX('原始数据'!D$2:D$3689,MATCH($C454,'原始数据'!$B$2:$B$3689,0))</f>
        <v>686</v>
      </c>
      <c r="F454" s="11" t="n">
        <f t="array" ref="F454">INDEX('原始数据'!E$2:E$3689,MATCH($C454,'原始数据'!$B$2:$B$3689,0))</f>
        <v>558</v>
      </c>
      <c r="G454" s="10" t="n">
        <f t="array" ref="G454">INDEX('原始数据'!F$2:F$3689,MATCH($C454,'原始数据'!$B$2:$B$3689,0))</f>
        <v>53</v>
      </c>
      <c r="H454" s="10" t="n">
        <f t="array" ref="H454">INDEX('原始数据'!G$2:G$3689,MATCH($C454,'原始数据'!$B$2:$B$3689,0))</f>
        <v>74</v>
      </c>
      <c r="I454" s="11" t="n">
        <f t="array" ref="I454">INDEX('原始数据'!H$2:H$3689,MATCH($C454,'原始数据'!$B$2:$B$3689,0))</f>
        <v>63.5</v>
      </c>
      <c r="J454" s="16" t="n">
        <f>IF(F454=0,I454*2,F454/$N$603+I454)</f>
        <v>163.739019026174</v>
      </c>
      <c r="K454" s="18" t="n">
        <f>ROW(K454)-1</f>
        <v>453</v>
      </c>
      <c r="L454" s="18" t="n">
        <f t="array" ref="L454">INDEX(TOP3277!#REF!,MATCH(C454,TOP3277!$B$501:$B$3035,0))</f>
        <v>1740</v>
      </c>
    </row>
    <row r="455" ht="14.399999999999999" customHeight="1">
      <c r="A455" s="10" t="n">
        <v>402</v>
      </c>
      <c r="B455" s="10" t="s">
        <v>8442</v>
      </c>
      <c r="C455" s="10" t="s">
        <v>8443</v>
      </c>
      <c r="D455" s="10" t="n">
        <v>180</v>
      </c>
      <c r="E455" s="10" t="n">
        <v>288</v>
      </c>
      <c r="F455" s="11" t="n">
        <f>SUM(D455+E455)/2</f>
        <v>234</v>
      </c>
      <c r="G455" s="18" t="n">
        <v>88</v>
      </c>
      <c r="H455" s="18" t="n">
        <v>149</v>
      </c>
      <c r="I455" s="11" t="n">
        <f>SUM(G455+H455)/2</f>
        <v>118.5</v>
      </c>
      <c r="J455" s="16" t="n">
        <f>IF(F455=0,I455*2,F455/$N$603+I455)</f>
        <v>160.535717656138</v>
      </c>
      <c r="K455" s="18" t="n">
        <f>ROW(K455)-1</f>
        <v>454</v>
      </c>
      <c r="L455" s="18" t="e">
        <f t="array" ref="L455">INDEX(TOP3277!#REF!,MATCH(C455,TOP3277!$B$501:$B$3035,0))</f>
        <v>#N/A</v>
      </c>
    </row>
    <row r="456" ht="14.399999999999999" customHeight="1">
      <c r="A456" s="10" t="n">
        <v>494</v>
      </c>
      <c r="B456" s="10" t="s">
        <v>1231</v>
      </c>
      <c r="C456" s="10" t="s">
        <v>1232</v>
      </c>
      <c r="D456" s="10" t="n">
        <f t="array" ref="D456">INDEX('原始数据'!C$2:C$3689,MATCH($C456,'原始数据'!$B$2:$B$3689,0))</f>
        <v>320</v>
      </c>
      <c r="E456" s="10" t="n">
        <f t="array" ref="E456">INDEX('原始数据'!D$2:D$3689,MATCH($C456,'原始数据'!$B$2:$B$3689,0))</f>
        <v>510</v>
      </c>
      <c r="F456" s="11" t="n">
        <f t="array" ref="F456">INDEX('原始数据'!E$2:E$3689,MATCH($C456,'原始数据'!$B$2:$B$3689,0))</f>
        <v>415</v>
      </c>
      <c r="G456" s="10" t="n">
        <f t="array" ref="G456">INDEX('原始数据'!F$2:F$3689,MATCH($C456,'原始数据'!$B$2:$B$3689,0))</f>
        <v>80</v>
      </c>
      <c r="H456" s="10" t="n">
        <f t="array" ref="H456">INDEX('原始数据'!G$2:G$3689,MATCH($C456,'原始数据'!$B$2:$B$3689,0))</f>
        <v>91</v>
      </c>
      <c r="I456" s="11" t="n">
        <f t="array" ref="I456">INDEX('原始数据'!H$2:H$3689,MATCH($C456,'原始数据'!$B$2:$B$3689,0))</f>
        <v>85.5</v>
      </c>
      <c r="J456" s="16" t="n">
        <f>IF(F456=0,I456*2,F456/$N$603+I456)</f>
        <v>160.050524902979</v>
      </c>
      <c r="K456" s="18" t="n">
        <f>ROW(K456)-1</f>
        <v>455</v>
      </c>
      <c r="L456" s="18" t="n">
        <f t="array" ref="L456">INDEX(TOP3277!#REF!,MATCH(C456,TOP3277!$B$501:$B$3035,0))</f>
        <v>1743</v>
      </c>
    </row>
    <row r="457" ht="14.399999999999999" customHeight="1">
      <c r="A457" s="10" t="n">
        <v>507</v>
      </c>
      <c r="B457" s="10" t="s">
        <v>530</v>
      </c>
      <c r="C457" s="10" t="s">
        <v>531</v>
      </c>
      <c r="D457" s="10" t="n">
        <f t="array" ref="D457">INDEX('原始数据'!C$2:C$3689,MATCH($C457,'原始数据'!$B$2:$B$3689,0))</f>
        <v>649</v>
      </c>
      <c r="E457" s="10" t="n">
        <f t="array" ref="E457">INDEX('原始数据'!D$2:D$3689,MATCH($C457,'原始数据'!$B$2:$B$3689,0))</f>
        <v>1035</v>
      </c>
      <c r="F457" s="11" t="n">
        <f t="array" ref="F457">INDEX('原始数据'!E$2:E$3689,MATCH($C457,'原始数据'!$B$2:$B$3689,0))</f>
        <v>842</v>
      </c>
      <c r="G457" s="10" t="n">
        <f t="array" ref="G457">INDEX('原始数据'!F$2:F$3689,MATCH($C457,'原始数据'!$B$2:$B$3689,0))</f>
        <v>5</v>
      </c>
      <c r="H457" s="10" t="n">
        <f t="array" ref="H457">INDEX('原始数据'!G$2:G$3689,MATCH($C457,'原始数据'!$B$2:$B$3689,0))</f>
        <v>7</v>
      </c>
      <c r="I457" s="11" t="n">
        <f t="array" ref="I457">INDEX('原始数据'!H$2:H$3689,MATCH($C457,'原始数据'!$B$2:$B$3689,0))</f>
        <v>6</v>
      </c>
      <c r="J457" s="16" t="n">
        <f>IF(F457=0,I457*2,F457/$N$603+I457)</f>
        <v>157.256727634478</v>
      </c>
      <c r="K457" s="18" t="n">
        <f>ROW(K457)-1</f>
        <v>456</v>
      </c>
      <c r="L457" s="18" t="n">
        <f t="array" ref="L457">INDEX(TOP3277!#REF!,MATCH(C457,TOP3277!$B$501:$B$3035,0))</f>
        <v>1738</v>
      </c>
    </row>
    <row r="458" ht="14.399999999999999" customHeight="1">
      <c r="A458" s="10" t="n">
        <v>526</v>
      </c>
      <c r="B458" s="10" t="s">
        <v>6101</v>
      </c>
      <c r="C458" s="10" t="s">
        <v>6102</v>
      </c>
      <c r="D458" s="10" t="n">
        <f t="array" ref="D458">INDEX('原始数据'!C$2:C$3689,MATCH($C458,'原始数据'!$B$2:$B$3689,0))</f>
        <v>321</v>
      </c>
      <c r="E458" s="10" t="n">
        <f t="array" ref="E458">INDEX('原始数据'!D$2:D$3689,MATCH($C458,'原始数据'!$B$2:$B$3689,0))</f>
        <v>511</v>
      </c>
      <c r="F458" s="11" t="n">
        <f t="array" ref="F458">INDEX('原始数据'!E$2:E$3689,MATCH($C458,'原始数据'!$B$2:$B$3689,0))</f>
        <v>416</v>
      </c>
      <c r="G458" s="10" t="n">
        <f t="array" ref="G458">INDEX('原始数据'!F$2:F$3689,MATCH($C458,'原始数据'!$B$2:$B$3689,0))</f>
        <v>71</v>
      </c>
      <c r="H458" s="10" t="n">
        <f t="array" ref="H458">INDEX('原始数据'!G$2:G$3689,MATCH($C458,'原始数据'!$B$2:$B$3689,0))</f>
        <v>94</v>
      </c>
      <c r="I458" s="11" t="n">
        <f t="array" ref="I458">INDEX('原始数据'!H$2:H$3689,MATCH($C458,'原始数据'!$B$2:$B$3689,0))</f>
        <v>82.5</v>
      </c>
      <c r="J458" s="16" t="n">
        <f>IF(F458=0,I458*2,F458/$N$603+I458)</f>
        <v>157.230164722022</v>
      </c>
      <c r="K458" s="18" t="n">
        <f>ROW(K458)-1</f>
        <v>457</v>
      </c>
      <c r="L458" s="18" t="e">
        <f t="array" ref="L458">INDEX(TOP3277!#REF!,MATCH(C458,TOP3277!$B$501:$B$3035,0))</f>
        <v>#N/A</v>
      </c>
    </row>
    <row r="459" ht="14.399999999999999" customHeight="1">
      <c r="A459" s="10" t="n">
        <v>499</v>
      </c>
      <c r="B459" s="10" t="s">
        <v>2276</v>
      </c>
      <c r="C459" s="10" t="s">
        <v>2277</v>
      </c>
      <c r="D459" s="10" t="n">
        <f t="array" ref="D459">INDEX('原始数据'!C$2:C$3689,MATCH($C459,'原始数据'!$B$2:$B$3689,0))</f>
        <v>166</v>
      </c>
      <c r="E459" s="10" t="n">
        <f t="array" ref="E459">INDEX('原始数据'!D$2:D$3689,MATCH($C459,'原始数据'!$B$2:$B$3689,0))</f>
        <v>266</v>
      </c>
      <c r="F459" s="11" t="n">
        <f t="array" ref="F459">INDEX('原始数据'!E$2:E$3689,MATCH($C459,'原始数据'!$B$2:$B$3689,0))</f>
        <v>216</v>
      </c>
      <c r="G459" s="10" t="n">
        <f t="array" ref="G459">INDEX('原始数据'!F$2:F$3689,MATCH($C459,'原始数据'!$B$2:$B$3689,0))</f>
        <v>110</v>
      </c>
      <c r="H459" s="10" t="n">
        <f t="array" ref="H459">INDEX('原始数据'!G$2:G$3689,MATCH($C459,'原始数据'!$B$2:$B$3689,0))</f>
        <v>125</v>
      </c>
      <c r="I459" s="11" t="n">
        <f t="array" ref="I459">INDEX('原始数据'!H$2:H$3689,MATCH($C459,'原始数据'!$B$2:$B$3689,0))</f>
        <v>117.5</v>
      </c>
      <c r="J459" s="16" t="n">
        <f>IF(F459=0,I459*2,F459/$N$603+I459)</f>
        <v>156.302200913358</v>
      </c>
      <c r="K459" s="18" t="n">
        <f>ROW(K459)-1</f>
        <v>458</v>
      </c>
      <c r="L459" s="18" t="n">
        <f t="array" ref="L459">INDEX(TOP3277!#REF!,MATCH(C459,TOP3277!$B$501:$B$3035,0))</f>
        <v>1747</v>
      </c>
    </row>
    <row r="460" ht="14.399999999999999" customHeight="1">
      <c r="A460" s="10" t="n">
        <v>313</v>
      </c>
      <c r="B460" s="10" t="s">
        <v>670</v>
      </c>
      <c r="C460" s="10" t="s">
        <v>671</v>
      </c>
      <c r="D460" s="10" t="n">
        <f t="array" ref="D460">INDEX('原始数据'!C$2:C$3689,MATCH($C460,'原始数据'!$B$2:$B$3689,0))</f>
        <v>583</v>
      </c>
      <c r="E460" s="10" t="n">
        <f t="array" ref="E460">INDEX('原始数据'!D$2:D$3689,MATCH($C460,'原始数据'!$B$2:$B$3689,0))</f>
        <v>933</v>
      </c>
      <c r="F460" s="11" t="n">
        <f t="array" ref="F460">INDEX('原始数据'!E$2:E$3689,MATCH($C460,'原始数据'!$B$2:$B$3689,0))</f>
        <v>758</v>
      </c>
      <c r="G460" s="10" t="n">
        <f t="array" ref="G460">INDEX('原始数据'!F$2:F$3689,MATCH($C460,'原始数据'!$B$2:$B$3689,0))</f>
        <v>14</v>
      </c>
      <c r="H460" s="10" t="n">
        <f t="array" ref="H460">INDEX('原始数据'!G$2:G$3689,MATCH($C460,'原始数据'!$B$2:$B$3689,0))</f>
        <v>18</v>
      </c>
      <c r="I460" s="11" t="n">
        <f t="array" ref="I460">INDEX('原始数据'!H$2:H$3689,MATCH($C460,'原始数据'!$B$2:$B$3689,0))</f>
        <v>16</v>
      </c>
      <c r="J460" s="16" t="n">
        <f>IF(F460=0,I460*2,F460/$N$603+I460)</f>
        <v>152.166982834839</v>
      </c>
      <c r="K460" s="18" t="n">
        <f>ROW(K460)-1</f>
        <v>459</v>
      </c>
      <c r="L460" s="18" t="n">
        <f t="array" ref="L460">INDEX(TOP3277!#REF!,MATCH(C460,TOP3277!$B$501:$B$3035,0))</f>
        <v>1742</v>
      </c>
    </row>
    <row r="461" ht="14.399999999999999" customHeight="1">
      <c r="A461" s="10" t="n">
        <v>415</v>
      </c>
      <c r="B461" s="10" t="s">
        <v>8444</v>
      </c>
      <c r="C461" s="10" t="s">
        <v>8445</v>
      </c>
      <c r="D461" s="10" t="n">
        <v>264</v>
      </c>
      <c r="E461" s="10" t="n">
        <v>420</v>
      </c>
      <c r="F461" s="11" t="n">
        <f>SUM(D461+E461)/2</f>
        <v>342</v>
      </c>
      <c r="G461" s="18" t="n">
        <v>72</v>
      </c>
      <c r="H461" s="18" t="n">
        <v>109</v>
      </c>
      <c r="I461" s="11" t="n">
        <f>SUM(G461+H461)/2</f>
        <v>90.5</v>
      </c>
      <c r="J461" s="16" t="n">
        <f>IF(F461=0,I461*2,F461/$N$603+I461)</f>
        <v>151.936818112817</v>
      </c>
      <c r="K461" s="18" t="n">
        <f>ROW(K461)-1</f>
        <v>460</v>
      </c>
      <c r="L461" s="18" t="e">
        <f t="array" ref="L461">INDEX(TOP3277!#REF!,MATCH(C461,TOP3277!$B$501:$B$3035,0))</f>
        <v>#N/A</v>
      </c>
    </row>
    <row r="462" ht="14.399999999999999" customHeight="1">
      <c r="A462" s="10" t="n">
        <v>478</v>
      </c>
      <c r="B462" s="10" t="s">
        <v>8446</v>
      </c>
      <c r="C462" s="10" t="s">
        <v>8447</v>
      </c>
      <c r="D462" s="10" t="n">
        <v>138</v>
      </c>
      <c r="E462" s="10" t="n">
        <v>222</v>
      </c>
      <c r="F462" s="11" t="n">
        <f>SUM(D462+E462)/2</f>
        <v>180</v>
      </c>
      <c r="G462" s="18" t="n">
        <v>111</v>
      </c>
      <c r="H462" s="18" t="n">
        <v>123</v>
      </c>
      <c r="I462" s="11" t="n">
        <f>SUM(G462+H462)/2</f>
        <v>117</v>
      </c>
      <c r="J462" s="16" t="n">
        <f>IF(F462=0,I462*2,F462/$N$603+I462)</f>
        <v>149.335167427798</v>
      </c>
      <c r="K462" s="18" t="n">
        <f>ROW(K462)-1</f>
        <v>461</v>
      </c>
      <c r="L462" s="18" t="e">
        <f t="array" ref="L462">INDEX(TOP3277!#REF!,MATCH(C462,TOP3277!$B$501:$B$3035,0))</f>
        <v>#N/A</v>
      </c>
    </row>
    <row r="463" ht="14.399999999999999" customHeight="1">
      <c r="A463" s="10" t="n">
        <v>489</v>
      </c>
      <c r="B463" s="10" t="s">
        <v>1182</v>
      </c>
      <c r="C463" s="10" t="s">
        <v>1183</v>
      </c>
      <c r="D463" s="10" t="n">
        <v>393</v>
      </c>
      <c r="E463" s="10" t="n">
        <v>629</v>
      </c>
      <c r="F463" s="11" t="n">
        <f>SUM(D463+E463)/2</f>
        <v>511</v>
      </c>
      <c r="G463" s="18" t="n">
        <v>49</v>
      </c>
      <c r="H463" s="18" t="n">
        <v>65</v>
      </c>
      <c r="I463" s="11" t="n">
        <f>SUM(G463+H463)/2</f>
        <v>57</v>
      </c>
      <c r="J463" s="16" t="n">
        <f>IF(F463=0,I463*2,F463/$N$603+I463)</f>
        <v>148.795947531138</v>
      </c>
      <c r="K463" s="18" t="n">
        <f>ROW(K463)-1</f>
        <v>462</v>
      </c>
      <c r="L463" s="18" t="n">
        <f t="array" ref="L463">INDEX(TOP3277!#REF!,MATCH(C463,TOP3277!$B$501:$B$3035,0))</f>
        <v>1727</v>
      </c>
    </row>
    <row r="464" ht="14.399999999999999" customHeight="1">
      <c r="A464" s="10" t="n">
        <v>575</v>
      </c>
      <c r="B464" s="10" t="s">
        <v>6689</v>
      </c>
      <c r="C464" s="10" t="s">
        <v>6690</v>
      </c>
      <c r="D464" s="10" t="n">
        <f t="array" ref="D464">INDEX('原始数据'!C$2:C$3689,MATCH($C464,'原始数据'!$B$2:$B$3689,0))</f>
        <v>55</v>
      </c>
      <c r="E464" s="10" t="n">
        <f t="array" ref="E464">INDEX('原始数据'!D$2:D$3689,MATCH($C464,'原始数据'!$B$2:$B$3689,0))</f>
        <v>87</v>
      </c>
      <c r="F464" s="11" t="n">
        <f t="array" ref="F464">INDEX('原始数据'!E$2:E$3689,MATCH($C464,'原始数据'!$B$2:$B$3689,0))</f>
        <v>71</v>
      </c>
      <c r="G464" s="10" t="n">
        <f t="array" ref="G464">INDEX('原始数据'!F$2:F$3689,MATCH($C464,'原始数据'!$B$2:$B$3689,0))</f>
        <v>128</v>
      </c>
      <c r="H464" s="10" t="n">
        <f t="array" ref="H464">INDEX('原始数据'!G$2:G$3689,MATCH($C464,'原始数据'!$B$2:$B$3689,0))</f>
        <v>142</v>
      </c>
      <c r="I464" s="11" t="n">
        <f t="array" ref="I464">INDEX('原始数据'!H$2:H$3689,MATCH($C464,'原始数据'!$B$2:$B$3689,0))</f>
        <v>135</v>
      </c>
      <c r="J464" s="16" t="n">
        <f>IF(F464=0,I464*2,F464/$N$603+I464)</f>
        <v>147.754427152076</v>
      </c>
      <c r="K464" s="18" t="n">
        <f>ROW(K464)-1</f>
        <v>463</v>
      </c>
      <c r="L464" s="18" t="e">
        <f t="array" ref="L464">INDEX(TOP3277!#REF!,MATCH(C464,TOP3277!$B$501:$B$3035,0))</f>
        <v>#N/A</v>
      </c>
    </row>
    <row r="465" ht="14.399999999999999" customHeight="1">
      <c r="A465" s="10" t="n">
        <v>469</v>
      </c>
      <c r="B465" s="10" t="s">
        <v>5551</v>
      </c>
      <c r="C465" s="10" t="s">
        <v>5552</v>
      </c>
      <c r="D465" s="10" t="n">
        <f t="array" ref="D465">INDEX('原始数据'!C$2:C$3689,MATCH($C465,'原始数据'!$B$2:$B$3689,0))</f>
        <v>401</v>
      </c>
      <c r="E465" s="10" t="n">
        <f t="array" ref="E465">INDEX('原始数据'!D$2:D$3689,MATCH($C465,'原始数据'!$B$2:$B$3689,0))</f>
        <v>643</v>
      </c>
      <c r="F465" s="11" t="n">
        <f t="array" ref="F465">INDEX('原始数据'!E$2:E$3689,MATCH($C465,'原始数据'!$B$2:$B$3689,0))</f>
        <v>522</v>
      </c>
      <c r="G465" s="10" t="n">
        <f t="array" ref="G465">INDEX('原始数据'!F$2:F$3689,MATCH($C465,'原始数据'!$B$2:$B$3689,0))</f>
        <v>31</v>
      </c>
      <c r="H465" s="10" t="n">
        <f t="array" ref="H465">INDEX('原始数据'!G$2:G$3689,MATCH($C465,'原始数据'!$B$2:$B$3689,0))</f>
        <v>73</v>
      </c>
      <c r="I465" s="11" t="n">
        <f t="array" ref="I465">INDEX('原始数据'!H$2:H$3689,MATCH($C465,'原始数据'!$B$2:$B$3689,0))</f>
        <v>52</v>
      </c>
      <c r="J465" s="16" t="n">
        <f>IF(F465=0,I465*2,F465/$N$603+I465)</f>
        <v>145.771985540615</v>
      </c>
      <c r="K465" s="18" t="n">
        <f>ROW(K465)-1</f>
        <v>464</v>
      </c>
      <c r="L465" s="18" t="e">
        <f t="array" ref="L465">INDEX(TOP3277!#REF!,MATCH(C465,TOP3277!$B$501:$B$3035,0))</f>
        <v>#N/A</v>
      </c>
    </row>
    <row r="466" ht="14.399999999999999" customHeight="1">
      <c r="A466" s="10" t="n">
        <v>452</v>
      </c>
      <c r="B466" s="10" t="s">
        <v>1278</v>
      </c>
      <c r="C466" s="10" t="s">
        <v>1279</v>
      </c>
      <c r="D466" s="10" t="n">
        <f t="array" ref="D466">INDEX('原始数据'!C$2:C$3689,MATCH($C466,'原始数据'!$B$2:$B$3689,0))</f>
        <v>130</v>
      </c>
      <c r="E466" s="10" t="n">
        <f t="array" ref="E466">INDEX('原始数据'!D$2:D$3689,MATCH($C466,'原始数据'!$B$2:$B$3689,0))</f>
        <v>206</v>
      </c>
      <c r="F466" s="11" t="n">
        <f t="array" ref="F466">INDEX('原始数据'!E$2:E$3689,MATCH($C466,'原始数据'!$B$2:$B$3689,0))</f>
        <v>168</v>
      </c>
      <c r="G466" s="10" t="n">
        <v>162</v>
      </c>
      <c r="H466" s="10" t="n">
        <f t="array" ref="H466">INDEX('原始数据'!G$2:G$3689,MATCH($C466,'原始数据'!$B$2:$B$3689,0))</f>
        <v>229</v>
      </c>
      <c r="I466" s="11" t="n">
        <f t="array" ref="I466">INDEX('原始数据'!H$2:H$3689,MATCH($C466,'原始数据'!$B$2:$B$3689,0))</f>
        <v>114.5</v>
      </c>
      <c r="J466" s="16" t="n">
        <f>IF(F466=0,I466*2,F466/$N$603+I466)</f>
        <v>144.679489599278</v>
      </c>
      <c r="K466" s="18" t="n">
        <f>ROW(K466)-1</f>
        <v>465</v>
      </c>
      <c r="L466" s="18" t="n">
        <f t="array" ref="L466">INDEX(TOP3277!#REF!,MATCH(C466,TOP3277!$B$501:$B$3035,0))</f>
        <v>1752</v>
      </c>
    </row>
    <row r="467" ht="14.399999999999999" customHeight="1">
      <c r="A467" s="10" t="n">
        <v>506</v>
      </c>
      <c r="B467" s="10" t="s">
        <v>5995</v>
      </c>
      <c r="C467" s="10" t="s">
        <v>5996</v>
      </c>
      <c r="D467" s="10" t="n">
        <f t="array" ref="D467">INDEX('原始数据'!C$2:C$3689,MATCH($C467,'原始数据'!$B$2:$B$3689,0))</f>
        <v>33</v>
      </c>
      <c r="E467" s="10" t="n">
        <f t="array" ref="E467">INDEX('原始数据'!D$2:D$3689,MATCH($C467,'原始数据'!$B$2:$B$3689,0))</f>
        <v>55</v>
      </c>
      <c r="F467" s="11" t="n">
        <f t="array" ref="F467">INDEX('原始数据'!E$2:E$3689,MATCH($C467,'原始数据'!$B$2:$B$3689,0))</f>
        <v>44</v>
      </c>
      <c r="G467" s="10" t="n">
        <f t="array" ref="G467">INDEX('原始数据'!F$2:F$3689,MATCH($C467,'原始数据'!$B$2:$B$3689,0))</f>
        <v>126</v>
      </c>
      <c r="H467" s="10" t="n">
        <f t="array" ref="H467">INDEX('原始数据'!G$2:G$3689,MATCH($C467,'原始数据'!$B$2:$B$3689,0))</f>
        <v>140</v>
      </c>
      <c r="I467" s="11" t="n">
        <f t="array" ref="I467">INDEX('原始数据'!H$2:H$3689,MATCH($C467,'原始数据'!$B$2:$B$3689,0))</f>
        <v>133</v>
      </c>
      <c r="J467" s="16" t="n">
        <f>IF(F467=0,I467*2,F467/$N$603+I467)</f>
        <v>140.904152037906</v>
      </c>
      <c r="K467" s="18" t="n">
        <f>ROW(K467)-1</f>
        <v>466</v>
      </c>
      <c r="L467" s="18" t="e">
        <f t="array" ref="L467">INDEX(TOP3277!#REF!,MATCH(C467,TOP3277!$B$501:$B$3035,0))</f>
        <v>#N/A</v>
      </c>
    </row>
    <row r="468" ht="14.399999999999999" customHeight="1">
      <c r="A468" s="10" t="n">
        <v>425</v>
      </c>
      <c r="B468" s="10" t="s">
        <v>6087</v>
      </c>
      <c r="C468" s="10" t="s">
        <v>6088</v>
      </c>
      <c r="D468" s="10" t="n">
        <f t="array" ref="D468">INDEX('原始数据'!C$2:C$3689,MATCH($C468,'原始数据'!$B$2:$B$3689,0))</f>
        <v>550</v>
      </c>
      <c r="E468" s="10" t="n">
        <f t="array" ref="E468">INDEX('原始数据'!D$2:D$3689,MATCH($C468,'原始数据'!$B$2:$B$3689,0))</f>
        <v>880</v>
      </c>
      <c r="F468" s="11" t="n">
        <f t="array" ref="F468">INDEX('原始数据'!E$2:E$3689,MATCH($C468,'原始数据'!$B$2:$B$3689,0))</f>
        <v>715</v>
      </c>
      <c r="G468" s="10" t="n">
        <f t="array" ref="G468">INDEX('原始数据'!F$2:F$3689,MATCH($C468,'原始数据'!$B$2:$B$3689,0))</f>
        <v>5</v>
      </c>
      <c r="H468" s="10" t="n">
        <f t="array" ref="H468">INDEX('原始数据'!G$2:G$3689,MATCH($C468,'原始数据'!$B$2:$B$3689,0))</f>
        <v>6</v>
      </c>
      <c r="I468" s="11" t="n">
        <f t="array" ref="I468">INDEX('原始数据'!H$2:H$3689,MATCH($C468,'原始数据'!$B$2:$B$3689,0))</f>
        <v>5.5</v>
      </c>
      <c r="J468" s="16" t="n">
        <f>IF(F468=0,I468*2,F468/$N$603+I468)</f>
        <v>133.942470615976</v>
      </c>
      <c r="K468" s="18" t="n">
        <f>ROW(K468)-1</f>
        <v>467</v>
      </c>
      <c r="L468" s="18" t="e">
        <f t="array" ref="L468">INDEX(TOP3277!#REF!,MATCH(C468,TOP3277!$B$501:$B$3035,0))</f>
        <v>#N/A</v>
      </c>
    </row>
    <row r="469" ht="14.399999999999999" customHeight="1">
      <c r="A469" s="10" t="n">
        <v>362</v>
      </c>
      <c r="B469" s="10" t="s">
        <v>8448</v>
      </c>
      <c r="C469" s="10" t="s">
        <v>8449</v>
      </c>
      <c r="D469" s="10" t="n">
        <v>339</v>
      </c>
      <c r="E469" s="10" t="n">
        <v>541</v>
      </c>
      <c r="F469" s="11" t="n">
        <f>SUM(D469+E469)/2</f>
        <v>440</v>
      </c>
      <c r="G469" s="18" t="n">
        <v>43</v>
      </c>
      <c r="H469" s="18" t="n">
        <v>64</v>
      </c>
      <c r="I469" s="11" t="n">
        <f>SUM(G469+H469)/2</f>
        <v>53.5</v>
      </c>
      <c r="J469" s="16" t="n">
        <f>IF(F469=0,I469*2,F469/$N$603+I469)</f>
        <v>132.541520379062</v>
      </c>
      <c r="K469" s="18" t="n">
        <f>ROW(K469)-1</f>
        <v>468</v>
      </c>
      <c r="L469" s="18" t="e">
        <f t="array" ref="L469">INDEX(TOP3277!#REF!,MATCH(C469,TOP3277!$B$501:$B$3035,0))</f>
        <v>#N/A</v>
      </c>
    </row>
    <row r="470" ht="14.399999999999999" customHeight="1">
      <c r="A470" s="10" t="n">
        <v>375</v>
      </c>
      <c r="B470" s="10" t="s">
        <v>1379</v>
      </c>
      <c r="C470" s="10" t="s">
        <v>1380</v>
      </c>
      <c r="D470" s="10" t="n">
        <v>139</v>
      </c>
      <c r="E470" s="10" t="n">
        <v>223</v>
      </c>
      <c r="F470" s="11" t="n">
        <f>SUM(D470+E470)/2</f>
        <v>181</v>
      </c>
      <c r="G470" s="18" t="n">
        <v>81</v>
      </c>
      <c r="H470" s="18" t="n">
        <v>111</v>
      </c>
      <c r="I470" s="11" t="n">
        <f>SUM(G470+H470)/2</f>
        <v>96</v>
      </c>
      <c r="J470" s="16" t="n">
        <f>IF(F470=0,I470*2,F470/$N$603+I470)</f>
        <v>128.514807246841</v>
      </c>
      <c r="K470" s="18" t="n">
        <f>ROW(K470)-1</f>
        <v>469</v>
      </c>
      <c r="L470" s="18" t="n">
        <f t="array" ref="L470">INDEX(TOP3277!#REF!,MATCH(C470,TOP3277!$B$501:$B$3035,0))</f>
        <v>1793</v>
      </c>
    </row>
    <row r="471" ht="14.399999999999999" customHeight="1">
      <c r="A471" s="10" t="n">
        <v>564</v>
      </c>
      <c r="B471" s="10" t="s">
        <v>5997</v>
      </c>
      <c r="C471" s="10" t="s">
        <v>5998</v>
      </c>
      <c r="D471" s="10" t="n">
        <f t="array" ref="D471">INDEX('原始数据'!C$2:C$3689,MATCH($C471,'原始数据'!$B$2:$B$3689,0))</f>
        <v>90</v>
      </c>
      <c r="E471" s="10" t="n">
        <f t="array" ref="E471">INDEX('原始数据'!D$2:D$3689,MATCH($C471,'原始数据'!$B$2:$B$3689,0))</f>
        <v>146</v>
      </c>
      <c r="F471" s="11" t="n">
        <f t="array" ref="F471">INDEX('原始数据'!E$2:E$3689,MATCH($C471,'原始数据'!$B$2:$B$3689,0))</f>
        <v>118</v>
      </c>
      <c r="G471" s="10" t="n">
        <f t="array" ref="G471">INDEX('原始数据'!F$2:F$3689,MATCH($C471,'原始数据'!$B$2:$B$3689,0))</f>
        <v>90</v>
      </c>
      <c r="H471" s="10" t="n">
        <f t="array" ref="H471">INDEX('原始数据'!G$2:G$3689,MATCH($C471,'原始数据'!$B$2:$B$3689,0))</f>
        <v>123</v>
      </c>
      <c r="I471" s="11" t="n">
        <f t="array" ref="I471">INDEX('原始数据'!H$2:H$3689,MATCH($C471,'原始数据'!$B$2:$B$3689,0))</f>
        <v>106.5</v>
      </c>
      <c r="J471" s="16" t="n">
        <f>IF(F471=0,I471*2,F471/$N$603+I471)</f>
        <v>127.697498647112</v>
      </c>
      <c r="K471" s="18" t="n">
        <f>ROW(K471)-1</f>
        <v>470</v>
      </c>
      <c r="L471" s="18" t="e">
        <f t="array" ref="L471">INDEX(TOP3277!#REF!,MATCH(C471,TOP3277!$B$501:$B$3035,0))</f>
        <v>#N/A</v>
      </c>
    </row>
    <row r="472" ht="14.399999999999999" customHeight="1">
      <c r="A472" s="10" t="n">
        <v>583</v>
      </c>
      <c r="B472" s="10" t="s">
        <v>8450</v>
      </c>
      <c r="C472" s="10" t="s">
        <v>8451</v>
      </c>
      <c r="D472" s="10" t="n">
        <v>396</v>
      </c>
      <c r="E472" s="10" t="n">
        <v>632</v>
      </c>
      <c r="F472" s="11" t="n">
        <f>SUM(D472+E472)/2</f>
        <v>514</v>
      </c>
      <c r="G472" s="18" t="n">
        <v>33</v>
      </c>
      <c r="H472" s="18" t="n">
        <v>36</v>
      </c>
      <c r="I472" s="11" t="n">
        <f>SUM(G472+H472)/2</f>
        <v>34.5</v>
      </c>
      <c r="J472" s="16" t="n">
        <f>IF(F472=0,I472*2,F472/$N$603+I472)</f>
        <v>126.834866988268</v>
      </c>
      <c r="K472" s="18" t="n">
        <f>ROW(K472)-1</f>
        <v>471</v>
      </c>
      <c r="L472" s="18" t="e">
        <f t="array" ref="L472">INDEX(TOP3277!#REF!,MATCH(C472,TOP3277!$B$501:$B$3035,0))</f>
        <v>#N/A</v>
      </c>
    </row>
    <row r="473" ht="14.399999999999999" customHeight="1">
      <c r="A473" s="10" t="n">
        <v>361</v>
      </c>
      <c r="B473" s="10" t="s">
        <v>682</v>
      </c>
      <c r="C473" s="10" t="s">
        <v>683</v>
      </c>
      <c r="D473" s="10" t="n">
        <f t="array" ref="D473">INDEX('原始数据'!C$2:C$3689,MATCH($C473,'原始数据'!$B$2:$B$3689,0))</f>
        <v>493</v>
      </c>
      <c r="E473" s="10" t="n">
        <f t="array" ref="E473">INDEX('原始数据'!D$2:D$3689,MATCH($C473,'原始数据'!$B$2:$B$3689,0))</f>
        <v>785</v>
      </c>
      <c r="F473" s="11" t="n">
        <f t="array" ref="F473">INDEX('原始数据'!E$2:E$3689,MATCH($C473,'原始数据'!$B$2:$B$3689,0))</f>
        <v>639</v>
      </c>
      <c r="G473" s="10" t="n">
        <f t="array" ref="G473">INDEX('原始数据'!F$2:F$3689,MATCH($C473,'原始数据'!$B$2:$B$3689,0))</f>
        <v>9</v>
      </c>
      <c r="H473" s="10" t="n">
        <f t="array" ref="H473">INDEX('原始数据'!G$2:G$3689,MATCH($C473,'原始数据'!$B$2:$B$3689,0))</f>
        <v>14</v>
      </c>
      <c r="I473" s="11" t="n">
        <f t="array" ref="I473">INDEX('原始数据'!H$2:H$3689,MATCH($C473,'原始数据'!$B$2:$B$3689,0))</f>
        <v>11.5</v>
      </c>
      <c r="J473" s="16" t="n">
        <f>IF(F473=0,I473*2,F473/$N$603+I473)</f>
        <v>126.289844368683</v>
      </c>
      <c r="K473" s="18" t="n">
        <f>ROW(K473)-1</f>
        <v>472</v>
      </c>
      <c r="L473" s="18" t="e">
        <f t="array" ref="L473">INDEX(TOP3277!#REF!,MATCH(C473,TOP3277!$B$501:$B$3035,0))</f>
        <v>#N/A</v>
      </c>
    </row>
    <row r="474" ht="14.399999999999999" customHeight="1">
      <c r="A474" s="10" t="n">
        <v>358</v>
      </c>
      <c r="B474" s="10" t="s">
        <v>684</v>
      </c>
      <c r="C474" s="10" t="s">
        <v>685</v>
      </c>
      <c r="D474" s="10" t="n">
        <f t="array" ref="D474">INDEX('原始数据'!C$2:C$3689,MATCH($C474,'原始数据'!$B$2:$B$3689,0))</f>
        <v>393</v>
      </c>
      <c r="E474" s="10" t="n">
        <f t="array" ref="E474">INDEX('原始数据'!D$2:D$3689,MATCH($C474,'原始数据'!$B$2:$B$3689,0))</f>
        <v>629</v>
      </c>
      <c r="F474" s="11" t="n">
        <f t="array" ref="F474">INDEX('原始数据'!E$2:E$3689,MATCH($C474,'原始数据'!$B$2:$B$3689,0))</f>
        <v>511</v>
      </c>
      <c r="G474" s="10" t="n">
        <f t="array" ref="G474">INDEX('原始数据'!F$2:F$3689,MATCH($C474,'原始数据'!$B$2:$B$3689,0))</f>
        <v>29</v>
      </c>
      <c r="H474" s="10" t="n">
        <f t="array" ref="H474">INDEX('原始数据'!G$2:G$3689,MATCH($C474,'原始数据'!$B$2:$B$3689,0))</f>
        <v>36</v>
      </c>
      <c r="I474" s="11" t="n">
        <f t="array" ref="I474">INDEX('原始数据'!H$2:H$3689,MATCH($C474,'原始数据'!$B$2:$B$3689,0))</f>
        <v>32.5</v>
      </c>
      <c r="J474" s="16" t="n">
        <f>IF(F474=0,I474*2,F474/$N$603+I474)</f>
        <v>124.295947531138</v>
      </c>
      <c r="K474" s="18" t="n">
        <f>ROW(K474)-1</f>
        <v>473</v>
      </c>
      <c r="L474" s="18" t="n">
        <f t="array" ref="L474">INDEX(TOP3277!#REF!,MATCH(C474,TOP3277!$B$501:$B$3035,0))</f>
        <v>1757</v>
      </c>
    </row>
    <row r="475" ht="14.399999999999999" customHeight="1">
      <c r="A475" s="10" t="n">
        <v>444</v>
      </c>
      <c r="B475" s="10" t="s">
        <v>8452</v>
      </c>
      <c r="C475" s="10" t="s">
        <v>8453</v>
      </c>
      <c r="D475" s="10" t="n">
        <v>143</v>
      </c>
      <c r="E475" s="10" t="n">
        <v>227</v>
      </c>
      <c r="F475" s="11" t="n">
        <f>SUM(D475+E475)/2</f>
        <v>185</v>
      </c>
      <c r="G475" s="18" t="n">
        <v>74</v>
      </c>
      <c r="H475" s="18" t="n">
        <v>108</v>
      </c>
      <c r="I475" s="11" t="n">
        <f>SUM(G475+H475)/2</f>
        <v>91</v>
      </c>
      <c r="J475" s="16" t="n">
        <f>IF(F475=0,I475*2,F475/$N$603+I475)</f>
        <v>124.233366523015</v>
      </c>
      <c r="K475" s="18" t="n">
        <f>ROW(K475)-1</f>
        <v>474</v>
      </c>
      <c r="L475" s="18" t="e">
        <f t="array" ref="L475">INDEX(TOP3277!#REF!,MATCH(C475,TOP3277!$B$501:$B$3035,0))</f>
        <v>#N/A</v>
      </c>
    </row>
    <row r="476" ht="14.399999999999999" customHeight="1">
      <c r="A476" s="10" t="n">
        <v>458</v>
      </c>
      <c r="B476" s="10" t="s">
        <v>434</v>
      </c>
      <c r="C476" s="10" t="s">
        <v>8454</v>
      </c>
      <c r="D476" s="10" t="n">
        <v>319</v>
      </c>
      <c r="E476" s="10" t="n">
        <v>509</v>
      </c>
      <c r="F476" s="11" t="n">
        <f>SUM(D476+E476)/2</f>
        <v>414</v>
      </c>
      <c r="G476" s="18" t="n">
        <v>36</v>
      </c>
      <c r="H476" s="18" t="n">
        <v>54</v>
      </c>
      <c r="I476" s="11" t="n">
        <f>SUM(G476+H476)/2</f>
        <v>45</v>
      </c>
      <c r="J476" s="16" t="n">
        <f>IF(F476=0,I476*2,F476/$N$603+I476)</f>
        <v>119.370885083936</v>
      </c>
      <c r="K476" s="18" t="n">
        <f>ROW(K476)-1</f>
        <v>475</v>
      </c>
      <c r="L476" s="18" t="e">
        <f t="array" ref="L476">INDEX(TOP3277!#REF!,MATCH(C476,TOP3277!$B$501:$B$3035,0))</f>
        <v>#N/A</v>
      </c>
    </row>
    <row r="477" ht="14.399999999999999" customHeight="1">
      <c r="A477" s="10" t="n">
        <v>556</v>
      </c>
      <c r="B477" s="10" t="s">
        <v>5691</v>
      </c>
      <c r="C477" s="10" t="s">
        <v>5692</v>
      </c>
      <c r="D477" s="10" t="n">
        <f t="array" ref="D477">INDEX('原始数据'!C$2:C$3689,MATCH($C477,'原始数据'!$B$2:$B$3689,0))</f>
        <v>334</v>
      </c>
      <c r="E477" s="10" t="n">
        <f t="array" ref="E477">INDEX('原始数据'!D$2:D$3689,MATCH($C477,'原始数据'!$B$2:$B$3689,0))</f>
        <v>536</v>
      </c>
      <c r="F477" s="11" t="n">
        <f t="array" ref="F477">INDEX('原始数据'!E$2:E$3689,MATCH($C477,'原始数据'!$B$2:$B$3689,0))</f>
        <v>435</v>
      </c>
      <c r="G477" s="10" t="n">
        <f t="array" ref="G477">INDEX('原始数据'!F$2:F$3689,MATCH($C477,'原始数据'!$B$2:$B$3689,0))</f>
        <v>33</v>
      </c>
      <c r="H477" s="10" t="n">
        <f t="array" ref="H477">INDEX('原始数据'!G$2:G$3689,MATCH($C477,'原始数据'!$B$2:$B$3689,0))</f>
        <v>47</v>
      </c>
      <c r="I477" s="11" t="n">
        <f t="array" ref="I477">INDEX('原始数据'!H$2:H$3689,MATCH($C477,'原始数据'!$B$2:$B$3689,0))</f>
        <v>40</v>
      </c>
      <c r="J477" s="16" t="n">
        <f>IF(F477=0,I477*2,F477/$N$603+I477)</f>
        <v>118.143321283846</v>
      </c>
      <c r="K477" s="18" t="n">
        <f>ROW(K477)-1</f>
        <v>476</v>
      </c>
      <c r="L477" s="18" t="e">
        <f t="array" ref="L477">INDEX(TOP3277!#REF!,MATCH(C477,TOP3277!$B$501:$B$3035,0))</f>
        <v>#N/A</v>
      </c>
    </row>
    <row r="478" ht="14.399999999999999" customHeight="1">
      <c r="A478" s="10" t="n">
        <v>371</v>
      </c>
      <c r="B478" s="10" t="s">
        <v>1282</v>
      </c>
      <c r="C478" s="10" t="s">
        <v>1283</v>
      </c>
      <c r="D478" s="10" t="n">
        <f t="array" ref="D478">INDEX('原始数据'!C$2:C$3689,MATCH($C478,'原始数据'!$B$2:$B$3689,0))</f>
        <v>244</v>
      </c>
      <c r="E478" s="10" t="n">
        <f t="array" ref="E478">INDEX('原始数据'!D$2:D$3689,MATCH($C478,'原始数据'!$B$2:$B$3689,0))</f>
        <v>390</v>
      </c>
      <c r="F478" s="11" t="n">
        <f t="array" ref="F478">INDEX('原始数据'!E$2:E$3689,MATCH($C478,'原始数据'!$B$2:$B$3689,0))</f>
        <v>317</v>
      </c>
      <c r="G478" s="10" t="n">
        <f t="array" ref="G478">INDEX('原始数据'!F$2:F$3689,MATCH($C478,'原始数据'!$B$2:$B$3689,0))</f>
        <v>55</v>
      </c>
      <c r="H478" s="10" t="n">
        <f t="array" ref="H478">INDEX('原始数据'!G$2:G$3689,MATCH($C478,'原始数据'!$B$2:$B$3689,0))</f>
        <v>64</v>
      </c>
      <c r="I478" s="11" t="n">
        <f t="array" ref="I478">INDEX('原始数据'!H$2:H$3689,MATCH($C478,'原始数据'!$B$2:$B$3689,0))</f>
        <v>59.5</v>
      </c>
      <c r="J478" s="16" t="n">
        <f>IF(F478=0,I478*2,F478/$N$603+I478)</f>
        <v>116.445822636733</v>
      </c>
      <c r="K478" s="18" t="n">
        <f>ROW(K478)-1</f>
        <v>477</v>
      </c>
      <c r="L478" s="18" t="n">
        <f t="array" ref="L478">INDEX(TOP3277!#REF!,MATCH(C478,TOP3277!$B$501:$B$3035,0))</f>
        <v>1761</v>
      </c>
    </row>
    <row r="479" ht="14.399999999999999" customHeight="1">
      <c r="A479" s="10" t="n">
        <v>447</v>
      </c>
      <c r="B479" s="10" t="s">
        <v>2504</v>
      </c>
      <c r="C479" s="10" t="s">
        <v>2505</v>
      </c>
      <c r="D479" s="10" t="n">
        <v>392</v>
      </c>
      <c r="E479" s="10" t="n">
        <v>626</v>
      </c>
      <c r="F479" s="11" t="n">
        <f>SUM(D479+E479)/2</f>
        <v>509</v>
      </c>
      <c r="G479" s="18" t="n">
        <v>20</v>
      </c>
      <c r="H479" s="18" t="n">
        <v>28</v>
      </c>
      <c r="I479" s="11" t="n">
        <f>SUM(G479+H479)/2</f>
        <v>24</v>
      </c>
      <c r="J479" s="16" t="n">
        <f>IF(F479=0,I479*2,F479/$N$603+I479)</f>
        <v>115.436667893052</v>
      </c>
      <c r="K479" s="18" t="n">
        <f>ROW(K479)-1</f>
        <v>478</v>
      </c>
      <c r="L479" s="18" t="n">
        <f t="array" ref="L479">INDEX(TOP3277!#REF!,MATCH(C479,TOP3277!$B$501:$B$3035,0))</f>
        <v>1815</v>
      </c>
    </row>
    <row r="480" ht="14.399999999999999" customHeight="1">
      <c r="A480" s="10" t="n">
        <v>463</v>
      </c>
      <c r="B480" s="10" t="s">
        <v>8455</v>
      </c>
      <c r="C480" s="10" t="s">
        <v>8456</v>
      </c>
      <c r="D480" s="10" t="n">
        <v>176</v>
      </c>
      <c r="E480" s="10" t="n">
        <v>280</v>
      </c>
      <c r="F480" s="11" t="n">
        <f>SUM(D480+E480)/2</f>
        <v>228</v>
      </c>
      <c r="G480" s="18" t="n">
        <v>57</v>
      </c>
      <c r="H480" s="18" t="n">
        <v>84</v>
      </c>
      <c r="I480" s="11" t="n">
        <f>SUM(G480+H480)/2</f>
        <v>70.5</v>
      </c>
      <c r="J480" s="16" t="n">
        <f>IF(F480=0,I480*2,F480/$N$603+I480)</f>
        <v>111.457878741878</v>
      </c>
      <c r="K480" s="18" t="n">
        <f>ROW(K480)-1</f>
        <v>479</v>
      </c>
      <c r="L480" s="18" t="e">
        <f t="array" ref="L480">INDEX(TOP3277!#REF!,MATCH(C480,TOP3277!$B$501:$B$3035,0))</f>
        <v>#N/A</v>
      </c>
    </row>
    <row r="481" ht="14.399999999999999" customHeight="1">
      <c r="A481" s="10" t="n">
        <v>516</v>
      </c>
      <c r="B481" s="10" t="s">
        <v>5643</v>
      </c>
      <c r="C481" s="10" t="s">
        <v>5644</v>
      </c>
      <c r="D481" s="10" t="n">
        <f t="array" ref="D481">INDEX('原始数据'!C$2:C$3689,MATCH($C481,'原始数据'!$B$2:$B$3689,0))</f>
        <v>271</v>
      </c>
      <c r="E481" s="10" t="n">
        <f t="array" ref="E481">INDEX('原始数据'!D$2:D$3689,MATCH($C481,'原始数据'!$B$2:$B$3689,0))</f>
        <v>431</v>
      </c>
      <c r="F481" s="11" t="n">
        <f t="array" ref="F481">INDEX('原始数据'!E$2:E$3689,MATCH($C481,'原始数据'!$B$2:$B$3689,0))</f>
        <v>351</v>
      </c>
      <c r="G481" s="10" t="n">
        <f t="array" ref="G481">INDEX('原始数据'!F$2:F$3689,MATCH($C481,'原始数据'!$B$2:$B$3689,0))</f>
        <v>36</v>
      </c>
      <c r="H481" s="10" t="n">
        <f t="array" ref="H481">INDEX('原始数据'!G$2:G$3689,MATCH($C481,'原始数据'!$B$2:$B$3689,0))</f>
        <v>57</v>
      </c>
      <c r="I481" s="11" t="n">
        <f t="array" ref="I481">INDEX('原始数据'!H$2:H$3689,MATCH($C481,'原始数据'!$B$2:$B$3689,0))</f>
        <v>46.5</v>
      </c>
      <c r="J481" s="16" t="n">
        <f>IF(F481=0,I481*2,F481/$N$603+I481)</f>
        <v>109.553576484206</v>
      </c>
      <c r="K481" s="18" t="n">
        <f>ROW(K481)-1</f>
        <v>480</v>
      </c>
      <c r="L481" s="18" t="e">
        <f t="array" ref="L481">INDEX(TOP3277!#REF!,MATCH(C481,TOP3277!$B$501:$B$3035,0))</f>
        <v>#N/A</v>
      </c>
    </row>
    <row r="482" ht="14.399999999999999" customHeight="1">
      <c r="A482" s="10" t="n">
        <v>510</v>
      </c>
      <c r="B482" s="10" t="s">
        <v>2316</v>
      </c>
      <c r="C482" s="10" t="s">
        <v>2317</v>
      </c>
      <c r="D482" s="10" t="n">
        <f t="array" ref="D482">INDEX('原始数据'!C$2:C$3689,MATCH($C482,'原始数据'!$B$2:$B$3689,0))</f>
        <v>142</v>
      </c>
      <c r="E482" s="10" t="n">
        <f t="array" ref="E482">INDEX('原始数据'!D$2:D$3689,MATCH($C482,'原始数据'!$B$2:$B$3689,0))</f>
        <v>226</v>
      </c>
      <c r="F482" s="11" t="n">
        <f t="array" ref="F482">INDEX('原始数据'!E$2:E$3689,MATCH($C482,'原始数据'!$B$2:$B$3689,0))</f>
        <v>184</v>
      </c>
      <c r="G482" s="10" t="n">
        <f t="array" ref="G482">INDEX('原始数据'!F$2:F$3689,MATCH($C482,'原始数据'!$B$2:$B$3689,0))</f>
        <v>72</v>
      </c>
      <c r="H482" s="10" t="n">
        <f t="array" ref="H482">INDEX('原始数据'!G$2:G$3689,MATCH($C482,'原始数据'!$B$2:$B$3689,0))</f>
        <v>80</v>
      </c>
      <c r="I482" s="11" t="n">
        <f t="array" ref="I482">INDEX('原始数据'!H$2:H$3689,MATCH($C482,'原始数据'!$B$2:$B$3689,0))</f>
        <v>76</v>
      </c>
      <c r="J482" s="16" t="n">
        <f>IF(F482=0,I482*2,F482/$N$603+I482)</f>
        <v>109.053726703972</v>
      </c>
      <c r="K482" s="18" t="n">
        <f>ROW(K482)-1</f>
        <v>481</v>
      </c>
      <c r="L482" s="18" t="n">
        <f t="array" ref="L482">INDEX(TOP3277!#REF!,MATCH(C482,TOP3277!$B$501:$B$3035,0))</f>
        <v>1765</v>
      </c>
    </row>
    <row r="483" ht="14.399999999999999" customHeight="1">
      <c r="A483" s="10" t="n">
        <v>559</v>
      </c>
      <c r="B483" s="10" t="s">
        <v>2318</v>
      </c>
      <c r="C483" s="10" t="s">
        <v>2319</v>
      </c>
      <c r="D483" s="10" t="n">
        <f t="array" ref="D483">INDEX('原始数据'!C$2:C$3689,MATCH($C483,'原始数据'!$B$2:$B$3689,0))</f>
        <v>144</v>
      </c>
      <c r="E483" s="10" t="n">
        <f t="array" ref="E483">INDEX('原始数据'!D$2:D$3689,MATCH($C483,'原始数据'!$B$2:$B$3689,0))</f>
        <v>228</v>
      </c>
      <c r="F483" s="11" t="n">
        <f t="array" ref="F483">INDEX('原始数据'!E$2:E$3689,MATCH($C483,'原始数据'!$B$2:$B$3689,0))</f>
        <v>186</v>
      </c>
      <c r="G483" s="10" t="n">
        <f t="array" ref="G483">INDEX('原始数据'!F$2:F$3689,MATCH($C483,'原始数据'!$B$2:$B$3689,0))</f>
        <v>64</v>
      </c>
      <c r="H483" s="10" t="n">
        <f t="array" ref="H483">INDEX('原始数据'!G$2:G$3689,MATCH($C483,'原始数据'!$B$2:$B$3689,0))</f>
        <v>87</v>
      </c>
      <c r="I483" s="11" t="n">
        <f t="array" ref="I483">INDEX('原始数据'!H$2:H$3689,MATCH($C483,'原始数据'!$B$2:$B$3689,0))</f>
        <v>75.5</v>
      </c>
      <c r="J483" s="16" t="n">
        <f>IF(F483=0,I483*2,F483/$N$603+I483)</f>
        <v>108.913006342058</v>
      </c>
      <c r="K483" s="18" t="n">
        <f>ROW(K483)-1</f>
        <v>482</v>
      </c>
      <c r="L483" s="18" t="n">
        <f t="array" ref="L483">INDEX(TOP3277!#REF!,MATCH(C483,TOP3277!$B$501:$B$3035,0))</f>
        <v>1767</v>
      </c>
    </row>
    <row r="484" ht="14.399999999999999" customHeight="1">
      <c r="A484" s="10" t="n">
        <v>391</v>
      </c>
      <c r="B484" s="10" t="s">
        <v>8075</v>
      </c>
      <c r="C484" s="10" t="s">
        <v>8076</v>
      </c>
      <c r="D484" s="10" t="n">
        <f t="array" ref="D484">INDEX('原始数据'!C$2:C$3689,MATCH($C484,'原始数据'!$B$2:$B$3689,0))</f>
        <v>294</v>
      </c>
      <c r="E484" s="10" t="n">
        <f t="array" ref="E484">INDEX('原始数据'!D$2:D$3689,MATCH($C484,'原始数据'!$B$2:$B$3689,0))</f>
        <v>472</v>
      </c>
      <c r="F484" s="11" t="n">
        <f t="array" ref="F484">INDEX('原始数据'!E$2:E$3689,MATCH($C484,'原始数据'!$B$2:$B$3689,0))</f>
        <v>383</v>
      </c>
      <c r="G484" s="10" t="n">
        <f t="array" ref="G484">INDEX('原始数据'!F$2:F$3689,MATCH($C484,'原始数据'!$B$2:$B$3689,0))</f>
        <v>34</v>
      </c>
      <c r="H484" s="10" t="n">
        <f t="array" ref="H484">INDEX('原始数据'!G$2:G$3689,MATCH($C484,'原始数据'!$B$2:$B$3689,0))</f>
        <v>43</v>
      </c>
      <c r="I484" s="11" t="n">
        <f t="array" ref="I484">INDEX('原始数据'!H$2:H$3689,MATCH($C484,'原始数据'!$B$2:$B$3689,0))</f>
        <v>38.5</v>
      </c>
      <c r="J484" s="16" t="n">
        <f>IF(F484=0,I484*2,F484/$N$603+I484)</f>
        <v>107.302050693593</v>
      </c>
      <c r="K484" s="18" t="n">
        <f>ROW(K484)-1</f>
        <v>483</v>
      </c>
      <c r="L484" s="18" t="e">
        <f t="array" ref="L484">INDEX(TOP3277!#REF!,MATCH(C484,TOP3277!$B$501:$B$3035,0))</f>
        <v>#N/A</v>
      </c>
    </row>
    <row r="485" ht="14.399999999999999" customHeight="1">
      <c r="A485" s="10" t="n">
        <v>431</v>
      </c>
      <c r="B485" s="10" t="s">
        <v>7168</v>
      </c>
      <c r="C485" s="10" t="s">
        <v>8457</v>
      </c>
      <c r="D485" s="10" t="n">
        <v>325</v>
      </c>
      <c r="E485" s="10" t="n">
        <v>516</v>
      </c>
      <c r="F485" s="11" t="n">
        <f>SUM(D485+E485)/2</f>
        <v>420.5</v>
      </c>
      <c r="G485" s="18" t="n">
        <v>26</v>
      </c>
      <c r="H485" s="18" t="n">
        <v>37</v>
      </c>
      <c r="I485" s="11" t="n">
        <f>SUM(G485+H485)/2</f>
        <v>31.5</v>
      </c>
      <c r="J485" s="16" t="n">
        <f>IF(F485=0,I485*2,F485/$N$603+I485)</f>
        <v>107.038543907717</v>
      </c>
      <c r="K485" s="18" t="n">
        <f>ROW(K485)-1</f>
        <v>484</v>
      </c>
      <c r="L485" s="18" t="e">
        <f t="array" ref="L485">INDEX(TOP3277!#REF!,MATCH(C485,TOP3277!$B$501:$B$3035,0))</f>
        <v>#N/A</v>
      </c>
    </row>
    <row r="486" ht="14.399999999999999" customHeight="1">
      <c r="A486" s="10" t="n">
        <v>495</v>
      </c>
      <c r="B486" s="10" t="s">
        <v>1284</v>
      </c>
      <c r="C486" s="10" t="s">
        <v>1285</v>
      </c>
      <c r="D486" s="10" t="n">
        <f t="array" ref="D486">INDEX('原始数据'!C$2:C$3689,MATCH($C486,'原始数据'!$B$2:$B$3689,0))</f>
        <v>211</v>
      </c>
      <c r="E486" s="10" t="n">
        <f t="array" ref="E486">INDEX('原始数据'!D$2:D$3689,MATCH($C486,'原始数据'!$B$2:$B$3689,0))</f>
        <v>335</v>
      </c>
      <c r="F486" s="11" t="n">
        <f t="array" ref="F486">INDEX('原始数据'!E$2:E$3689,MATCH($C486,'原始数据'!$B$2:$B$3689,0))</f>
        <v>273</v>
      </c>
      <c r="G486" s="10" t="n">
        <f t="array" ref="G486">INDEX('原始数据'!F$2:F$3689,MATCH($C486,'原始数据'!$B$2:$B$3689,0))</f>
        <v>46</v>
      </c>
      <c r="H486" s="10" t="n">
        <f t="array" ref="H486">INDEX('原始数据'!G$2:G$3689,MATCH($C486,'原始数据'!$B$2:$B$3689,0))</f>
        <v>68</v>
      </c>
      <c r="I486" s="11" t="n">
        <f t="array" ref="I486">INDEX('原始数据'!H$2:H$3689,MATCH($C486,'原始数据'!$B$2:$B$3689,0))</f>
        <v>57</v>
      </c>
      <c r="J486" s="16" t="n">
        <f>IF(F486=0,I486*2,F486/$N$603+I486)</f>
        <v>106.041670598827</v>
      </c>
      <c r="K486" s="18" t="n">
        <f>ROW(K486)-1</f>
        <v>485</v>
      </c>
      <c r="L486" s="18" t="n">
        <f t="array" ref="L486">INDEX(TOP3277!#REF!,MATCH(C486,TOP3277!$B$501:$B$3035,0))</f>
        <v>1766</v>
      </c>
    </row>
    <row r="487" ht="14.399999999999999" customHeight="1">
      <c r="A487" s="10" t="n">
        <v>502</v>
      </c>
      <c r="B487" s="10" t="s">
        <v>2186</v>
      </c>
      <c r="C487" s="10" t="s">
        <v>2187</v>
      </c>
      <c r="D487" s="10" t="n">
        <f t="array" ref="D487">INDEX('原始数据'!C$2:C$3689,MATCH($C487,'原始数据'!$B$2:$B$3689,0))</f>
        <v>133</v>
      </c>
      <c r="E487" s="10" t="n">
        <f t="array" ref="E487">INDEX('原始数据'!D$2:D$3689,MATCH($C487,'原始数据'!$B$2:$B$3689,0))</f>
        <v>211</v>
      </c>
      <c r="F487" s="11" t="n">
        <f t="array" ref="F487">INDEX('原始数据'!E$2:E$3689,MATCH($C487,'原始数据'!$B$2:$B$3689,0))</f>
        <v>172</v>
      </c>
      <c r="G487" s="10" t="n">
        <f t="array" ref="G487">INDEX('原始数据'!F$2:F$3689,MATCH($C487,'原始数据'!$B$2:$B$3689,0))</f>
        <v>66</v>
      </c>
      <c r="H487" s="10" t="n">
        <f t="array" ref="H487">INDEX('原始数据'!G$2:G$3689,MATCH($C487,'原始数据'!$B$2:$B$3689,0))</f>
        <v>84</v>
      </c>
      <c r="I487" s="11" t="n">
        <f t="array" ref="I487">INDEX('原始数据'!H$2:H$3689,MATCH($C487,'原始数据'!$B$2:$B$3689,0))</f>
        <v>75</v>
      </c>
      <c r="J487" s="16" t="n">
        <f>IF(F487=0,I487*2,F487/$N$603+I487)</f>
        <v>105.898048875452</v>
      </c>
      <c r="K487" s="18" t="n">
        <f>ROW(K487)-1</f>
        <v>486</v>
      </c>
      <c r="L487" s="18" t="n">
        <f t="array" ref="L487">INDEX(TOP3277!#REF!,MATCH(C487,TOP3277!$B$501:$B$3035,0))</f>
        <v>1773</v>
      </c>
    </row>
    <row r="488" ht="14.399999999999999" customHeight="1">
      <c r="A488" s="10" t="n">
        <v>395</v>
      </c>
      <c r="B488" s="10" t="s">
        <v>540</v>
      </c>
      <c r="C488" s="10" t="s">
        <v>541</v>
      </c>
      <c r="D488" s="10" t="n">
        <f t="array" ref="D488">INDEX('原始数据'!C$2:C$3689,MATCH($C488,'原始数据'!$B$2:$B$3689,0))</f>
        <v>427</v>
      </c>
      <c r="E488" s="10" t="n">
        <f t="array" ref="E488">INDEX('原始数据'!D$2:D$3689,MATCH($C488,'原始数据'!$B$2:$B$3689,0))</f>
        <v>681</v>
      </c>
      <c r="F488" s="11" t="n">
        <f t="array" ref="F488">INDEX('原始数据'!E$2:E$3689,MATCH($C488,'原始数据'!$B$2:$B$3689,0))</f>
        <v>554</v>
      </c>
      <c r="G488" s="10" t="n">
        <f t="array" ref="G488">INDEX('原始数据'!F$2:F$3689,MATCH($C488,'原始数据'!$B$2:$B$3689,0))</f>
        <v>5</v>
      </c>
      <c r="H488" s="10" t="n">
        <f t="array" ref="H488">INDEX('原始数据'!G$2:G$3689,MATCH($C488,'原始数据'!$B$2:$B$3689,0))</f>
        <v>7</v>
      </c>
      <c r="I488" s="11" t="n">
        <f t="array" ref="I488">INDEX('原始数据'!H$2:H$3689,MATCH($C488,'原始数据'!$B$2:$B$3689,0))</f>
        <v>6</v>
      </c>
      <c r="J488" s="16" t="n">
        <f>IF(F488=0,I488*2,F488/$N$603+I488)</f>
        <v>105.520459750001</v>
      </c>
      <c r="K488" s="18" t="n">
        <f>ROW(K488)-1</f>
        <v>487</v>
      </c>
      <c r="L488" s="18" t="e">
        <f t="array" ref="L488">INDEX(TOP3277!#REF!,MATCH(C488,TOP3277!$B$501:$B$3035,0))</f>
        <v>#N/A</v>
      </c>
    </row>
    <row r="489" ht="14.399999999999999" customHeight="1">
      <c r="A489" s="10" t="n">
        <v>383</v>
      </c>
      <c r="B489" s="10" t="s">
        <v>484</v>
      </c>
      <c r="C489" s="10" t="s">
        <v>485</v>
      </c>
      <c r="D489" s="10" t="n">
        <f t="array" ref="D489">INDEX('原始数据'!C$2:C$3689,MATCH($C489,'原始数据'!$B$2:$B$3689,0))</f>
        <v>439</v>
      </c>
      <c r="E489" s="10" t="n">
        <f t="array" ref="E489">INDEX('原始数据'!D$2:D$3689,MATCH($C489,'原始数据'!$B$2:$B$3689,0))</f>
        <v>699</v>
      </c>
      <c r="F489" s="11" t="n">
        <f t="array" ref="F489">INDEX('原始数据'!E$2:E$3689,MATCH($C489,'原始数据'!$B$2:$B$3689,0))</f>
        <v>569</v>
      </c>
      <c r="G489" s="10" t="n">
        <f t="array" ref="G489">INDEX('原始数据'!F$2:F$3689,MATCH($C489,'原始数据'!$B$2:$B$3689,0))</f>
        <v>2</v>
      </c>
      <c r="H489" s="10" t="n">
        <f t="array" ref="H489">INDEX('原始数据'!G$2:G$3689,MATCH($C489,'原始数据'!$B$2:$B$3689,0))</f>
        <v>3</v>
      </c>
      <c r="I489" s="11" t="n">
        <f t="array" ref="I489">INDEX('原始数据'!H$2:H$3689,MATCH($C489,'原始数据'!$B$2:$B$3689,0))</f>
        <v>2.5</v>
      </c>
      <c r="J489" s="16" t="n">
        <f>IF(F489=0,I489*2,F489/$N$603+I489)</f>
        <v>104.715057035651</v>
      </c>
      <c r="K489" s="18" t="n">
        <f>ROW(K489)-1</f>
        <v>488</v>
      </c>
      <c r="L489" s="18" t="e">
        <f t="array" ref="L489">INDEX(TOP3277!#REF!,MATCH(C489,TOP3277!$B$501:$B$3035,0))</f>
        <v>#N/A</v>
      </c>
    </row>
    <row r="490" ht="14.399999999999999" customHeight="1">
      <c r="A490" s="10" t="n">
        <v>471</v>
      </c>
      <c r="B490" s="10" t="s">
        <v>1286</v>
      </c>
      <c r="C490" s="10" t="s">
        <v>1287</v>
      </c>
      <c r="D490" s="10" t="n">
        <f t="array" ref="D490">INDEX('原始数据'!C$2:C$3689,MATCH($C490,'原始数据'!$B$2:$B$3689,0))</f>
        <v>102</v>
      </c>
      <c r="E490" s="10" t="n">
        <f t="array" ref="E490">INDEX('原始数据'!D$2:D$3689,MATCH($C490,'原始数据'!$B$2:$B$3689,0))</f>
        <v>164</v>
      </c>
      <c r="F490" s="11" t="n">
        <f t="array" ref="F490">INDEX('原始数据'!E$2:E$3689,MATCH($C490,'原始数据'!$B$2:$B$3689,0))</f>
        <v>133</v>
      </c>
      <c r="G490" s="10" t="n">
        <f t="array" ref="G490">INDEX('原始数据'!F$2:F$3689,MATCH($C490,'原始数据'!$B$2:$B$3689,0))</f>
        <v>69</v>
      </c>
      <c r="H490" s="10" t="n">
        <f t="array" ref="H490">INDEX('原始数据'!G$2:G$3689,MATCH($C490,'原始数据'!$B$2:$B$3689,0))</f>
        <v>91</v>
      </c>
      <c r="I490" s="11" t="n">
        <f t="array" ref="I490">INDEX('原始数据'!H$2:H$3689,MATCH($C490,'原始数据'!$B$2:$B$3689,0))</f>
        <v>80</v>
      </c>
      <c r="J490" s="16" t="n">
        <f>IF(F490=0,I490*2,F490/$N$603+I490)</f>
        <v>103.892095932762</v>
      </c>
      <c r="K490" s="18" t="n">
        <f>ROW(K490)-1</f>
        <v>489</v>
      </c>
      <c r="L490" s="18" t="n">
        <f t="array" ref="L490">INDEX(TOP3277!#REF!,MATCH(C490,TOP3277!$B$501:$B$3035,0))</f>
        <v>1776</v>
      </c>
    </row>
    <row r="491" ht="14.399999999999999" customHeight="1">
      <c r="A491" s="10" t="n">
        <v>418</v>
      </c>
      <c r="B491" s="10" t="s">
        <v>8458</v>
      </c>
      <c r="C491" s="10" t="s">
        <v>8459</v>
      </c>
      <c r="D491" s="10" t="n">
        <v>217</v>
      </c>
      <c r="E491" s="10" t="n">
        <v>349</v>
      </c>
      <c r="F491" s="11" t="n">
        <f>SUM(D491+E491)/2</f>
        <v>283</v>
      </c>
      <c r="G491" s="18" t="n">
        <v>37</v>
      </c>
      <c r="H491" s="18" t="n">
        <v>57</v>
      </c>
      <c r="I491" s="11" t="n">
        <f>SUM(G491+H491)/2</f>
        <v>47</v>
      </c>
      <c r="J491" s="16" t="n">
        <f>IF(F491=0,I491*2,F491/$N$603+I491)</f>
        <v>97.8380687892604</v>
      </c>
      <c r="K491" s="18" t="n">
        <f>ROW(K491)-1</f>
        <v>490</v>
      </c>
      <c r="L491" s="18" t="e">
        <f t="array" ref="L491">INDEX(TOP3277!#REF!,MATCH(C491,TOP3277!$B$501:$B$3035,0))</f>
        <v>#N/A</v>
      </c>
    </row>
    <row r="492" ht="14.399999999999999" customHeight="1">
      <c r="A492" s="10" t="n">
        <v>387</v>
      </c>
      <c r="B492" s="10" t="s">
        <v>5625</v>
      </c>
      <c r="C492" s="10" t="s">
        <v>5626</v>
      </c>
      <c r="D492" s="10" t="n">
        <f t="array" ref="D492">INDEX('原始数据'!C$2:C$3689,MATCH($C492,'原始数据'!$B$2:$B$3689,0))</f>
        <v>318</v>
      </c>
      <c r="E492" s="10" t="n">
        <f t="array" ref="E492">INDEX('原始数据'!D$2:D$3689,MATCH($C492,'原始数据'!$B$2:$B$3689,0))</f>
        <v>508</v>
      </c>
      <c r="F492" s="11" t="n">
        <f t="array" ref="F492">INDEX('原始数据'!E$2:E$3689,MATCH($C492,'原始数据'!$B$2:$B$3689,0))</f>
        <v>413</v>
      </c>
      <c r="G492" s="10" t="n">
        <f t="array" ref="G492">INDEX('原始数据'!F$2:F$3689,MATCH($C492,'原始数据'!$B$2:$B$3689,0))</f>
        <v>19</v>
      </c>
      <c r="H492" s="10" t="n">
        <f t="array" ref="H492">INDEX('原始数据'!G$2:G$3689,MATCH($C492,'原始数据'!$B$2:$B$3689,0))</f>
        <v>28</v>
      </c>
      <c r="I492" s="11" t="n">
        <f t="array" ref="I492">INDEX('原始数据'!H$2:H$3689,MATCH($C492,'原始数据'!$B$2:$B$3689,0))</f>
        <v>23.5</v>
      </c>
      <c r="J492" s="16" t="n">
        <f>IF(F492=0,I492*2,F492/$N$603+I492)</f>
        <v>97.6912452648924</v>
      </c>
      <c r="K492" s="18" t="n">
        <f>ROW(K492)-1</f>
        <v>491</v>
      </c>
      <c r="L492" s="18" t="e">
        <f t="array" ref="L492">INDEX(TOP3277!#REF!,MATCH(C492,TOP3277!$B$501:$B$3035,0))</f>
        <v>#N/A</v>
      </c>
    </row>
    <row r="493" ht="14.399999999999999" customHeight="1">
      <c r="A493" s="10" t="n">
        <v>342</v>
      </c>
      <c r="B493" s="10" t="s">
        <v>554</v>
      </c>
      <c r="C493" s="10" t="s">
        <v>555</v>
      </c>
      <c r="D493" s="10" t="n">
        <f t="array" ref="D493">INDEX('原始数据'!C$2:C$3689,MATCH($C493,'原始数据'!$B$2:$B$3689,0))</f>
        <v>392</v>
      </c>
      <c r="E493" s="10" t="n">
        <f t="array" ref="E493">INDEX('原始数据'!D$2:D$3689,MATCH($C493,'原始数据'!$B$2:$B$3689,0))</f>
        <v>626</v>
      </c>
      <c r="F493" s="11" t="n">
        <f t="array" ref="F493">INDEX('原始数据'!E$2:E$3689,MATCH($C493,'原始数据'!$B$2:$B$3689,0))</f>
        <v>509</v>
      </c>
      <c r="G493" s="10" t="n">
        <f t="array" ref="G493">INDEX('原始数据'!F$2:F$3689,MATCH($C493,'原始数据'!$B$2:$B$3689,0))</f>
        <v>5</v>
      </c>
      <c r="H493" s="10" t="n">
        <f t="array" ref="H493">INDEX('原始数据'!G$2:G$3689,MATCH($C493,'原始数据'!$B$2:$B$3689,0))</f>
        <v>6</v>
      </c>
      <c r="I493" s="11" t="n">
        <f t="array" ref="I493">INDEX('原始数据'!H$2:H$3689,MATCH($C493,'原始数据'!$B$2:$B$3689,0))</f>
        <v>5.5</v>
      </c>
      <c r="J493" s="16" t="n">
        <f>IF(F493=0,I493*2,F493/$N$603+I493)</f>
        <v>96.9366678930515</v>
      </c>
      <c r="K493" s="18" t="n">
        <f>ROW(K493)-1</f>
        <v>492</v>
      </c>
      <c r="L493" s="18" t="n">
        <f t="array" ref="L493">INDEX(TOP3277!#REF!,MATCH(C493,TOP3277!$B$501:$B$3035,0))</f>
        <v>1771</v>
      </c>
    </row>
    <row r="494" ht="14.399999999999999" customHeight="1">
      <c r="A494" s="10" t="n">
        <v>455</v>
      </c>
      <c r="B494" s="10" t="s">
        <v>1375</v>
      </c>
      <c r="C494" s="10" t="s">
        <v>1376</v>
      </c>
      <c r="D494" s="10" t="n">
        <f t="array" ref="D494">INDEX('原始数据'!C$2:C$3689,MATCH($C494,'原始数据'!$B$2:$B$3689,0))</f>
        <v>83</v>
      </c>
      <c r="E494" s="10" t="n">
        <f t="array" ref="E494">INDEX('原始数据'!D$2:D$3689,MATCH($C494,'原始数据'!$B$2:$B$3689,0))</f>
        <v>133</v>
      </c>
      <c r="F494" s="11" t="n">
        <f t="array" ref="F494">INDEX('原始数据'!E$2:E$3689,MATCH($C494,'原始数据'!$B$2:$B$3689,0))</f>
        <v>108</v>
      </c>
      <c r="G494" s="10" t="n">
        <f t="array" ref="G494">INDEX('原始数据'!F$2:F$3689,MATCH($C494,'原始数据'!$B$2:$B$3689,0))</f>
        <v>62</v>
      </c>
      <c r="H494" s="10" t="n">
        <f t="array" ref="H494">INDEX('原始数据'!G$2:G$3689,MATCH($C494,'原始数据'!$B$2:$B$3689,0))</f>
        <v>92</v>
      </c>
      <c r="I494" s="11" t="n">
        <f t="array" ref="I494">INDEX('原始数据'!H$2:H$3689,MATCH($C494,'原始数据'!$B$2:$B$3689,0))</f>
        <v>77</v>
      </c>
      <c r="J494" s="16" t="n">
        <f>IF(F494=0,I494*2,F494/$N$603+I494)</f>
        <v>96.4011004566789</v>
      </c>
      <c r="K494" s="18" t="n">
        <f>ROW(K494)-1</f>
        <v>493</v>
      </c>
      <c r="L494" s="18" t="n">
        <f t="array" ref="L494">INDEX(TOP3277!#REF!,MATCH(C494,TOP3277!$B$501:$B$3035,0))</f>
        <v>1788</v>
      </c>
    </row>
    <row r="495" ht="14.399999999999999" customHeight="1">
      <c r="A495" s="10" t="n">
        <v>480</v>
      </c>
      <c r="B495" s="10" t="s">
        <v>1320</v>
      </c>
      <c r="C495" s="10" t="s">
        <v>1321</v>
      </c>
      <c r="D495" s="10" t="n">
        <f t="array" ref="D495">INDEX('原始数据'!C$2:C$3689,MATCH($C495,'原始数据'!$B$2:$B$3689,0))</f>
        <v>121</v>
      </c>
      <c r="E495" s="10" t="n">
        <f t="array" ref="E495">INDEX('原始数据'!D$2:D$3689,MATCH($C495,'原始数据'!$B$2:$B$3689,0))</f>
        <v>193</v>
      </c>
      <c r="F495" s="11" t="n">
        <f t="array" ref="F495">INDEX('原始数据'!E$2:E$3689,MATCH($C495,'原始数据'!$B$2:$B$3689,0))</f>
        <v>157</v>
      </c>
      <c r="G495" s="10" t="n">
        <f t="array" ref="G495">INDEX('原始数据'!F$2:F$3689,MATCH($C495,'原始数据'!$B$2:$B$3689,0))</f>
        <v>64</v>
      </c>
      <c r="H495" s="10" t="n">
        <f t="array" ref="H495">INDEX('原始数据'!G$2:G$3689,MATCH($C495,'原始数据'!$B$2:$B$3689,0))</f>
        <v>72</v>
      </c>
      <c r="I495" s="11" t="n">
        <f t="array" ref="I495">INDEX('原始数据'!H$2:H$3689,MATCH($C495,'原始数据'!$B$2:$B$3689,0))</f>
        <v>68</v>
      </c>
      <c r="J495" s="16" t="n">
        <f>IF(F495=0,I495*2,F495/$N$603+I495)</f>
        <v>96.2034515898017</v>
      </c>
      <c r="K495" s="18" t="n">
        <f>ROW(K495)-1</f>
        <v>494</v>
      </c>
      <c r="L495" s="18" t="n">
        <f t="array" ref="L495">INDEX(TOP3277!#REF!,MATCH(C495,TOP3277!$B$501:$B$3035,0))</f>
        <v>1786</v>
      </c>
    </row>
    <row r="496" ht="14.399999999999999" customHeight="1">
      <c r="A496" s="10" t="n">
        <v>423</v>
      </c>
      <c r="B496" s="10" t="s">
        <v>1377</v>
      </c>
      <c r="C496" s="10" t="s">
        <v>1378</v>
      </c>
      <c r="D496" s="10" t="n">
        <f t="array" ref="D496">INDEX('原始数据'!C$2:C$3689,MATCH($C496,'原始数据'!$B$2:$B$3689,0))</f>
        <v>310</v>
      </c>
      <c r="E496" s="10" t="n">
        <f t="array" ref="E496">INDEX('原始数据'!D$2:D$3689,MATCH($C496,'原始数据'!$B$2:$B$3689,0))</f>
        <v>494</v>
      </c>
      <c r="F496" s="11" t="n">
        <f t="array" ref="F496">INDEX('原始数据'!E$2:E$3689,MATCH($C496,'原始数据'!$B$2:$B$3689,0))</f>
        <v>402</v>
      </c>
      <c r="G496" s="10" t="n">
        <f t="array" ref="G496">INDEX('原始数据'!F$2:F$3689,MATCH($C496,'原始数据'!$B$2:$B$3689,0))</f>
        <v>8</v>
      </c>
      <c r="H496" s="10" t="n">
        <f t="array" ref="H496">INDEX('原始数据'!G$2:G$3689,MATCH($C496,'原始数据'!$B$2:$B$3689,0))</f>
        <v>32</v>
      </c>
      <c r="I496" s="11" t="n">
        <f t="array" ref="I496">INDEX('原始数据'!H$2:H$3689,MATCH($C496,'原始数据'!$B$2:$B$3689,0))</f>
        <v>20</v>
      </c>
      <c r="J496" s="16" t="n">
        <f>IF(F496=0,I496*2,F496/$N$603+I496)</f>
        <v>92.2152072554159</v>
      </c>
      <c r="K496" s="18" t="n">
        <f>ROW(K496)-1</f>
        <v>495</v>
      </c>
      <c r="L496" s="18" t="n">
        <f t="array" ref="L496">INDEX(TOP3277!#REF!,MATCH(C496,TOP3277!$B$501:$B$3035,0))</f>
        <v>1780</v>
      </c>
    </row>
    <row r="497" ht="14.399999999999999" customHeight="1">
      <c r="A497" s="10" t="n">
        <v>598</v>
      </c>
      <c r="B497" s="10" t="s">
        <v>1316</v>
      </c>
      <c r="C497" s="10" t="s">
        <v>7189</v>
      </c>
      <c r="D497" s="10" t="n">
        <f t="array" ref="D497">INDEX('原始数据'!C$2:C$3689,MATCH($C497,'原始数据'!$B$2:$B$3689,0))</f>
        <v>252</v>
      </c>
      <c r="E497" s="10" t="n">
        <f t="array" ref="E497">INDEX('原始数据'!D$2:D$3689,MATCH($C497,'原始数据'!$B$2:$B$3689,0))</f>
        <v>406</v>
      </c>
      <c r="F497" s="11" t="n">
        <f t="array" ref="F497">INDEX('原始数据'!E$2:E$3689,MATCH($C497,'原始数据'!$B$2:$B$3689,0))</f>
        <v>329</v>
      </c>
      <c r="G497" s="10" t="n">
        <f t="array" ref="G497">INDEX('原始数据'!F$2:F$3689,MATCH($C497,'原始数据'!$B$2:$B$3689,0))</f>
        <v>23</v>
      </c>
      <c r="H497" s="10" t="n">
        <f t="array" ref="H497">INDEX('原始数据'!G$2:G$3689,MATCH($C497,'原始数据'!$B$2:$B$3689,0))</f>
        <v>41</v>
      </c>
      <c r="I497" s="11" t="n">
        <f t="array" ref="I497">INDEX('原始数据'!H$2:H$3689,MATCH($C497,'原始数据'!$B$2:$B$3689,0))</f>
        <v>32</v>
      </c>
      <c r="J497" s="16" t="n">
        <f>IF(F497=0,I497*2,F497/$N$603+I497)</f>
        <v>91.1015004652533</v>
      </c>
      <c r="K497" s="18" t="n">
        <f>ROW(K497)-1</f>
        <v>496</v>
      </c>
      <c r="L497" s="18" t="e">
        <f t="array" ref="L497">INDEX(TOP3277!#REF!,MATCH(C497,TOP3277!$B$501:$B$3035,0))</f>
        <v>#N/A</v>
      </c>
    </row>
    <row r="498" ht="14.399999999999999" customHeight="1">
      <c r="A498" s="10" t="n">
        <v>574</v>
      </c>
      <c r="B498" s="10" t="s">
        <v>8460</v>
      </c>
      <c r="C498" s="10" t="s">
        <v>8461</v>
      </c>
      <c r="D498" s="10" t="n">
        <v>61</v>
      </c>
      <c r="E498" s="10" t="n">
        <v>95</v>
      </c>
      <c r="F498" s="11" t="n">
        <f>SUM(D498+E498)/2</f>
        <v>78</v>
      </c>
      <c r="G498" s="18" t="n">
        <v>63</v>
      </c>
      <c r="H498" s="18" t="n">
        <v>81</v>
      </c>
      <c r="I498" s="11" t="n">
        <f>SUM(G498+H498)/2</f>
        <v>72</v>
      </c>
      <c r="J498" s="16" t="n">
        <f>IF(F498=0,I498*2,F498/$N$603+I498)</f>
        <v>86.0119058853792</v>
      </c>
      <c r="K498" s="18" t="n">
        <f>ROW(K498)-1</f>
        <v>497</v>
      </c>
      <c r="L498" s="18" t="e">
        <f t="array" ref="L498">INDEX(TOP3277!#REF!,MATCH(C498,TOP3277!$B$501:$B$3035,0))</f>
        <v>#N/A</v>
      </c>
    </row>
    <row r="499" ht="14.399999999999999" customHeight="1">
      <c r="A499" s="10" t="n">
        <v>414</v>
      </c>
      <c r="B499" s="10" t="s">
        <v>6143</v>
      </c>
      <c r="C499" s="10" t="s">
        <v>6144</v>
      </c>
      <c r="D499" s="10" t="n">
        <f t="array" ref="D499">INDEX('原始数据'!C$2:C$3689,MATCH($C499,'原始数据'!$B$2:$B$3689,0))</f>
        <v>356</v>
      </c>
      <c r="E499" s="10" t="n">
        <f t="array" ref="E499">INDEX('原始数据'!D$2:D$3689,MATCH($C499,'原始数据'!$B$2:$B$3689,0))</f>
        <v>568</v>
      </c>
      <c r="F499" s="11" t="n">
        <f t="array" ref="F499">INDEX('原始数据'!E$2:E$3689,MATCH($C499,'原始数据'!$B$2:$B$3689,0))</f>
        <v>462</v>
      </c>
      <c r="G499" s="10" t="n">
        <f t="array" ref="G499">INDEX('原始数据'!F$2:F$3689,MATCH($C499,'原始数据'!$B$2:$B$3689,0))</f>
        <v>2</v>
      </c>
      <c r="H499" s="10" t="n">
        <f t="array" ref="H499">INDEX('原始数据'!G$2:G$3689,MATCH($C499,'原始数据'!$B$2:$B$3689,0))</f>
        <v>2</v>
      </c>
      <c r="I499" s="11" t="n">
        <f t="array" ref="I499">INDEX('原始数据'!H$2:H$3689,MATCH($C499,'原始数据'!$B$2:$B$3689,0))</f>
        <v>2</v>
      </c>
      <c r="J499" s="16" t="n">
        <f>IF(F499=0,I499*2,F499/$N$603+I499)</f>
        <v>84.9935963980153</v>
      </c>
      <c r="K499" s="18" t="n">
        <f>ROW(K499)-1</f>
        <v>498</v>
      </c>
      <c r="L499" s="18" t="n">
        <f t="array" ref="L499">INDEX(TOP3277!#REF!,MATCH(C499,TOP3277!$B$501:$B$3035,0))</f>
        <v>1787</v>
      </c>
    </row>
    <row r="500" ht="14.399999999999999" customHeight="1">
      <c r="A500" s="10" t="n">
        <v>476</v>
      </c>
      <c r="B500" s="10" t="s">
        <v>1328</v>
      </c>
      <c r="C500" s="10" t="s">
        <v>1329</v>
      </c>
      <c r="D500" s="10" t="n">
        <f t="array" ref="D500">INDEX('原始数据'!C$2:C$3689,MATCH($C500,'原始数据'!$B$2:$B$3689,0))</f>
        <v>242</v>
      </c>
      <c r="E500" s="10" t="n">
        <f t="array" ref="E500">INDEX('原始数据'!D$2:D$3689,MATCH($C500,'原始数据'!$B$2:$B$3689,0))</f>
        <v>388</v>
      </c>
      <c r="F500" s="11" t="n">
        <f t="array" ref="F500">INDEX('原始数据'!E$2:E$3689,MATCH($C500,'原始数据'!$B$2:$B$3689,0))</f>
        <v>315</v>
      </c>
      <c r="G500" s="10" t="n">
        <f t="array" ref="G500">INDEX('原始数据'!F$2:F$3689,MATCH($C500,'原始数据'!$B$2:$B$3689,0))</f>
        <v>22</v>
      </c>
      <c r="H500" s="10" t="n">
        <f t="array" ref="H500">INDEX('原始数据'!G$2:G$3689,MATCH($C500,'原始数据'!$B$2:$B$3689,0))</f>
        <v>31</v>
      </c>
      <c r="I500" s="11" t="n">
        <f t="array" ref="I500">INDEX('原始数据'!H$2:H$3689,MATCH($C500,'原始数据'!$B$2:$B$3689,0))</f>
        <v>26.5</v>
      </c>
      <c r="J500" s="16" t="n">
        <f>IF(F500=0,I500*2,F500/$N$603+I500)</f>
        <v>83.0865429986468</v>
      </c>
      <c r="K500" s="18" t="n">
        <f>ROW(K500)-1</f>
        <v>499</v>
      </c>
      <c r="L500" s="18" t="n">
        <f t="array" ref="L500">INDEX(TOP3277!#REF!,MATCH(C500,TOP3277!$B$501:$B$3035,0))</f>
        <v>1791</v>
      </c>
    </row>
    <row r="501" ht="14.399999999999999" customHeight="1">
      <c r="A501" s="10" t="n">
        <v>514</v>
      </c>
      <c r="B501" s="10" t="s">
        <v>8462</v>
      </c>
      <c r="C501" s="10" t="s">
        <v>8463</v>
      </c>
      <c r="D501" s="10" t="n">
        <v>193</v>
      </c>
      <c r="E501" s="10" t="n">
        <v>309</v>
      </c>
      <c r="F501" s="11" t="n">
        <f>SUM(D501+E501)/2</f>
        <v>251</v>
      </c>
      <c r="G501" s="18" t="n">
        <v>22</v>
      </c>
      <c r="H501" s="18" t="n">
        <v>51</v>
      </c>
      <c r="I501" s="11" t="n">
        <f>SUM(G501+H501)/2</f>
        <v>36.5</v>
      </c>
      <c r="J501" s="16" t="n">
        <f>IF(F501=0,I501*2,F501/$N$603+I501)</f>
        <v>81.5895945798741</v>
      </c>
      <c r="K501" s="18" t="n">
        <f>ROW(K501)-1</f>
        <v>500</v>
      </c>
      <c r="L501" s="18" t="e">
        <f t="array" ref="L501">INDEX(TOP3277!#REF!,MATCH(C501,TOP3277!$B$501:$B$3035,0))</f>
        <v>#N/A</v>
      </c>
    </row>
    <row r="502" ht="14.399999999999999" customHeight="1">
      <c r="A502" s="10" t="n">
        <v>430</v>
      </c>
      <c r="B502" s="10" t="s">
        <v>8464</v>
      </c>
      <c r="C502" s="10" t="s">
        <v>8465</v>
      </c>
      <c r="D502" s="10" t="n">
        <v>78</v>
      </c>
      <c r="E502" s="10" t="n">
        <v>124</v>
      </c>
      <c r="F502" s="11" t="n">
        <f>SUM(D502+E502)/2</f>
        <v>101</v>
      </c>
      <c r="G502" s="18" t="n">
        <v>50</v>
      </c>
      <c r="H502" s="18" t="n">
        <v>74</v>
      </c>
      <c r="I502" s="11" t="n">
        <f>SUM(G502+H502)/2</f>
        <v>62</v>
      </c>
      <c r="J502" s="16" t="n">
        <f>IF(F502=0,I502*2,F502/$N$603+I502)</f>
        <v>80.1436217233756</v>
      </c>
      <c r="K502" s="18" t="n">
        <f>ROW(K502)-1</f>
        <v>501</v>
      </c>
      <c r="L502" s="18" t="e">
        <f t="array" ref="L502">INDEX(TOP3277!#REF!,MATCH(C502,TOP3277!$B$501:$B$3035,0))</f>
        <v>#N/A</v>
      </c>
    </row>
    <row r="503" ht="14.399999999999999" customHeight="1">
      <c r="A503" s="10" t="n">
        <v>505</v>
      </c>
      <c r="B503" s="10" t="s">
        <v>8466</v>
      </c>
      <c r="C503" s="10" t="s">
        <v>8467</v>
      </c>
      <c r="D503" s="10" t="n">
        <v>128</v>
      </c>
      <c r="E503" s="10" t="n">
        <v>203</v>
      </c>
      <c r="F503" s="11" t="n">
        <f>SUM(D503+E503)/2</f>
        <v>165.5</v>
      </c>
      <c r="G503" s="18" t="n">
        <v>38</v>
      </c>
      <c r="H503" s="18" t="n">
        <v>61</v>
      </c>
      <c r="I503" s="11" t="n">
        <f>SUM(G503+H503)/2</f>
        <v>49.5</v>
      </c>
      <c r="J503" s="16" t="n">
        <f>IF(F503=0,I503*2,F503/$N$603+I503)</f>
        <v>79.23039005167</v>
      </c>
      <c r="K503" s="18" t="n">
        <f>ROW(K503)-1</f>
        <v>502</v>
      </c>
      <c r="L503" s="18" t="e">
        <f t="array" ref="L503">INDEX(TOP3277!#REF!,MATCH(C503,TOP3277!$B$501:$B$3035,0))</f>
        <v>#N/A</v>
      </c>
    </row>
    <row r="504" ht="14.399999999999999" customHeight="1">
      <c r="A504" s="10" t="n">
        <v>525</v>
      </c>
      <c r="B504" s="10" t="s">
        <v>6717</v>
      </c>
      <c r="C504" s="10" t="s">
        <v>6718</v>
      </c>
      <c r="D504" s="10" t="n">
        <f t="array" ref="D504">INDEX('原始数据'!C$2:C$3689,MATCH($C504,'原始数据'!$B$2:$B$3689,0))</f>
        <v>103</v>
      </c>
      <c r="E504" s="10" t="n">
        <f t="array" ref="E504">INDEX('原始数据'!D$2:D$3689,MATCH($C504,'原始数据'!$B$2:$B$3689,0))</f>
        <v>165</v>
      </c>
      <c r="F504" s="11" t="n">
        <f t="array" ref="F504">INDEX('原始数据'!E$2:E$3689,MATCH($C504,'原始数据'!$B$2:$B$3689,0))</f>
        <v>134</v>
      </c>
      <c r="G504" s="10" t="n">
        <f t="array" ref="G504">INDEX('原始数据'!F$2:F$3689,MATCH($C504,'原始数据'!$B$2:$B$3689,0))</f>
        <v>44</v>
      </c>
      <c r="H504" s="10" t="n">
        <f t="array" ref="H504">INDEX('原始数据'!G$2:G$3689,MATCH($C504,'原始数据'!$B$2:$B$3689,0))</f>
        <v>66</v>
      </c>
      <c r="I504" s="11" t="n">
        <f t="array" ref="I504">INDEX('原始数据'!H$2:H$3689,MATCH($C504,'原始数据'!$B$2:$B$3689,0))</f>
        <v>55</v>
      </c>
      <c r="J504" s="16" t="n">
        <f>IF(F504=0,I504*2,F504/$N$603+I504)</f>
        <v>79.0717357518053</v>
      </c>
      <c r="K504" s="18" t="n">
        <f>ROW(K504)-1</f>
        <v>503</v>
      </c>
      <c r="L504" s="18" t="e">
        <f t="array" ref="L504">INDEX(TOP3277!#REF!,MATCH(C504,TOP3277!$B$501:$B$3035,0))</f>
        <v>#N/A</v>
      </c>
    </row>
    <row r="505" ht="14.399999999999999" customHeight="1">
      <c r="A505" s="10" t="n">
        <v>438</v>
      </c>
      <c r="B505" s="10" t="s">
        <v>2188</v>
      </c>
      <c r="C505" s="10" t="s">
        <v>2189</v>
      </c>
      <c r="D505" s="10" t="n">
        <v>245</v>
      </c>
      <c r="E505" s="10" t="n">
        <v>391</v>
      </c>
      <c r="F505" s="11" t="n">
        <f>SUM(D505+E505)/2</f>
        <v>318</v>
      </c>
      <c r="G505" s="18" t="n">
        <v>16</v>
      </c>
      <c r="H505" s="18" t="n">
        <v>27</v>
      </c>
      <c r="I505" s="11" t="n">
        <f>SUM(G505+H505)/2</f>
        <v>21.5</v>
      </c>
      <c r="J505" s="16" t="n">
        <f>IF(F505=0,I505*2,F505/$N$603+I505)</f>
        <v>78.6254624557768</v>
      </c>
      <c r="K505" s="18" t="n">
        <f>ROW(K505)-1</f>
        <v>504</v>
      </c>
      <c r="L505" s="18" t="n">
        <f t="array" ref="L505">INDEX(TOP3277!#REF!,MATCH(C505,TOP3277!$B$501:$B$3035,0))</f>
        <v>1782</v>
      </c>
    </row>
    <row r="506" ht="14.399999999999999" customHeight="1">
      <c r="A506" s="10" t="n">
        <v>442</v>
      </c>
      <c r="B506" s="10" t="s">
        <v>5645</v>
      </c>
      <c r="C506" s="10" t="s">
        <v>5646</v>
      </c>
      <c r="D506" s="10" t="n">
        <f t="array" ref="D506">INDEX('原始数据'!C$2:C$3689,MATCH($C506,'原始数据'!$B$2:$B$3689,0))</f>
        <v>164</v>
      </c>
      <c r="E506" s="10" t="n">
        <f t="array" ref="E506">INDEX('原始数据'!D$2:D$3689,MATCH($C506,'原始数据'!$B$2:$B$3689,0))</f>
        <v>262</v>
      </c>
      <c r="F506" s="11" t="n">
        <f t="array" ref="F506">INDEX('原始数据'!E$2:E$3689,MATCH($C506,'原始数据'!$B$2:$B$3689,0))</f>
        <v>213</v>
      </c>
      <c r="G506" s="10" t="n">
        <f t="array" ref="G506">INDEX('原始数据'!F$2:F$3689,MATCH($C506,'原始数据'!$B$2:$B$3689,0))</f>
        <v>31</v>
      </c>
      <c r="H506" s="10" t="n">
        <f t="array" ref="H506">INDEX('原始数据'!G$2:G$3689,MATCH($C506,'原始数据'!$B$2:$B$3689,0))</f>
        <v>48</v>
      </c>
      <c r="I506" s="11" t="n">
        <f t="array" ref="I506">INDEX('原始数据'!H$2:H$3689,MATCH($C506,'原始数据'!$B$2:$B$3689,0))</f>
        <v>39.5</v>
      </c>
      <c r="J506" s="16" t="n">
        <f>IF(F506=0,I506*2,F506/$N$603+I506)</f>
        <v>77.7632814562278</v>
      </c>
      <c r="K506" s="18" t="n">
        <f>ROW(K506)-1</f>
        <v>505</v>
      </c>
      <c r="L506" s="18" t="e">
        <f t="array" ref="L506">INDEX(TOP3277!#REF!,MATCH(C506,TOP3277!$B$501:$B$3035,0))</f>
        <v>#N/A</v>
      </c>
    </row>
    <row r="507" ht="14.399999999999999" customHeight="1">
      <c r="A507" s="10" t="n">
        <v>384</v>
      </c>
      <c r="B507" s="10" t="s">
        <v>5971</v>
      </c>
      <c r="C507" s="10" t="s">
        <v>5972</v>
      </c>
      <c r="D507" s="10" t="n">
        <f t="array" ref="D507">INDEX('原始数据'!C$2:C$3689,MATCH($C507,'原始数据'!$B$2:$B$3689,0))</f>
        <v>279</v>
      </c>
      <c r="E507" s="10" t="n">
        <f t="array" ref="E507">INDEX('原始数据'!D$2:D$3689,MATCH($C507,'原始数据'!$B$2:$B$3689,0))</f>
        <v>445</v>
      </c>
      <c r="F507" s="11" t="n">
        <f t="array" ref="F507">INDEX('原始数据'!E$2:E$3689,MATCH($C507,'原始数据'!$B$2:$B$3689,0))</f>
        <v>362</v>
      </c>
      <c r="G507" s="10" t="n">
        <f t="array" ref="G507">INDEX('原始数据'!F$2:F$3689,MATCH($C507,'原始数据'!$B$2:$B$3689,0))</f>
        <v>8</v>
      </c>
      <c r="H507" s="10" t="n">
        <f t="array" ref="H507">INDEX('原始数据'!G$2:G$3689,MATCH($C507,'原始数据'!$B$2:$B$3689,0))</f>
        <v>17</v>
      </c>
      <c r="I507" s="11" t="n">
        <f t="array" ref="I507">INDEX('原始数据'!H$2:H$3689,MATCH($C507,'原始数据'!$B$2:$B$3689,0))</f>
        <v>12.5</v>
      </c>
      <c r="J507" s="16" t="n">
        <f>IF(F507=0,I507*2,F507/$N$603+I507)</f>
        <v>77.529614493683</v>
      </c>
      <c r="K507" s="18" t="n">
        <f>ROW(K507)-1</f>
        <v>506</v>
      </c>
      <c r="L507" s="18" t="e">
        <f t="array" ref="L507">INDEX(TOP3277!#REF!,MATCH(C507,TOP3277!$B$501:$B$3035,0))</f>
        <v>#N/A</v>
      </c>
    </row>
    <row r="508" ht="14.399999999999999" customHeight="1">
      <c r="A508" s="10" t="n">
        <v>482</v>
      </c>
      <c r="B508" s="10" t="s">
        <v>1332</v>
      </c>
      <c r="C508" s="10" t="s">
        <v>1333</v>
      </c>
      <c r="D508" s="10" t="n">
        <f t="array" ref="D508">INDEX('原始数据'!C$2:C$3689,MATCH($C508,'原始数据'!$B$2:$B$3689,0))</f>
        <v>238</v>
      </c>
      <c r="E508" s="10" t="n">
        <f t="array" ref="E508">INDEX('原始数据'!D$2:D$3689,MATCH($C508,'原始数据'!$B$2:$B$3689,0))</f>
        <v>378</v>
      </c>
      <c r="F508" s="11" t="n">
        <f t="array" ref="F508">INDEX('原始数据'!E$2:E$3689,MATCH($C508,'原始数据'!$B$2:$B$3689,0))</f>
        <v>308</v>
      </c>
      <c r="G508" s="10" t="n">
        <f t="array" ref="G508">INDEX('原始数据'!F$2:F$3689,MATCH($C508,'原始数据'!$B$2:$B$3689,0))</f>
        <v>18</v>
      </c>
      <c r="H508" s="10" t="n">
        <f t="array" ref="H508">INDEX('原始数据'!G$2:G$3689,MATCH($C508,'原始数据'!$B$2:$B$3689,0))</f>
        <v>26</v>
      </c>
      <c r="I508" s="11" t="n">
        <f t="array" ref="I508">INDEX('原始数据'!H$2:H$3689,MATCH($C508,'原始数据'!$B$2:$B$3689,0))</f>
        <v>22</v>
      </c>
      <c r="J508" s="16" t="n">
        <f>IF(F508=0,I508*2,F508/$N$603+I508)</f>
        <v>77.3290642653435</v>
      </c>
      <c r="K508" s="18" t="n">
        <f>ROW(K508)-1</f>
        <v>507</v>
      </c>
      <c r="L508" s="18" t="n">
        <f t="array" ref="L508">INDEX(TOP3277!#REF!,MATCH(C508,TOP3277!$B$501:$B$3035,0))</f>
        <v>1794</v>
      </c>
    </row>
    <row r="509" ht="14.399999999999999" customHeight="1">
      <c r="A509" s="10" t="n">
        <v>528</v>
      </c>
      <c r="B509" s="10" t="s">
        <v>6073</v>
      </c>
      <c r="C509" s="10" t="s">
        <v>6074</v>
      </c>
      <c r="D509" s="10" t="n">
        <f t="array" ref="D509">INDEX('原始数据'!C$2:C$3689,MATCH($C509,'原始数据'!$B$2:$B$3689,0))</f>
        <v>113</v>
      </c>
      <c r="E509" s="10" t="n">
        <f t="array" ref="E509">INDEX('原始数据'!D$2:D$3689,MATCH($C509,'原始数据'!$B$2:$B$3689,0))</f>
        <v>179</v>
      </c>
      <c r="F509" s="11" t="n">
        <f t="array" ref="F509">INDEX('原始数据'!E$2:E$3689,MATCH($C509,'原始数据'!$B$2:$B$3689,0))</f>
        <v>146</v>
      </c>
      <c r="G509" s="10" t="n">
        <f t="array" ref="G509">INDEX('原始数据'!F$2:F$3689,MATCH($C509,'原始数据'!$B$2:$B$3689,0))</f>
        <v>43</v>
      </c>
      <c r="H509" s="10" t="n">
        <f t="array" ref="H509">INDEX('原始数据'!G$2:G$3689,MATCH($C509,'原始数据'!$B$2:$B$3689,0))</f>
        <v>59</v>
      </c>
      <c r="I509" s="11" t="n">
        <f t="array" ref="I509">INDEX('原始数据'!H$2:H$3689,MATCH($C509,'原始数据'!$B$2:$B$3689,0))</f>
        <v>51</v>
      </c>
      <c r="J509" s="16" t="n">
        <f>IF(F509=0,I509*2,F509/$N$603+I509)</f>
        <v>77.2274135803252</v>
      </c>
      <c r="K509" s="18" t="n">
        <f>ROW(K509)-1</f>
        <v>508</v>
      </c>
      <c r="L509" s="18" t="e">
        <f t="array" ref="L509">INDEX(TOP3277!#REF!,MATCH(C509,TOP3277!$B$501:$B$3035,0))</f>
        <v>#N/A</v>
      </c>
    </row>
    <row r="510" ht="14.399999999999999" customHeight="1">
      <c r="A510" s="10" t="n">
        <v>492</v>
      </c>
      <c r="B510" s="10" t="s">
        <v>1338</v>
      </c>
      <c r="C510" s="10" t="s">
        <v>1339</v>
      </c>
      <c r="D510" s="10" t="n">
        <f t="array" ref="D510">INDEX('原始数据'!C$2:C$3689,MATCH($C510,'原始数据'!$B$2:$B$3689,0))</f>
        <v>203</v>
      </c>
      <c r="E510" s="10" t="n">
        <f t="array" ref="E510">INDEX('原始数据'!D$2:D$3689,MATCH($C510,'原始数据'!$B$2:$B$3689,0))</f>
        <v>321</v>
      </c>
      <c r="F510" s="11" t="n">
        <f t="array" ref="F510">INDEX('原始数据'!E$2:E$3689,MATCH($C510,'原始数据'!$B$2:$B$3689,0))</f>
        <v>262</v>
      </c>
      <c r="G510" s="10" t="n">
        <f t="array" ref="G510">INDEX('原始数据'!F$2:F$3689,MATCH($C510,'原始数据'!$B$2:$B$3689,0))</f>
        <v>24</v>
      </c>
      <c r="H510" s="10" t="n">
        <f t="array" ref="H510">INDEX('原始数据'!G$2:G$3689,MATCH($C510,'原始数据'!$B$2:$B$3689,0))</f>
        <v>33</v>
      </c>
      <c r="I510" s="11" t="n">
        <f t="array" ref="I510">INDEX('原始数据'!H$2:H$3689,MATCH($C510,'原始数据'!$B$2:$B$3689,0))</f>
        <v>28.5</v>
      </c>
      <c r="J510" s="16" t="n">
        <f>IF(F510=0,I510*2,F510/$N$603+I510)</f>
        <v>75.5656325893507</v>
      </c>
      <c r="K510" s="18" t="n">
        <f>ROW(K510)-1</f>
        <v>509</v>
      </c>
      <c r="L510" s="18" t="n">
        <f t="array" ref="L510">INDEX(TOP3277!#REF!,MATCH(C510,TOP3277!$B$501:$B$3035,0))</f>
        <v>1800</v>
      </c>
    </row>
    <row r="511" ht="14.399999999999999" customHeight="1">
      <c r="A511" s="10" t="n">
        <v>527</v>
      </c>
      <c r="B511" s="10" t="s">
        <v>6121</v>
      </c>
      <c r="C511" s="10" t="s">
        <v>6122</v>
      </c>
      <c r="D511" s="10" t="n">
        <f t="array" ref="D511">INDEX('原始数据'!C$2:C$3689,MATCH($C511,'原始数据'!$B$2:$B$3689,0))</f>
        <v>212</v>
      </c>
      <c r="E511" s="10" t="n">
        <f t="array" ref="E511">INDEX('原始数据'!D$2:D$3689,MATCH($C511,'原始数据'!$B$2:$B$3689,0))</f>
        <v>338</v>
      </c>
      <c r="F511" s="11" t="n">
        <f t="array" ref="F511">INDEX('原始数据'!E$2:E$3689,MATCH($C511,'原始数据'!$B$2:$B$3689,0))</f>
        <v>275</v>
      </c>
      <c r="G511" s="10" t="n">
        <f t="array" ref="G511">INDEX('原始数据'!F$2:F$3689,MATCH($C511,'原始数据'!$B$2:$B$3689,0))</f>
        <v>20</v>
      </c>
      <c r="H511" s="10" t="n">
        <f t="array" ref="H511">INDEX('原始数据'!G$2:G$3689,MATCH($C511,'原始数据'!$B$2:$B$3689,0))</f>
        <v>30</v>
      </c>
      <c r="I511" s="11" t="n">
        <f t="array" ref="I511">INDEX('原始数据'!H$2:H$3689,MATCH($C511,'原始数据'!$B$2:$B$3689,0))</f>
        <v>25</v>
      </c>
      <c r="J511" s="16" t="n">
        <f>IF(F511=0,I511*2,F511/$N$603+I511)</f>
        <v>74.4009502369139</v>
      </c>
      <c r="K511" s="18" t="n">
        <f>ROW(K511)-1</f>
        <v>510</v>
      </c>
      <c r="L511" s="18" t="e">
        <f t="array" ref="L511">INDEX(TOP3277!#REF!,MATCH(C511,TOP3277!$B$501:$B$3035,0))</f>
        <v>#N/A</v>
      </c>
    </row>
    <row r="512" ht="14.399999999999999" customHeight="1">
      <c r="A512" s="10" t="n">
        <v>513</v>
      </c>
      <c r="B512" s="10" t="s">
        <v>5553</v>
      </c>
      <c r="C512" s="10" t="s">
        <v>5554</v>
      </c>
      <c r="D512" s="10" t="n">
        <f t="array" ref="D512">INDEX('原始数据'!C$2:C$3689,MATCH($C512,'原始数据'!$B$2:$B$3689,0))</f>
        <v>276</v>
      </c>
      <c r="E512" s="10" t="n">
        <f t="array" ref="E512">INDEX('原始数据'!D$2:D$3689,MATCH($C512,'原始数据'!$B$2:$B$3689,0))</f>
        <v>442</v>
      </c>
      <c r="F512" s="11" t="n">
        <f t="array" ref="F512">INDEX('原始数据'!E$2:E$3689,MATCH($C512,'原始数据'!$B$2:$B$3689,0))</f>
        <v>359</v>
      </c>
      <c r="G512" s="10" t="n">
        <f t="array" ref="G512">INDEX('原始数据'!F$2:F$3689,MATCH($C512,'原始数据'!$B$2:$B$3689,0))</f>
        <v>8</v>
      </c>
      <c r="H512" s="10" t="n">
        <f t="array" ref="H512">INDEX('原始数据'!G$2:G$3689,MATCH($C512,'原始数据'!$B$2:$B$3689,0))</f>
        <v>11</v>
      </c>
      <c r="I512" s="11" t="n">
        <f t="array" ref="I512">INDEX('原始数据'!H$2:H$3689,MATCH($C512,'原始数据'!$B$2:$B$3689,0))</f>
        <v>9.5</v>
      </c>
      <c r="J512" s="16" t="n">
        <f>IF(F512=0,I512*2,F512/$N$603+I512)</f>
        <v>73.990695036553</v>
      </c>
      <c r="K512" s="18" t="n">
        <f>ROW(K512)-1</f>
        <v>511</v>
      </c>
      <c r="L512" s="18" t="e">
        <f t="array" ref="L512">INDEX(TOP3277!#REF!,MATCH(C512,TOP3277!$B$501:$B$3035,0))</f>
        <v>#N/A</v>
      </c>
    </row>
    <row r="513" ht="14.399999999999999" customHeight="1">
      <c r="A513" s="10" t="n">
        <v>445</v>
      </c>
      <c r="B513" s="10" t="s">
        <v>6632</v>
      </c>
      <c r="C513" s="10" t="s">
        <v>6633</v>
      </c>
      <c r="D513" s="10" t="n">
        <f t="array" ref="D513">INDEX('原始数据'!C$2:C$3689,MATCH($C513,'原始数据'!$B$2:$B$3689,0))</f>
        <v>203</v>
      </c>
      <c r="E513" s="10" t="n">
        <f t="array" ref="E513">INDEX('原始数据'!D$2:D$3689,MATCH($C513,'原始数据'!$B$2:$B$3689,0))</f>
        <v>323</v>
      </c>
      <c r="F513" s="11" t="n">
        <f t="array" ref="F513">INDEX('原始数据'!E$2:E$3689,MATCH($C513,'原始数据'!$B$2:$B$3689,0))</f>
        <v>263</v>
      </c>
      <c r="G513" s="10" t="n">
        <f t="array" ref="G513">INDEX('原始数据'!F$2:F$3689,MATCH($C513,'原始数据'!$B$2:$B$3689,0))</f>
        <v>20</v>
      </c>
      <c r="H513" s="10" t="n">
        <f t="array" ref="H513">INDEX('原始数据'!G$2:G$3689,MATCH($C513,'原始数据'!$B$2:$B$3689,0))</f>
        <v>27</v>
      </c>
      <c r="I513" s="11" t="n">
        <f t="array" ref="I513">INDEX('原始数据'!H$2:H$3689,MATCH($C513,'原始数据'!$B$2:$B$3689,0))</f>
        <v>23.5</v>
      </c>
      <c r="J513" s="16" t="n">
        <f>IF(F513=0,I513*2,F513/$N$603+I513)</f>
        <v>70.745272408394</v>
      </c>
      <c r="K513" s="18" t="n">
        <f>ROW(K513)-1</f>
        <v>512</v>
      </c>
      <c r="L513" s="18" t="e">
        <f t="array" ref="L513">INDEX(TOP3277!#REF!,MATCH(C513,TOP3277!$B$501:$B$3035,0))</f>
        <v>#N/A</v>
      </c>
    </row>
    <row r="514" ht="14.399999999999999" customHeight="1">
      <c r="A514" s="10" t="n">
        <v>486</v>
      </c>
      <c r="B514" s="10" t="s">
        <v>1383</v>
      </c>
      <c r="C514" s="10" t="s">
        <v>1384</v>
      </c>
      <c r="D514" s="10" t="n">
        <f t="array" ref="D514">INDEX('原始数据'!C$2:C$3689,MATCH($C514,'原始数据'!$B$2:$B$3689,0))</f>
        <v>298</v>
      </c>
      <c r="E514" s="10" t="n">
        <f t="array" ref="E514">INDEX('原始数据'!D$2:D$3689,MATCH($C514,'原始数据'!$B$2:$B$3689,0))</f>
        <v>478</v>
      </c>
      <c r="F514" s="11" t="n">
        <f t="array" ref="F514">INDEX('原始数据'!E$2:E$3689,MATCH($C514,'原始数据'!$B$2:$B$3689,0))</f>
        <v>388</v>
      </c>
      <c r="G514" s="10" t="n">
        <f t="array" ref="G514">INDEX('原始数据'!F$2:F$3689,MATCH($C514,'原始数据'!$B$2:$B$3689,0))</f>
        <v>0</v>
      </c>
      <c r="H514" s="10" t="n">
        <f t="array" ref="H514">INDEX('原始数据'!G$2:G$3689,MATCH($C514,'原始数据'!$B$2:$B$3689,0))</f>
        <v>0</v>
      </c>
      <c r="I514" s="11" t="n">
        <f t="array" ref="I514">INDEX('原始数据'!H$2:H$3689,MATCH($C514,'原始数据'!$B$2:$B$3689,0))</f>
        <v>0</v>
      </c>
      <c r="J514" s="16" t="n">
        <f>IF(F514=0,I514*2,F514/$N$603+I514)</f>
        <v>69.7002497888094</v>
      </c>
      <c r="K514" s="18" t="n">
        <f>ROW(K514)-1</f>
        <v>513</v>
      </c>
      <c r="L514" s="18" t="n">
        <f t="array" ref="L514">INDEX(TOP3277!#REF!,MATCH(C514,TOP3277!$B$501:$B$3035,0))</f>
        <v>1803</v>
      </c>
    </row>
    <row r="515" ht="14.399999999999999" customHeight="1">
      <c r="A515" s="10" t="n">
        <v>435</v>
      </c>
      <c r="B515" s="10" t="s">
        <v>1340</v>
      </c>
      <c r="C515" s="10" t="s">
        <v>1341</v>
      </c>
      <c r="D515" s="10" t="n">
        <f t="array" ref="D515">INDEX('原始数据'!C$2:C$3689,MATCH($C515,'原始数据'!$B$2:$B$3689,0))</f>
        <v>168</v>
      </c>
      <c r="E515" s="10" t="n">
        <f t="array" ref="E515">INDEX('原始数据'!D$2:D$3689,MATCH($C515,'原始数据'!$B$2:$B$3689,0))</f>
        <v>270</v>
      </c>
      <c r="F515" s="11" t="n">
        <f t="array" ref="F515">INDEX('原始数据'!E$2:E$3689,MATCH($C515,'原始数据'!$B$2:$B$3689,0))</f>
        <v>219</v>
      </c>
      <c r="G515" s="10" t="n">
        <f t="array" ref="G515">INDEX('原始数据'!F$2:F$3689,MATCH($C515,'原始数据'!$B$2:$B$3689,0))</f>
        <v>24</v>
      </c>
      <c r="H515" s="10" t="n">
        <f t="array" ref="H515">INDEX('原始数据'!G$2:G$3689,MATCH($C515,'原始数据'!$B$2:$B$3689,0))</f>
        <v>36</v>
      </c>
      <c r="I515" s="11" t="n">
        <f t="array" ref="I515">INDEX('原始数据'!H$2:H$3689,MATCH($C515,'原始数据'!$B$2:$B$3689,0))</f>
        <v>30</v>
      </c>
      <c r="J515" s="16" t="n">
        <f>IF(F515=0,I515*2,F515/$N$603+I515)</f>
        <v>69.3411203704878</v>
      </c>
      <c r="K515" s="18" t="n">
        <f>ROW(K515)-1</f>
        <v>514</v>
      </c>
      <c r="L515" s="18" t="n">
        <f t="array" ref="L515">INDEX(TOP3277!#REF!,MATCH(C515,TOP3277!$B$501:$B$3035,0))</f>
        <v>1807</v>
      </c>
    </row>
    <row r="516" ht="14.399999999999999" customHeight="1">
      <c r="A516" s="10" t="n">
        <v>449</v>
      </c>
      <c r="B516" s="10" t="s">
        <v>2228</v>
      </c>
      <c r="C516" s="10" t="s">
        <v>2229</v>
      </c>
      <c r="D516" s="10" t="n">
        <f t="array" ref="D516">INDEX('原始数据'!C$2:C$3689,MATCH($C516,'原始数据'!$B$2:$B$3689,0))</f>
        <v>193</v>
      </c>
      <c r="E516" s="10" t="n">
        <f t="array" ref="E516">INDEX('原始数据'!D$2:D$3689,MATCH($C516,'原始数据'!$B$2:$B$3689,0))</f>
        <v>309</v>
      </c>
      <c r="F516" s="11" t="n">
        <f t="array" ref="F516">INDEX('原始数据'!E$2:E$3689,MATCH($C516,'原始数据'!$B$2:$B$3689,0))</f>
        <v>251</v>
      </c>
      <c r="G516" s="10" t="n">
        <f t="array" ref="G516">INDEX('原始数据'!F$2:F$3689,MATCH($C516,'原始数据'!$B$2:$B$3689,0))</f>
        <v>19</v>
      </c>
      <c r="H516" s="10" t="n">
        <f t="array" ref="H516">INDEX('原始数据'!G$2:G$3689,MATCH($C516,'原始数据'!$B$2:$B$3689,0))</f>
        <v>27</v>
      </c>
      <c r="I516" s="11" t="n">
        <f t="array" ref="I516">INDEX('原始数据'!H$2:H$3689,MATCH($C516,'原始数据'!$B$2:$B$3689,0))</f>
        <v>23</v>
      </c>
      <c r="J516" s="16" t="n">
        <f>IF(F516=0,I516*2,F516/$N$603+I516)</f>
        <v>68.0895945798741</v>
      </c>
      <c r="K516" s="18" t="n">
        <f>ROW(K516)-1</f>
        <v>515</v>
      </c>
      <c r="L516" s="18" t="n">
        <f t="array" ref="L516">INDEX(TOP3277!#REF!,MATCH(C516,TOP3277!$B$501:$B$3035,0))</f>
        <v>1808</v>
      </c>
    </row>
    <row r="517" ht="14.399999999999999" customHeight="1">
      <c r="A517" s="10" t="n">
        <v>443</v>
      </c>
      <c r="B517" s="10" t="s">
        <v>2230</v>
      </c>
      <c r="C517" s="10" t="s">
        <v>2231</v>
      </c>
      <c r="D517" s="10" t="n">
        <f t="array" ref="D517">INDEX('原始数据'!C$2:C$3689,MATCH($C517,'原始数据'!$B$2:$B$3689,0))</f>
        <v>172</v>
      </c>
      <c r="E517" s="10" t="n">
        <f t="array" ref="E517">INDEX('原始数据'!D$2:D$3689,MATCH($C517,'原始数据'!$B$2:$B$3689,0))</f>
        <v>278</v>
      </c>
      <c r="F517" s="11" t="n">
        <f t="array" ref="F517">INDEX('原始数据'!E$2:E$3689,MATCH($C517,'原始数据'!$B$2:$B$3689,0))</f>
        <v>225</v>
      </c>
      <c r="G517" s="10" t="n">
        <f t="array" ref="G517">INDEX('原始数据'!F$2:F$3689,MATCH($C517,'原始数据'!$B$2:$B$3689,0))</f>
        <v>24</v>
      </c>
      <c r="H517" s="10" t="n">
        <f t="array" ref="H517">INDEX('原始数据'!G$2:G$3689,MATCH($C517,'原始数据'!$B$2:$B$3689,0))</f>
        <v>31</v>
      </c>
      <c r="I517" s="11" t="n">
        <f t="array" ref="I517">INDEX('原始数据'!H$2:H$3689,MATCH($C517,'原始数据'!$B$2:$B$3689,0))</f>
        <v>27.5</v>
      </c>
      <c r="J517" s="16" t="n">
        <f>IF(F517=0,I517*2,F517/$N$603+I517)</f>
        <v>67.9189592847477</v>
      </c>
      <c r="K517" s="18" t="n">
        <f>ROW(K517)-1</f>
        <v>516</v>
      </c>
      <c r="L517" s="18" t="n">
        <f t="array" ref="L517">INDEX(TOP3277!#REF!,MATCH(C517,TOP3277!$B$501:$B$3035,0))</f>
        <v>1809</v>
      </c>
    </row>
    <row r="518" ht="14.399999999999999" customHeight="1">
      <c r="A518" s="10" t="n">
        <v>433</v>
      </c>
      <c r="B518" s="10" t="s">
        <v>1027</v>
      </c>
      <c r="C518" s="10" t="s">
        <v>1028</v>
      </c>
      <c r="D518" s="10" t="n">
        <v>248</v>
      </c>
      <c r="E518" s="10" t="n">
        <v>396</v>
      </c>
      <c r="F518" s="11" t="n">
        <f>SUM(D518+E518)/2</f>
        <v>322</v>
      </c>
      <c r="G518" s="18" t="n">
        <v>9</v>
      </c>
      <c r="H518" s="18" t="n">
        <v>10</v>
      </c>
      <c r="I518" s="11" t="n">
        <f>SUM(G518+H518)/2</f>
        <v>9.5</v>
      </c>
      <c r="J518" s="16" t="n">
        <f>IF(F518=0,I518*2,F518/$N$603+I518)</f>
        <v>67.34402173195</v>
      </c>
      <c r="K518" s="18" t="n">
        <f>ROW(K518)-1</f>
        <v>517</v>
      </c>
      <c r="L518" s="18" t="n">
        <f t="array" ref="L518">INDEX(TOP3277!#REF!,MATCH(C518,TOP3277!$B$501:$B$3035,0))</f>
        <v>1805</v>
      </c>
    </row>
    <row r="519" ht="14.399999999999999" customHeight="1">
      <c r="A519" s="10" t="n">
        <v>571</v>
      </c>
      <c r="B519" s="10" t="s">
        <v>2502</v>
      </c>
      <c r="C519" s="10" t="s">
        <v>2503</v>
      </c>
      <c r="D519" s="10" t="n">
        <f t="array" ref="D519">INDEX('原始数据'!C$2:C$3689,MATCH($C519,'原始数据'!$B$2:$B$3689,0))</f>
        <v>52</v>
      </c>
      <c r="E519" s="10" t="n">
        <f t="array" ref="E519">INDEX('原始数据'!D$2:D$3689,MATCH($C519,'原始数据'!$B$2:$B$3689,0))</f>
        <v>84</v>
      </c>
      <c r="F519" s="11" t="n">
        <f t="array" ref="F519">INDEX('原始数据'!E$2:E$3689,MATCH($C519,'原始数据'!$B$2:$B$3689,0))</f>
        <v>68</v>
      </c>
      <c r="G519" s="10" t="n">
        <f t="array" ref="G519">INDEX('原始数据'!F$2:F$3689,MATCH($C519,'原始数据'!$B$2:$B$3689,0))</f>
        <v>21</v>
      </c>
      <c r="H519" s="10" t="n">
        <f t="array" ref="H519">INDEX('原始数据'!G$2:G$3689,MATCH($C519,'原始数据'!$B$2:$B$3689,0))</f>
        <v>84</v>
      </c>
      <c r="I519" s="11" t="n">
        <f t="array" ref="I519">INDEX('原始数据'!H$2:H$3689,MATCH($C519,'原始数据'!$B$2:$B$3689,0))</f>
        <v>52.5</v>
      </c>
      <c r="J519" s="16" t="n">
        <f>IF(F519=0,I519*2,F519/$N$603+I519)</f>
        <v>64.715507694946</v>
      </c>
      <c r="K519" s="18" t="n">
        <f>ROW(K519)-1</f>
        <v>518</v>
      </c>
      <c r="L519" s="18" t="n">
        <f t="array" ref="L519">INDEX(TOP3277!#REF!,MATCH(C519,TOP3277!$B$501:$B$3035,0))</f>
        <v>1814</v>
      </c>
    </row>
    <row r="520" ht="14.399999999999999" customHeight="1">
      <c r="A520" s="10" t="n">
        <v>477</v>
      </c>
      <c r="B520" s="10" t="s">
        <v>5657</v>
      </c>
      <c r="C520" s="10" t="s">
        <v>5658</v>
      </c>
      <c r="D520" s="10" t="n">
        <f t="array" ref="D520">INDEX('原始数据'!C$2:C$3689,MATCH($C520,'原始数据'!$B$2:$B$3689,0))</f>
        <v>7</v>
      </c>
      <c r="E520" s="10" t="n">
        <f t="array" ref="E520">INDEX('原始数据'!D$2:D$3689,MATCH($C520,'原始数据'!$B$2:$B$3689,0))</f>
        <v>11</v>
      </c>
      <c r="F520" s="11" t="n">
        <f t="array" ref="F520">INDEX('原始数据'!E$2:E$3689,MATCH($C520,'原始数据'!$B$2:$B$3689,0))</f>
        <v>9</v>
      </c>
      <c r="G520" s="10" t="n">
        <f t="array" ref="G520">INDEX('原始数据'!F$2:F$3689,MATCH($C520,'原始数据'!$B$2:$B$3689,0))</f>
        <v>56</v>
      </c>
      <c r="H520" s="10" t="n">
        <f t="array" ref="H520">INDEX('原始数据'!G$2:G$3689,MATCH($C520,'原始数据'!$B$2:$B$3689,0))</f>
        <v>68</v>
      </c>
      <c r="I520" s="11" t="n">
        <f t="array" ref="I520">INDEX('原始数据'!H$2:H$3689,MATCH($C520,'原始数据'!$B$2:$B$3689,0))</f>
        <v>62</v>
      </c>
      <c r="J520" s="16" t="n">
        <f>IF(F520=0,I520*2,F520/$N$603+I520)</f>
        <v>63.6167583713899</v>
      </c>
      <c r="K520" s="18" t="n">
        <f>ROW(K520)-1</f>
        <v>519</v>
      </c>
      <c r="L520" s="18" t="e">
        <f t="array" ref="L520">INDEX(TOP3277!#REF!,MATCH(C520,TOP3277!$B$501:$B$3035,0))</f>
        <v>#N/A</v>
      </c>
    </row>
    <row r="521" ht="14.399999999999999" customHeight="1">
      <c r="A521" s="10" t="n">
        <v>576</v>
      </c>
      <c r="B521" s="10" t="s">
        <v>1348</v>
      </c>
      <c r="C521" s="10" t="s">
        <v>1349</v>
      </c>
      <c r="D521" s="10" t="n">
        <f t="array" ref="D521">INDEX('原始数据'!C$2:C$3689,MATCH($C521,'原始数据'!$B$2:$B$3689,0))</f>
        <v>23</v>
      </c>
      <c r="E521" s="10" t="n">
        <f t="array" ref="E521">INDEX('原始数据'!D$2:D$3689,MATCH($C521,'原始数据'!$B$2:$B$3689,0))</f>
        <v>37</v>
      </c>
      <c r="F521" s="11" t="n">
        <f t="array" ref="F521">INDEX('原始数据'!E$2:E$3689,MATCH($C521,'原始数据'!$B$2:$B$3689,0))</f>
        <v>30</v>
      </c>
      <c r="G521" s="10" t="n">
        <f t="array" ref="G521">INDEX('原始数据'!F$2:F$3689,MATCH($C521,'原始数据'!$B$2:$B$3689,0))</f>
        <v>49</v>
      </c>
      <c r="H521" s="10" t="n">
        <f t="array" ref="H521">INDEX('原始数据'!G$2:G$3689,MATCH($C521,'原始数据'!$B$2:$B$3689,0))</f>
        <v>67</v>
      </c>
      <c r="I521" s="11" t="n">
        <f t="array" ref="I521">INDEX('原始数据'!H$2:H$3689,MATCH($C521,'原始数据'!$B$2:$B$3689,0))</f>
        <v>58</v>
      </c>
      <c r="J521" s="16" t="n">
        <f>IF(F521=0,I521*2,F521/$N$603+I521)</f>
        <v>63.3891945712997</v>
      </c>
      <c r="K521" s="18" t="n">
        <f>ROW(K521)-1</f>
        <v>520</v>
      </c>
      <c r="L521" s="18" t="n">
        <f t="array" ref="L521">INDEX(TOP3277!#REF!,MATCH(C521,TOP3277!$B$501:$B$3035,0))</f>
        <v>1816</v>
      </c>
    </row>
    <row r="522" ht="14.399999999999999" customHeight="1">
      <c r="A522" s="10" t="n">
        <v>498</v>
      </c>
      <c r="B522" s="10" t="s">
        <v>8468</v>
      </c>
      <c r="C522" s="10" t="s">
        <v>8469</v>
      </c>
      <c r="D522" s="10" t="n">
        <v>145</v>
      </c>
      <c r="E522" s="10" t="n">
        <v>233</v>
      </c>
      <c r="F522" s="11" t="n">
        <f>SUM(D522+E522)/2</f>
        <v>189</v>
      </c>
      <c r="G522" s="18" t="n">
        <v>24</v>
      </c>
      <c r="H522" s="18" t="n">
        <v>33</v>
      </c>
      <c r="I522" s="11" t="n">
        <f>SUM(G522+H522)/2</f>
        <v>28.5</v>
      </c>
      <c r="J522" s="16" t="n">
        <f>IF(F522=0,I522*2,F522/$N$603+I522)</f>
        <v>62.4519257991881</v>
      </c>
      <c r="K522" s="18" t="n">
        <f>ROW(K522)-1</f>
        <v>521</v>
      </c>
      <c r="L522" s="18" t="e">
        <f t="array" ref="L522">INDEX(TOP3277!#REF!,MATCH(C522,TOP3277!$B$501:$B$3035,0))</f>
        <v>#N/A</v>
      </c>
    </row>
    <row r="523" ht="14.399999999999999" customHeight="1">
      <c r="A523" s="10" t="n">
        <v>490</v>
      </c>
      <c r="B523" s="10" t="s">
        <v>1360</v>
      </c>
      <c r="C523" s="10" t="s">
        <v>1361</v>
      </c>
      <c r="D523" s="10" t="n">
        <v>187</v>
      </c>
      <c r="E523" s="10" t="n">
        <v>301</v>
      </c>
      <c r="F523" s="11" t="n">
        <f>SUM(D523+E523)/2</f>
        <v>244</v>
      </c>
      <c r="G523" s="18" t="n">
        <v>8</v>
      </c>
      <c r="H523" s="18" t="n">
        <v>25</v>
      </c>
      <c r="I523" s="11" t="n">
        <f>SUM(G523+H523)/2</f>
        <v>16.5</v>
      </c>
      <c r="J523" s="16" t="n">
        <f>IF(F523=0,I523*2,F523/$N$603+I523)</f>
        <v>60.3321158465708</v>
      </c>
      <c r="K523" s="18" t="n">
        <f>ROW(K523)-1</f>
        <v>522</v>
      </c>
      <c r="L523" s="18" t="n">
        <f t="array" ref="L523">INDEX(TOP3277!#REF!,MATCH(C523,TOP3277!$B$501:$B$3035,0))</f>
        <v>1823</v>
      </c>
    </row>
    <row r="524" ht="14.399999999999999" customHeight="1">
      <c r="A524" s="10" t="n">
        <v>500</v>
      </c>
      <c r="B524" s="10" t="s">
        <v>2508</v>
      </c>
      <c r="C524" s="10" t="s">
        <v>2509</v>
      </c>
      <c r="D524" s="10" t="n">
        <v>86</v>
      </c>
      <c r="E524" s="10" t="n">
        <v>138</v>
      </c>
      <c r="F524" s="11" t="n">
        <f>SUM(D524+E524)/2</f>
        <v>112</v>
      </c>
      <c r="G524" s="18" t="n">
        <v>32</v>
      </c>
      <c r="H524" s="18" t="n">
        <v>46</v>
      </c>
      <c r="I524" s="11" t="n">
        <f>SUM(G524+H524)/2</f>
        <v>39</v>
      </c>
      <c r="J524" s="16" t="n">
        <f>IF(F524=0,I524*2,F524/$N$603+I524)</f>
        <v>59.1196597328522</v>
      </c>
      <c r="K524" s="18" t="n">
        <f>ROW(K524)-1</f>
        <v>523</v>
      </c>
      <c r="L524" s="18" t="n">
        <f t="array" ref="L524">INDEX(TOP3277!#REF!,MATCH(C524,TOP3277!$B$501:$B$3035,0))</f>
        <v>1825</v>
      </c>
    </row>
    <row r="525" ht="14.399999999999999" customHeight="1">
      <c r="A525" s="10" t="n">
        <v>470</v>
      </c>
      <c r="B525" s="10" t="s">
        <v>5635</v>
      </c>
      <c r="C525" s="10" t="s">
        <v>5636</v>
      </c>
      <c r="D525" s="10" t="n">
        <f t="array" ref="D525">INDEX('原始数据'!C$2:C$3689,MATCH($C525,'原始数据'!$B$2:$B$3689,0))</f>
        <v>124</v>
      </c>
      <c r="E525" s="10" t="n">
        <f t="array" ref="E525">INDEX('原始数据'!D$2:D$3689,MATCH($C525,'原始数据'!$B$2:$B$3689,0))</f>
        <v>200</v>
      </c>
      <c r="F525" s="11" t="n">
        <f t="array" ref="F525">INDEX('原始数据'!E$2:E$3689,MATCH($C525,'原始数据'!$B$2:$B$3689,0))</f>
        <v>162</v>
      </c>
      <c r="G525" s="10" t="n">
        <f t="array" ref="G525">INDEX('原始数据'!F$2:F$3689,MATCH($C525,'原始数据'!$B$2:$B$3689,0))</f>
        <v>23</v>
      </c>
      <c r="H525" s="10" t="n">
        <f t="array" ref="H525">INDEX('原始数据'!G$2:G$3689,MATCH($C525,'原始数据'!$B$2:$B$3689,0))</f>
        <v>33</v>
      </c>
      <c r="I525" s="11" t="n">
        <f t="array" ref="I525">INDEX('原始数据'!H$2:H$3689,MATCH($C525,'原始数据'!$B$2:$B$3689,0))</f>
        <v>28</v>
      </c>
      <c r="J525" s="16" t="n">
        <f>IF(F525=0,I525*2,F525/$N$603+I525)</f>
        <v>57.1016506850183</v>
      </c>
      <c r="K525" s="18" t="n">
        <f>ROW(K525)-1</f>
        <v>524</v>
      </c>
      <c r="L525" s="18" t="e">
        <f t="array" ref="L525">INDEX(TOP3277!#REF!,MATCH(C525,TOP3277!$B$501:$B$3035,0))</f>
        <v>#N/A</v>
      </c>
    </row>
    <row r="526" ht="14.399999999999999" customHeight="1">
      <c r="A526" s="10" t="n">
        <v>440</v>
      </c>
      <c r="B526" s="10" t="s">
        <v>1561</v>
      </c>
      <c r="C526" s="10" t="s">
        <v>1562</v>
      </c>
      <c r="D526" s="10" t="n">
        <v>153</v>
      </c>
      <c r="E526" s="10" t="n">
        <v>243</v>
      </c>
      <c r="F526" s="11" t="n">
        <f>SUM(D526+E526)/2</f>
        <v>198</v>
      </c>
      <c r="G526" s="18" t="n">
        <v>17</v>
      </c>
      <c r="H526" s="18" t="n">
        <v>25</v>
      </c>
      <c r="I526" s="11" t="n">
        <f>SUM(G526+H526)/2</f>
        <v>21</v>
      </c>
      <c r="J526" s="16" t="n">
        <f>IF(F526=0,I526*2,F526/$N$603+I526)</f>
        <v>56.568684170578</v>
      </c>
      <c r="K526" s="18" t="n">
        <f>ROW(K526)-1</f>
        <v>525</v>
      </c>
      <c r="L526" s="18" t="n">
        <f t="array" ref="L526">INDEX(TOP3277!#REF!,MATCH(C526,TOP3277!$B$501:$B$3035,0))</f>
        <v>1843</v>
      </c>
    </row>
    <row r="527" ht="14.399999999999999" customHeight="1">
      <c r="A527" s="10" t="n">
        <v>509</v>
      </c>
      <c r="B527" s="10" t="s">
        <v>8470</v>
      </c>
      <c r="C527" s="10" t="s">
        <v>8471</v>
      </c>
      <c r="D527" s="10" t="n">
        <v>110</v>
      </c>
      <c r="E527" s="10" t="n">
        <v>174</v>
      </c>
      <c r="F527" s="11" t="n">
        <f>SUM(D527+E527)/2</f>
        <v>142</v>
      </c>
      <c r="G527" s="18" t="n">
        <v>26</v>
      </c>
      <c r="H527" s="18" t="n">
        <v>36</v>
      </c>
      <c r="I527" s="11" t="n">
        <f>SUM(G527+H527)/2</f>
        <v>31</v>
      </c>
      <c r="J527" s="16" t="n">
        <f>IF(F527=0,I527*2,F527/$N$603+I527)</f>
        <v>56.5088543041519</v>
      </c>
      <c r="K527" s="18" t="n">
        <f>ROW(K527)-1</f>
        <v>526</v>
      </c>
      <c r="L527" s="18" t="e">
        <f t="array" ref="L527">INDEX(TOP3277!#REF!,MATCH(C527,TOP3277!$B$501:$B$3035,0))</f>
        <v>#N/A</v>
      </c>
    </row>
    <row r="528" ht="14.399999999999999" customHeight="1">
      <c r="A528" s="10" t="n">
        <v>411</v>
      </c>
      <c r="B528" s="10" t="s">
        <v>5853</v>
      </c>
      <c r="C528" s="10" t="s">
        <v>5854</v>
      </c>
      <c r="D528" s="10" t="n">
        <f t="array" ref="D528">INDEX('原始数据'!C$2:C$3689,MATCH($C528,'原始数据'!$B$2:$B$3689,0))</f>
        <v>198</v>
      </c>
      <c r="E528" s="10" t="n">
        <f t="array" ref="E528">INDEX('原始数据'!D$2:D$3689,MATCH($C528,'原始数据'!$B$2:$B$3689,0))</f>
        <v>314</v>
      </c>
      <c r="F528" s="11" t="n">
        <f t="array" ref="F528">INDEX('原始数据'!E$2:E$3689,MATCH($C528,'原始数据'!$B$2:$B$3689,0))</f>
        <v>256</v>
      </c>
      <c r="G528" s="10" t="n">
        <f t="array" ref="G528">INDEX('原始数据'!F$2:F$3689,MATCH($C528,'原始数据'!$B$2:$B$3689,0))</f>
        <v>9</v>
      </c>
      <c r="H528" s="10" t="n">
        <f t="array" ref="H528">INDEX('原始数据'!G$2:G$3689,MATCH($C528,'原始数据'!$B$2:$B$3689,0))</f>
        <v>12</v>
      </c>
      <c r="I528" s="11" t="n">
        <f t="array" ref="I528">INDEX('原始数据'!H$2:H$3689,MATCH($C528,'原始数据'!$B$2:$B$3689,0))</f>
        <v>10.5</v>
      </c>
      <c r="J528" s="16" t="n">
        <f>IF(F528=0,I528*2,F528/$N$603+I528)</f>
        <v>56.4877936750907</v>
      </c>
      <c r="K528" s="18" t="n">
        <f>ROW(K528)-1</f>
        <v>527</v>
      </c>
      <c r="L528" s="18" t="e">
        <f t="array" ref="L528">INDEX(TOP3277!#REF!,MATCH(C528,TOP3277!$B$501:$B$3035,0))</f>
        <v>#N/A</v>
      </c>
    </row>
    <row r="529" ht="14.399999999999999" customHeight="1">
      <c r="A529" s="10" t="n">
        <v>457</v>
      </c>
      <c r="B529" s="10" t="s">
        <v>8472</v>
      </c>
      <c r="C529" s="10" t="s">
        <v>8473</v>
      </c>
      <c r="D529" s="10" t="n">
        <v>95</v>
      </c>
      <c r="E529" s="10" t="n">
        <v>153</v>
      </c>
      <c r="F529" s="11" t="n">
        <f>SUM(D529+E529)/2</f>
        <v>124</v>
      </c>
      <c r="G529" s="18" t="n">
        <v>26</v>
      </c>
      <c r="H529" s="18" t="n">
        <v>40</v>
      </c>
      <c r="I529" s="11" t="n">
        <f>SUM(G529+H529)/2</f>
        <v>33</v>
      </c>
      <c r="J529" s="16" t="n">
        <f>IF(F529=0,I529*2,F529/$N$603+I529)</f>
        <v>55.2753375613721</v>
      </c>
      <c r="K529" s="18" t="n">
        <f>ROW(K529)-1</f>
        <v>528</v>
      </c>
      <c r="L529" s="18" t="e">
        <f t="array" ref="L529">INDEX(TOP3277!#REF!,MATCH(C529,TOP3277!$B$501:$B$3035,0))</f>
        <v>#N/A</v>
      </c>
    </row>
    <row r="530" ht="14.399999999999999" customHeight="1">
      <c r="A530" s="10" t="n">
        <v>515</v>
      </c>
      <c r="B530" s="10" t="s">
        <v>2506</v>
      </c>
      <c r="C530" s="10" t="s">
        <v>2507</v>
      </c>
      <c r="D530" s="10" t="n">
        <f t="array" ref="D530">INDEX('原始数据'!C$2:C$3689,MATCH($C530,'原始数据'!$B$2:$B$3689,0))</f>
        <v>127</v>
      </c>
      <c r="E530" s="10" t="n">
        <f t="array" ref="E530">INDEX('原始数据'!D$2:D$3689,MATCH($C530,'原始数据'!$B$2:$B$3689,0))</f>
        <v>203</v>
      </c>
      <c r="F530" s="11" t="n">
        <f t="array" ref="F530">INDEX('原始数据'!E$2:E$3689,MATCH($C530,'原始数据'!$B$2:$B$3689,0))</f>
        <v>165</v>
      </c>
      <c r="G530" s="10" t="n">
        <f t="array" ref="G530">INDEX('原始数据'!F$2:F$3689,MATCH($C530,'原始数据'!$B$2:$B$3689,0))</f>
        <v>22</v>
      </c>
      <c r="H530" s="10" t="n">
        <f t="array" ref="H530">INDEX('原始数据'!G$2:G$3689,MATCH($C530,'原始数据'!$B$2:$B$3689,0))</f>
        <v>28</v>
      </c>
      <c r="I530" s="11" t="n">
        <f t="array" ref="I530">INDEX('原始数据'!H$2:H$3689,MATCH($C530,'原始数据'!$B$2:$B$3689,0))</f>
        <v>25</v>
      </c>
      <c r="J530" s="16" t="n">
        <f>IF(F530=0,I530*2,F530/$N$603+I530)</f>
        <v>54.6405701421483</v>
      </c>
      <c r="K530" s="18" t="n">
        <f>ROW(K530)-1</f>
        <v>529</v>
      </c>
      <c r="L530" s="18" t="n">
        <f t="array" ref="L530">INDEX(TOP3277!#REF!,MATCH(C530,TOP3277!$B$501:$B$3035,0))</f>
        <v>1824</v>
      </c>
    </row>
    <row r="531" ht="14.399999999999999" customHeight="1">
      <c r="A531" s="10" t="n">
        <v>400</v>
      </c>
      <c r="B531" s="10" t="s">
        <v>1362</v>
      </c>
      <c r="C531" s="10" t="s">
        <v>1363</v>
      </c>
      <c r="D531" s="10" t="n">
        <v>166</v>
      </c>
      <c r="E531" s="10" t="n">
        <v>266</v>
      </c>
      <c r="F531" s="11" t="n">
        <f>SUM(D531+E531)/2</f>
        <v>216</v>
      </c>
      <c r="G531" s="18" t="n">
        <v>12</v>
      </c>
      <c r="H531" s="18" t="n">
        <v>18</v>
      </c>
      <c r="I531" s="11" t="n">
        <f>SUM(G531+H531)/2</f>
        <v>15</v>
      </c>
      <c r="J531" s="16" t="n">
        <f>IF(F531=0,I531*2,F531/$N$603+I531)</f>
        <v>53.8022009133578</v>
      </c>
      <c r="K531" s="18" t="n">
        <f>ROW(K531)-1</f>
        <v>530</v>
      </c>
      <c r="L531" s="18" t="n">
        <f t="array" ref="L531">INDEX(TOP3277!#REF!,MATCH(C531,TOP3277!$B$501:$B$3035,0))</f>
        <v>1826</v>
      </c>
    </row>
    <row r="532" ht="14.399999999999999" customHeight="1">
      <c r="A532" s="10" t="n">
        <v>462</v>
      </c>
      <c r="B532" s="10" t="s">
        <v>1465</v>
      </c>
      <c r="C532" s="10" t="s">
        <v>1466</v>
      </c>
      <c r="D532" s="10" t="n">
        <f t="array" ref="D532">INDEX('原始数据'!C$2:C$3689,MATCH($C532,'原始数据'!$B$2:$B$3689,0))</f>
        <v>121</v>
      </c>
      <c r="E532" s="10" t="n">
        <f t="array" ref="E532">INDEX('原始数据'!D$2:D$3689,MATCH($C532,'原始数据'!$B$2:$B$3689,0))</f>
        <v>195</v>
      </c>
      <c r="F532" s="11" t="n">
        <f t="array" ref="F532">INDEX('原始数据'!E$2:E$3689,MATCH($C532,'原始数据'!$B$2:$B$3689,0))</f>
        <v>158</v>
      </c>
      <c r="G532" s="10" t="n">
        <f t="array" ref="G532">INDEX('原始数据'!F$2:F$3689,MATCH($C532,'原始数据'!$B$2:$B$3689,0))</f>
        <v>20</v>
      </c>
      <c r="H532" s="10" t="n">
        <f t="array" ref="H532">INDEX('原始数据'!G$2:G$3689,MATCH($C532,'原始数据'!$B$2:$B$3689,0))</f>
        <v>29</v>
      </c>
      <c r="I532" s="11" t="n">
        <f t="array" ref="I532">INDEX('原始数据'!H$2:H$3689,MATCH($C532,'原始数据'!$B$2:$B$3689,0))</f>
        <v>24.5</v>
      </c>
      <c r="J532" s="16" t="n">
        <f>IF(F532=0,I532*2,F532/$N$603+I532)</f>
        <v>52.8830914088451</v>
      </c>
      <c r="K532" s="18" t="n">
        <f>ROW(K532)-1</f>
        <v>531</v>
      </c>
      <c r="L532" s="18" t="n">
        <f t="array" ref="L532">INDEX(TOP3277!#REF!,MATCH(C532,TOP3277!$B$501:$B$3035,0))</f>
        <v>1829</v>
      </c>
    </row>
    <row r="533" ht="14.399999999999999" customHeight="1">
      <c r="A533" s="10" t="n">
        <v>399</v>
      </c>
      <c r="B533" s="10" t="s">
        <v>6085</v>
      </c>
      <c r="C533" s="10" t="s">
        <v>6086</v>
      </c>
      <c r="D533" s="10" t="n">
        <f t="array" ref="D533">INDEX('原始数据'!C$2:C$3689,MATCH($C533,'原始数据'!$B$2:$B$3689,0))</f>
        <v>183</v>
      </c>
      <c r="E533" s="10" t="n">
        <f t="array" ref="E533">INDEX('原始数据'!D$2:D$3689,MATCH($C533,'原始数据'!$B$2:$B$3689,0))</f>
        <v>293</v>
      </c>
      <c r="F533" s="11" t="n">
        <f t="array" ref="F533">INDEX('原始数据'!E$2:E$3689,MATCH($C533,'原始数据'!$B$2:$B$3689,0))</f>
        <v>238</v>
      </c>
      <c r="G533" s="10" t="n">
        <f t="array" ref="G533">INDEX('原始数据'!F$2:F$3689,MATCH($C533,'原始数据'!$B$2:$B$3689,0))</f>
        <v>4</v>
      </c>
      <c r="H533" s="10" t="n">
        <f t="array" ref="H533">INDEX('原始数据'!G$2:G$3689,MATCH($C533,'原始数据'!$B$2:$B$3689,0))</f>
        <v>6</v>
      </c>
      <c r="I533" s="11" t="n">
        <f t="array" ref="I533">INDEX('原始数据'!H$2:H$3689,MATCH($C533,'原始数据'!$B$2:$B$3689,0))</f>
        <v>5</v>
      </c>
      <c r="J533" s="16" t="n">
        <f>IF(F533=0,I533*2,F533/$N$603+I533)</f>
        <v>47.7542769323109</v>
      </c>
      <c r="K533" s="18" t="n">
        <f>ROW(K533)-1</f>
        <v>532</v>
      </c>
      <c r="L533" s="18" t="e">
        <f t="array" ref="L533">INDEX(TOP3277!#REF!,MATCH(C533,TOP3277!$B$501:$B$3035,0))</f>
        <v>#N/A</v>
      </c>
    </row>
    <row r="534" ht="14.399999999999999" customHeight="1">
      <c r="A534" s="10" t="n">
        <v>581</v>
      </c>
      <c r="B534" s="10" t="s">
        <v>1577</v>
      </c>
      <c r="C534" s="10" t="s">
        <v>1578</v>
      </c>
      <c r="D534" s="10" t="n">
        <f t="array" ref="D534">INDEX('原始数据'!C$2:C$3689,MATCH($C534,'原始数据'!$B$2:$B$3689,0))</f>
        <v>60</v>
      </c>
      <c r="E534" s="10" t="n">
        <f t="array" ref="E534">INDEX('原始数据'!D$2:D$3689,MATCH($C534,'原始数据'!$B$2:$B$3689,0))</f>
        <v>94</v>
      </c>
      <c r="F534" s="11" t="n">
        <f t="array" ref="F534">INDEX('原始数据'!E$2:E$3689,MATCH($C534,'原始数据'!$B$2:$B$3689,0))</f>
        <v>77</v>
      </c>
      <c r="G534" s="10" t="n">
        <f t="array" ref="G534">INDEX('原始数据'!F$2:F$3689,MATCH($C534,'原始数据'!$B$2:$B$3689,0))</f>
        <v>26</v>
      </c>
      <c r="H534" s="10" t="n">
        <f t="array" ref="H534">INDEX('原始数据'!G$2:G$3689,MATCH($C534,'原始数据'!$B$2:$B$3689,0))</f>
        <v>38</v>
      </c>
      <c r="I534" s="11" t="n">
        <f t="array" ref="I534">INDEX('原始数据'!H$2:H$3689,MATCH($C534,'原始数据'!$B$2:$B$3689,0))</f>
        <v>32</v>
      </c>
      <c r="J534" s="16" t="n">
        <f>IF(F534=0,I534*2,F534/$N$603+I534)</f>
        <v>45.8322660663359</v>
      </c>
      <c r="K534" s="18" t="n">
        <f>ROW(K534)-1</f>
        <v>533</v>
      </c>
      <c r="L534" s="18" t="n">
        <f t="array" ref="L534">INDEX(TOP3277!#REF!,MATCH(C534,TOP3277!$B$501:$B$3035,0))</f>
        <v>1852</v>
      </c>
    </row>
    <row r="535" ht="14.399999999999999" customHeight="1">
      <c r="A535" s="10" t="n">
        <v>557</v>
      </c>
      <c r="B535" s="10" t="s">
        <v>6053</v>
      </c>
      <c r="C535" s="10" t="s">
        <v>6054</v>
      </c>
      <c r="D535" s="10" t="n">
        <f t="array" ref="D535">INDEX('原始数据'!C$2:C$3689,MATCH($C535,'原始数据'!$B$2:$B$3689,0))</f>
        <v>29</v>
      </c>
      <c r="E535" s="10" t="n">
        <f t="array" ref="E535">INDEX('原始数据'!D$2:D$3689,MATCH($C535,'原始数据'!$B$2:$B$3689,0))</f>
        <v>47</v>
      </c>
      <c r="F535" s="11" t="n">
        <f t="array" ref="F535">INDEX('原始数据'!E$2:E$3689,MATCH($C535,'原始数据'!$B$2:$B$3689,0))</f>
        <v>38</v>
      </c>
      <c r="G535" s="10" t="n">
        <f t="array" ref="G535">INDEX('原始数据'!F$2:F$3689,MATCH($C535,'原始数据'!$B$2:$B$3689,0))</f>
        <v>31</v>
      </c>
      <c r="H535" s="10" t="n">
        <f t="array" ref="H535">INDEX('原始数据'!G$2:G$3689,MATCH($C535,'原始数据'!$B$2:$B$3689,0))</f>
        <v>47</v>
      </c>
      <c r="I535" s="11" t="n">
        <f t="array" ref="I535">INDEX('原始数据'!H$2:H$3689,MATCH($C535,'原始数据'!$B$2:$B$3689,0))</f>
        <v>39</v>
      </c>
      <c r="J535" s="16" t="n">
        <f>IF(F535=0,I535*2,F535/$N$603+I535)</f>
        <v>45.8263131236463</v>
      </c>
      <c r="K535" s="18" t="n">
        <f>ROW(K535)-1</f>
        <v>534</v>
      </c>
      <c r="L535" s="18" t="n">
        <f t="array" ref="L535">INDEX(TOP3277!#REF!,MATCH(C535,TOP3277!$B$501:$B$3035,0))</f>
        <v>1856</v>
      </c>
    </row>
    <row r="536" ht="14.399999999999999" customHeight="1">
      <c r="A536" s="10" t="n">
        <v>522</v>
      </c>
      <c r="B536" s="10" t="s">
        <v>1549</v>
      </c>
      <c r="C536" s="10" t="s">
        <v>1550</v>
      </c>
      <c r="D536" s="10" t="n">
        <f t="array" ref="D536">INDEX('原始数据'!C$2:C$3689,MATCH($C536,'原始数据'!$B$2:$B$3689,0))</f>
        <v>180</v>
      </c>
      <c r="E536" s="10" t="n">
        <f t="array" ref="E536">INDEX('原始数据'!D$2:D$3689,MATCH($C536,'原始数据'!$B$2:$B$3689,0))</f>
        <v>286</v>
      </c>
      <c r="F536" s="11" t="n">
        <f t="array" ref="F536">INDEX('原始数据'!E$2:E$3689,MATCH($C536,'原始数据'!$B$2:$B$3689,0))</f>
        <v>233</v>
      </c>
      <c r="G536" s="10" t="n">
        <f t="array" ref="G536">INDEX('原始数据'!F$2:F$3689,MATCH($C536,'原始数据'!$B$2:$B$3689,0))</f>
        <v>3</v>
      </c>
      <c r="H536" s="10" t="n">
        <f t="array" ref="H536">INDEX('原始数据'!G$2:G$3689,MATCH($C536,'原始数据'!$B$2:$B$3689,0))</f>
        <v>4</v>
      </c>
      <c r="I536" s="11" t="n">
        <f t="array" ref="I536">INDEX('原始数据'!H$2:H$3689,MATCH($C536,'原始数据'!$B$2:$B$3689,0))</f>
        <v>3.5</v>
      </c>
      <c r="J536" s="16" t="n">
        <f>IF(F536=0,I536*2,F536/$N$603+I536)</f>
        <v>45.3560778370943</v>
      </c>
      <c r="K536" s="18" t="n">
        <f>ROW(K536)-1</f>
        <v>535</v>
      </c>
      <c r="L536" s="18" t="n">
        <f t="array" ref="L536">INDEX(TOP3277!#REF!,MATCH(C536,TOP3277!$B$501:$B$3035,0))</f>
        <v>1836</v>
      </c>
    </row>
    <row r="537" ht="14.399999999999999" customHeight="1">
      <c r="A537" s="10" t="n">
        <v>389</v>
      </c>
      <c r="B537" s="10" t="s">
        <v>1555</v>
      </c>
      <c r="C537" s="10" t="s">
        <v>1556</v>
      </c>
      <c r="D537" s="10" t="n">
        <f t="array" ref="D537">INDEX('原始数据'!C$2:C$3689,MATCH($C537,'原始数据'!$B$2:$B$3689,0))</f>
        <v>182</v>
      </c>
      <c r="E537" s="10" t="n">
        <f t="array" ref="E537">INDEX('原始数据'!D$2:D$3689,MATCH($C537,'原始数据'!$B$2:$B$3689,0))</f>
        <v>292</v>
      </c>
      <c r="F537" s="11" t="n">
        <f t="array" ref="F537">INDEX('原始数据'!E$2:E$3689,MATCH($C537,'原始数据'!$B$2:$B$3689,0))</f>
        <v>237</v>
      </c>
      <c r="G537" s="10" t="n">
        <f t="array" ref="G537">INDEX('原始数据'!F$2:F$3689,MATCH($C537,'原始数据'!$B$2:$B$3689,0))</f>
        <v>2</v>
      </c>
      <c r="H537" s="10" t="n">
        <f t="array" ref="H537">INDEX('原始数据'!G$2:G$3689,MATCH($C537,'原始数据'!$B$2:$B$3689,0))</f>
        <v>2</v>
      </c>
      <c r="I537" s="11" t="n">
        <f t="array" ref="I537">INDEX('原始数据'!H$2:H$3689,MATCH($C537,'原始数据'!$B$2:$B$3689,0))</f>
        <v>2</v>
      </c>
      <c r="J537" s="16" t="n">
        <f>IF(F537=0,I537*2,F537/$N$603+I537)</f>
        <v>44.5746371132676</v>
      </c>
      <c r="K537" s="18" t="n">
        <f>ROW(K537)-1</f>
        <v>536</v>
      </c>
      <c r="L537" s="18" t="n">
        <f t="array" ref="L537">INDEX(TOP3277!#REF!,MATCH(C537,TOP3277!$B$501:$B$3035,0))</f>
        <v>1839</v>
      </c>
    </row>
    <row r="538" ht="14.399999999999999" customHeight="1">
      <c r="A538" s="10" t="n">
        <v>407</v>
      </c>
      <c r="B538" s="10" t="s">
        <v>1579</v>
      </c>
      <c r="C538" s="10" t="s">
        <v>1580</v>
      </c>
      <c r="D538" s="10" t="n">
        <f t="array" ref="D538">INDEX('原始数据'!C$2:C$3689,MATCH($C538,'原始数据'!$B$2:$B$3689,0))</f>
        <v>79</v>
      </c>
      <c r="E538" s="10" t="n">
        <f t="array" ref="E538">INDEX('原始数据'!D$2:D$3689,MATCH($C538,'原始数据'!$B$2:$B$3689,0))</f>
        <v>127</v>
      </c>
      <c r="F538" s="11" t="n">
        <f t="array" ref="F538">INDEX('原始数据'!E$2:E$3689,MATCH($C538,'原始数据'!$B$2:$B$3689,0))</f>
        <v>103</v>
      </c>
      <c r="G538" s="10" t="n">
        <f t="array" ref="G538">INDEX('原始数据'!F$2:F$3689,MATCH($C538,'原始数据'!$B$2:$B$3689,0))</f>
        <v>11</v>
      </c>
      <c r="H538" s="10" t="n">
        <f t="array" ref="H538">INDEX('原始数据'!G$2:G$3689,MATCH($C538,'原始数据'!$B$2:$B$3689,0))</f>
        <v>40</v>
      </c>
      <c r="I538" s="11" t="n">
        <f t="array" ref="I538">INDEX('原始数据'!H$2:H$3689,MATCH($C538,'原始数据'!$B$2:$B$3689,0))</f>
        <v>25.5</v>
      </c>
      <c r="J538" s="16" t="n">
        <f>IF(F538=0,I538*2,F538/$N$603+I538)</f>
        <v>44.0029013614623</v>
      </c>
      <c r="K538" s="18" t="n">
        <f>ROW(K538)-1</f>
        <v>537</v>
      </c>
      <c r="L538" s="18" t="n">
        <f t="array" ref="L538">INDEX(TOP3277!#REF!,MATCH(C538,TOP3277!$B$501:$B$3035,0))</f>
        <v>1855</v>
      </c>
    </row>
    <row r="539" ht="14.399999999999999" customHeight="1">
      <c r="A539" s="10" t="n">
        <v>577</v>
      </c>
      <c r="B539" s="10" t="s">
        <v>1631</v>
      </c>
      <c r="C539" s="10" t="s">
        <v>1632</v>
      </c>
      <c r="D539" s="10" t="n">
        <f t="array" ref="D539">INDEX('原始数据'!C$2:C$3689,MATCH($C539,'原始数据'!$B$2:$B$3689,0))</f>
        <v>37</v>
      </c>
      <c r="E539" s="10" t="n">
        <f t="array" ref="E539">INDEX('原始数据'!D$2:D$3689,MATCH($C539,'原始数据'!$B$2:$B$3689,0))</f>
        <v>61</v>
      </c>
      <c r="F539" s="11" t="n">
        <f t="array" ref="F539">INDEX('原始数据'!E$2:E$3689,MATCH($C539,'原始数据'!$B$2:$B$3689,0))</f>
        <v>49</v>
      </c>
      <c r="G539" s="10" t="n">
        <f t="array" ref="G539">INDEX('原始数据'!F$2:F$3689,MATCH($C539,'原始数据'!$B$2:$B$3689,0))</f>
        <v>29</v>
      </c>
      <c r="H539" s="10" t="n">
        <f t="array" ref="H539">INDEX('原始数据'!G$2:G$3689,MATCH($C539,'原始数据'!$B$2:$B$3689,0))</f>
        <v>41</v>
      </c>
      <c r="I539" s="11" t="n">
        <f t="array" ref="I539">INDEX('原始数据'!H$2:H$3689,MATCH($C539,'原始数据'!$B$2:$B$3689,0))</f>
        <v>35</v>
      </c>
      <c r="J539" s="16" t="n">
        <f>IF(F539=0,I539*2,F539/$N$603+I539)</f>
        <v>43.8023511331228</v>
      </c>
      <c r="K539" s="18" t="n">
        <f>ROW(K539)-1</f>
        <v>538</v>
      </c>
      <c r="L539" s="18" t="n">
        <f t="array" ref="L539">INDEX(TOP3277!#REF!,MATCH(C539,TOP3277!$B$501:$B$3035,0))</f>
        <v>1860</v>
      </c>
    </row>
    <row r="540" ht="14.399999999999999" customHeight="1">
      <c r="A540" s="10" t="n">
        <v>379</v>
      </c>
      <c r="B540" s="10" t="s">
        <v>1647</v>
      </c>
      <c r="C540" s="10" t="s">
        <v>1648</v>
      </c>
      <c r="D540" s="10" t="n">
        <v>123</v>
      </c>
      <c r="E540" s="10" t="n">
        <v>197</v>
      </c>
      <c r="F540" s="11" t="n">
        <f>SUM(D540+E540)/2</f>
        <v>160</v>
      </c>
      <c r="G540" s="18" t="n">
        <v>11</v>
      </c>
      <c r="H540" s="18" t="n">
        <v>17</v>
      </c>
      <c r="I540" s="11" t="n">
        <f>SUM(G540+H540)/2</f>
        <v>14</v>
      </c>
      <c r="J540" s="16" t="n">
        <f>IF(F540=0,I540*2,F540/$N$603+I540)</f>
        <v>42.7423710469317</v>
      </c>
      <c r="K540" s="18" t="n">
        <f>ROW(K540)-1</f>
        <v>539</v>
      </c>
      <c r="L540" s="18" t="n">
        <f t="array" ref="L540">INDEX(TOP3277!#REF!,MATCH(C540,TOP3277!$B$501:$B$3035,0))</f>
        <v>1869</v>
      </c>
    </row>
    <row r="541" ht="14.399999999999999" customHeight="1">
      <c r="A541" s="10" t="n">
        <v>464</v>
      </c>
      <c r="B541" s="10" t="s">
        <v>1633</v>
      </c>
      <c r="C541" s="10" t="s">
        <v>1634</v>
      </c>
      <c r="D541" s="10" t="n">
        <f t="array" ref="D541">INDEX('原始数据'!C$2:C$3689,MATCH($C541,'原始数据'!$B$2:$B$3689,0))</f>
        <v>70</v>
      </c>
      <c r="E541" s="10" t="n">
        <f t="array" ref="E541">INDEX('原始数据'!D$2:D$3689,MATCH($C541,'原始数据'!$B$2:$B$3689,0))</f>
        <v>110</v>
      </c>
      <c r="F541" s="11" t="n">
        <f t="array" ref="F541">INDEX('原始数据'!E$2:E$3689,MATCH($C541,'原始数据'!$B$2:$B$3689,0))</f>
        <v>90</v>
      </c>
      <c r="G541" s="10" t="n">
        <f t="array" ref="G541">INDEX('原始数据'!F$2:F$3689,MATCH($C541,'原始数据'!$B$2:$B$3689,0))</f>
        <v>22</v>
      </c>
      <c r="H541" s="10" t="n">
        <f t="array" ref="H541">INDEX('原始数据'!G$2:G$3689,MATCH($C541,'原始数据'!$B$2:$B$3689,0))</f>
        <v>30</v>
      </c>
      <c r="I541" s="11" t="n">
        <f t="array" ref="I541">INDEX('原始数据'!H$2:H$3689,MATCH($C541,'原始数据'!$B$2:$B$3689,0))</f>
        <v>26</v>
      </c>
      <c r="J541" s="16" t="n">
        <f>IF(F541=0,I541*2,F541/$N$603+I541)</f>
        <v>42.1675837138991</v>
      </c>
      <c r="K541" s="18" t="n">
        <f>ROW(K541)-1</f>
        <v>540</v>
      </c>
      <c r="L541" s="18" t="n">
        <f t="array" ref="L541">INDEX(TOP3277!#REF!,MATCH(C541,TOP3277!$B$501:$B$3035,0))</f>
        <v>1862</v>
      </c>
    </row>
    <row r="542" ht="14.399999999999999" customHeight="1">
      <c r="A542" s="10" t="n">
        <v>424</v>
      </c>
      <c r="B542" s="10" t="s">
        <v>8474</v>
      </c>
      <c r="C542" s="10" t="s">
        <v>8475</v>
      </c>
      <c r="D542" s="10" t="n">
        <v>20</v>
      </c>
      <c r="E542" s="10" t="n">
        <v>34</v>
      </c>
      <c r="F542" s="11" t="n">
        <f>SUM(D542+E542)/2</f>
        <v>27</v>
      </c>
      <c r="G542" s="18" t="n">
        <v>30</v>
      </c>
      <c r="H542" s="18" t="n">
        <v>44</v>
      </c>
      <c r="I542" s="11" t="n">
        <f>SUM(G542+H542)/2</f>
        <v>37</v>
      </c>
      <c r="J542" s="16" t="n">
        <f>IF(F542=0,I542*2,F542/$N$603+I542)</f>
        <v>41.8502751141697</v>
      </c>
      <c r="K542" s="18" t="n">
        <f>ROW(K542)-1</f>
        <v>541</v>
      </c>
      <c r="L542" s="18" t="e">
        <f t="array" ref="L542">INDEX(TOP3277!#REF!,MATCH(C542,TOP3277!$B$501:$B$3035,0))</f>
        <v>#N/A</v>
      </c>
    </row>
    <row r="543" ht="14.399999999999999" customHeight="1">
      <c r="A543" s="10" t="n">
        <v>582</v>
      </c>
      <c r="B543" s="10" t="s">
        <v>1645</v>
      </c>
      <c r="C543" s="10" t="s">
        <v>7626</v>
      </c>
      <c r="D543" s="10" t="n">
        <f t="array" ref="D543">INDEX('原始数据'!C$2:C$3689,MATCH($C543,'原始数据'!$B$2:$B$3689,0))</f>
        <v>53</v>
      </c>
      <c r="E543" s="10" t="n">
        <f t="array" ref="E543">INDEX('原始数据'!D$2:D$3689,MATCH($C543,'原始数据'!$B$2:$B$3689,0))</f>
        <v>83</v>
      </c>
      <c r="F543" s="11" t="n">
        <f t="array" ref="F543">INDEX('原始数据'!E$2:E$3689,MATCH($C543,'原始数据'!$B$2:$B$3689,0))</f>
        <v>68</v>
      </c>
      <c r="G543" s="10" t="n">
        <f t="array" ref="G543">INDEX('原始数据'!F$2:F$3689,MATCH($C543,'原始数据'!$B$2:$B$3689,0))</f>
        <v>23</v>
      </c>
      <c r="H543" s="10" t="n">
        <f t="array" ref="H543">INDEX('原始数据'!G$2:G$3689,MATCH($C543,'原始数据'!$B$2:$B$3689,0))</f>
        <v>36</v>
      </c>
      <c r="I543" s="11" t="n">
        <f t="array" ref="I543">INDEX('原始数据'!H$2:H$3689,MATCH($C543,'原始数据'!$B$2:$B$3689,0))</f>
        <v>29.5</v>
      </c>
      <c r="J543" s="16" t="n">
        <f>IF(F543=0,I543*2,F543/$N$603+I543)</f>
        <v>41.715507694946</v>
      </c>
      <c r="K543" s="18" t="n">
        <f>ROW(K543)-1</f>
        <v>542</v>
      </c>
      <c r="L543" s="18" t="e">
        <f t="array" ref="L543">INDEX(TOP3277!#REF!,MATCH(C543,TOP3277!$B$501:$B$3035,0))</f>
        <v>#N/A</v>
      </c>
    </row>
    <row r="544" ht="14.399999999999999" customHeight="1">
      <c r="A544" s="10" t="n">
        <v>518</v>
      </c>
      <c r="B544" s="10" t="s">
        <v>1637</v>
      </c>
      <c r="C544" s="10" t="s">
        <v>1638</v>
      </c>
      <c r="D544" s="10" t="n">
        <f t="array" ref="D544">INDEX('原始数据'!C$2:C$3689,MATCH($C544,'原始数据'!$B$2:$B$3689,0))</f>
        <v>81</v>
      </c>
      <c r="E544" s="10" t="n">
        <f t="array" ref="E544">INDEX('原始数据'!D$2:D$3689,MATCH($C544,'原始数据'!$B$2:$B$3689,0))</f>
        <v>129</v>
      </c>
      <c r="F544" s="11" t="n">
        <f t="array" ref="F544">INDEX('原始数据'!E$2:E$3689,MATCH($C544,'原始数据'!$B$2:$B$3689,0))</f>
        <v>105</v>
      </c>
      <c r="G544" s="10" t="n">
        <f t="array" ref="G544">INDEX('原始数据'!F$2:F$3689,MATCH($C544,'原始数据'!$B$2:$B$3689,0))</f>
        <v>18</v>
      </c>
      <c r="H544" s="10" t="n">
        <f t="array" ref="H544">INDEX('原始数据'!G$2:G$3689,MATCH($C544,'原始数据'!$B$2:$B$3689,0))</f>
        <v>27</v>
      </c>
      <c r="I544" s="11" t="n">
        <f t="array" ref="I544">INDEX('原始数据'!H$2:H$3689,MATCH($C544,'原始数据'!$B$2:$B$3689,0))</f>
        <v>22.5</v>
      </c>
      <c r="J544" s="16" t="n">
        <f>IF(F544=0,I544*2,F544/$N$603+I544)</f>
        <v>41.3621809995489</v>
      </c>
      <c r="K544" s="18" t="n">
        <f>ROW(K544)-1</f>
        <v>543</v>
      </c>
      <c r="L544" s="18" t="n">
        <f t="array" ref="L544">INDEX(TOP3277!#REF!,MATCH(C544,TOP3277!$B$501:$B$3035,0))</f>
        <v>1864</v>
      </c>
    </row>
    <row r="545" ht="14.399999999999999" customHeight="1">
      <c r="A545" s="10" t="n">
        <v>572</v>
      </c>
      <c r="B545" s="10" t="s">
        <v>6600</v>
      </c>
      <c r="C545" s="10" t="s">
        <v>6601</v>
      </c>
      <c r="D545" s="10" t="n">
        <f t="array" ref="D545">INDEX('原始数据'!C$2:C$3689,MATCH($C545,'原始数据'!$B$2:$B$3689,0))</f>
        <v>142</v>
      </c>
      <c r="E545" s="10" t="n">
        <f t="array" ref="E545">INDEX('原始数据'!D$2:D$3689,MATCH($C545,'原始数据'!$B$2:$B$3689,0))</f>
        <v>227</v>
      </c>
      <c r="F545" s="11" t="n">
        <f t="array" ref="F545">INDEX('原始数据'!E$2:E$3689,MATCH($C545,'原始数据'!$B$2:$B$3689,0))</f>
        <v>184.5</v>
      </c>
      <c r="G545" s="10" t="n">
        <f t="array" ref="G545">INDEX('原始数据'!F$2:F$3689,MATCH($C545,'原始数据'!$B$2:$B$3689,0))</f>
        <v>7</v>
      </c>
      <c r="H545" s="10" t="n">
        <f t="array" ref="H545">INDEX('原始数据'!G$2:G$3689,MATCH($C545,'原始数据'!$B$2:$B$3689,0))</f>
        <v>9</v>
      </c>
      <c r="I545" s="11" t="n">
        <f t="array" ref="I545">INDEX('原始数据'!H$2:H$3689,MATCH($C545,'原始数据'!$B$2:$B$3689,0))</f>
        <v>8</v>
      </c>
      <c r="J545" s="16" t="n">
        <f>IF(F545=0,I545*2,F545/$N$603+I545)</f>
        <v>41.1435466134931</v>
      </c>
      <c r="K545" s="18" t="n">
        <f>ROW(K545)-1</f>
        <v>544</v>
      </c>
      <c r="L545" s="18" t="e">
        <f t="array" ref="L545">INDEX(TOP3277!#REF!,MATCH(C545,TOP3277!$B$501:$B$3035,0))</f>
        <v>#N/A</v>
      </c>
    </row>
    <row r="546" ht="14.399999999999999" customHeight="1">
      <c r="A546" s="10" t="n">
        <v>567</v>
      </c>
      <c r="B546" s="10" t="s">
        <v>1669</v>
      </c>
      <c r="C546" s="10" t="s">
        <v>7547</v>
      </c>
      <c r="D546" s="10" t="n">
        <f t="array" ref="D546">INDEX('原始数据'!C$2:C$3689,MATCH($C546,'原始数据'!$B$2:$B$3689,0))</f>
        <v>35</v>
      </c>
      <c r="E546" s="10" t="n">
        <f t="array" ref="E546">INDEX('原始数据'!D$2:D$3689,MATCH($C546,'原始数据'!$B$2:$B$3689,0))</f>
        <v>55</v>
      </c>
      <c r="F546" s="11" t="n">
        <f t="array" ref="F546">INDEX('原始数据'!E$2:E$3689,MATCH($C546,'原始数据'!$B$2:$B$3689,0))</f>
        <v>45</v>
      </c>
      <c r="G546" s="10" t="n">
        <f t="array" ref="G546">INDEX('原始数据'!F$2:F$3689,MATCH($C546,'原始数据'!$B$2:$B$3689,0))</f>
        <v>23</v>
      </c>
      <c r="H546" s="10" t="n">
        <f t="array" ref="H546">INDEX('原始数据'!G$2:G$3689,MATCH($C546,'原始数据'!$B$2:$B$3689,0))</f>
        <v>39</v>
      </c>
      <c r="I546" s="11" t="n">
        <f t="array" ref="I546">INDEX('原始数据'!H$2:H$3689,MATCH($C546,'原始数据'!$B$2:$B$3689,0))</f>
        <v>31</v>
      </c>
      <c r="J546" s="16" t="n">
        <f>IF(F546=0,I546*2,F546/$N$603+I546)</f>
        <v>39.0837918569495</v>
      </c>
      <c r="K546" s="18" t="n">
        <f>ROW(K546)-1</f>
        <v>545</v>
      </c>
      <c r="L546" s="18" t="e">
        <f t="array" ref="L546">INDEX(TOP3277!#REF!,MATCH(C546,TOP3277!$B$501:$B$3035,0))</f>
        <v>#N/A</v>
      </c>
    </row>
    <row r="547" ht="14.399999999999999" customHeight="1">
      <c r="A547" s="10" t="n">
        <v>561</v>
      </c>
      <c r="B547" s="10" t="s">
        <v>1639</v>
      </c>
      <c r="C547" s="10" t="s">
        <v>1640</v>
      </c>
      <c r="D547" s="10" t="n">
        <f t="array" ref="D547">INDEX('原始数据'!C$2:C$3689,MATCH($C547,'原始数据'!$B$2:$B$3689,0))</f>
        <v>131</v>
      </c>
      <c r="E547" s="10" t="n">
        <f t="array" ref="E547">INDEX('原始数据'!D$2:D$3689,MATCH($C547,'原始数据'!$B$2:$B$3689,0))</f>
        <v>209</v>
      </c>
      <c r="F547" s="11" t="n">
        <f t="array" ref="F547">INDEX('原始数据'!E$2:E$3689,MATCH($C547,'原始数据'!$B$2:$B$3689,0))</f>
        <v>170</v>
      </c>
      <c r="G547" s="10" t="n">
        <f t="array" ref="G547">INDEX('原始数据'!F$2:F$3689,MATCH($C547,'原始数据'!$B$2:$B$3689,0))</f>
        <v>7</v>
      </c>
      <c r="H547" s="10" t="n">
        <f t="array" ref="H547">INDEX('原始数据'!G$2:G$3689,MATCH($C547,'原始数据'!$B$2:$B$3689,0))</f>
        <v>10</v>
      </c>
      <c r="I547" s="11" t="n">
        <f t="array" ref="I547">INDEX('原始数据'!H$2:H$3689,MATCH($C547,'原始数据'!$B$2:$B$3689,0))</f>
        <v>8.5</v>
      </c>
      <c r="J547" s="16" t="n">
        <f>IF(F547=0,I547*2,F547/$N$603+I547)</f>
        <v>39.0387692373649</v>
      </c>
      <c r="K547" s="18" t="n">
        <f>ROW(K547)-1</f>
        <v>546</v>
      </c>
      <c r="L547" s="18" t="n">
        <f t="array" ref="L547">INDEX(TOP3277!#REF!,MATCH(C547,TOP3277!$B$501:$B$3035,0))</f>
        <v>1865</v>
      </c>
    </row>
    <row r="548" ht="14.399999999999999" customHeight="1">
      <c r="A548" s="10" t="n">
        <v>563</v>
      </c>
      <c r="B548" s="10" t="s">
        <v>1671</v>
      </c>
      <c r="C548" s="10" t="s">
        <v>1672</v>
      </c>
      <c r="D548" s="10" t="n">
        <f t="array" ref="D548">INDEX('原始数据'!C$2:C$3689,MATCH($C548,'原始数据'!$B$2:$B$3689,0))</f>
        <v>11</v>
      </c>
      <c r="E548" s="10" t="n">
        <f t="array" ref="E548">INDEX('原始数据'!D$2:D$3689,MATCH($C548,'原始数据'!$B$2:$B$3689,0))</f>
        <v>19</v>
      </c>
      <c r="F548" s="11" t="n">
        <f t="array" ref="F548">INDEX('原始数据'!E$2:E$3689,MATCH($C548,'原始数据'!$B$2:$B$3689,0))</f>
        <v>15</v>
      </c>
      <c r="G548" s="10" t="n">
        <f t="array" ref="G548">INDEX('原始数据'!F$2:F$3689,MATCH($C548,'原始数据'!$B$2:$B$3689,0))</f>
        <v>11</v>
      </c>
      <c r="H548" s="10" t="n">
        <f t="array" ref="H548">INDEX('原始数据'!G$2:G$3689,MATCH($C548,'原始数据'!$B$2:$B$3689,0))</f>
        <v>61</v>
      </c>
      <c r="I548" s="11" t="n">
        <f t="array" ref="I548">INDEX('原始数据'!H$2:H$3689,MATCH($C548,'原始数据'!$B$2:$B$3689,0))</f>
        <v>36</v>
      </c>
      <c r="J548" s="16" t="n">
        <f>IF(F548=0,I548*2,F548/$N$603+I548)</f>
        <v>38.6945972856499</v>
      </c>
      <c r="K548" s="18" t="n">
        <f>ROW(K548)-1</f>
        <v>547</v>
      </c>
      <c r="L548" s="18" t="n">
        <f t="array" ref="L548">INDEX(TOP3277!#REF!,MATCH(C548,TOP3277!$B$501:$B$3035,0))</f>
        <v>1882</v>
      </c>
    </row>
    <row r="549" ht="14.399999999999999" customHeight="1">
      <c r="A549" s="10" t="n">
        <v>496</v>
      </c>
      <c r="B549" s="10" t="s">
        <v>1659</v>
      </c>
      <c r="C549" s="10" t="s">
        <v>1660</v>
      </c>
      <c r="D549" s="10" t="n">
        <f t="array" ref="D549">INDEX('原始数据'!C$2:C$3689,MATCH($C549,'原始数据'!$B$2:$B$3689,0))</f>
        <v>95</v>
      </c>
      <c r="E549" s="10" t="n">
        <f t="array" ref="E549">INDEX('原始数据'!D$2:D$3689,MATCH($C549,'原始数据'!$B$2:$B$3689,0))</f>
        <v>153</v>
      </c>
      <c r="F549" s="11" t="n">
        <f t="array" ref="F549">INDEX('原始数据'!E$2:E$3689,MATCH($C549,'原始数据'!$B$2:$B$3689,0))</f>
        <v>124</v>
      </c>
      <c r="G549" s="10" t="n">
        <f t="array" ref="G549">INDEX('原始数据'!F$2:F$3689,MATCH($C549,'原始数据'!$B$2:$B$3689,0))</f>
        <v>10</v>
      </c>
      <c r="H549" s="10" t="n">
        <f t="array" ref="H549">INDEX('原始数据'!G$2:G$3689,MATCH($C549,'原始数据'!$B$2:$B$3689,0))</f>
        <v>22</v>
      </c>
      <c r="I549" s="11" t="n">
        <f t="array" ref="I549">INDEX('原始数据'!H$2:H$3689,MATCH($C549,'原始数据'!$B$2:$B$3689,0))</f>
        <v>16</v>
      </c>
      <c r="J549" s="16" t="n">
        <f>IF(F549=0,I549*2,F549/$N$603+I549)</f>
        <v>38.2753375613721</v>
      </c>
      <c r="K549" s="18" t="n">
        <f>ROW(K549)-1</f>
        <v>548</v>
      </c>
      <c r="L549" s="18" t="n">
        <f t="array" ref="L549">INDEX(TOP3277!#REF!,MATCH(C549,TOP3277!$B$501:$B$3035,0))</f>
        <v>1875</v>
      </c>
    </row>
    <row r="550" ht="14.399999999999999" customHeight="1">
      <c r="A550" s="10" t="n">
        <v>524</v>
      </c>
      <c r="B550" s="10" t="s">
        <v>1651</v>
      </c>
      <c r="C550" s="10" t="s">
        <v>1652</v>
      </c>
      <c r="D550" s="10" t="n">
        <f t="array" ref="D550">INDEX('原始数据'!C$2:C$3689,MATCH($C550,'原始数据'!$B$2:$B$3689,0))</f>
        <v>125</v>
      </c>
      <c r="E550" s="10" t="n">
        <f t="array" ref="E550">INDEX('原始数据'!D$2:D$3689,MATCH($C550,'原始数据'!$B$2:$B$3689,0))</f>
        <v>201</v>
      </c>
      <c r="F550" s="11" t="n">
        <f t="array" ref="F550">INDEX('原始数据'!E$2:E$3689,MATCH($C550,'原始数据'!$B$2:$B$3689,0))</f>
        <v>163</v>
      </c>
      <c r="G550" s="10" t="n">
        <f t="array" ref="G550">INDEX('原始数据'!F$2:F$3689,MATCH($C550,'原始数据'!$B$2:$B$3689,0))</f>
        <v>6</v>
      </c>
      <c r="H550" s="10" t="n">
        <f t="array" ref="H550">INDEX('原始数据'!G$2:G$3689,MATCH($C550,'原始数据'!$B$2:$B$3689,0))</f>
        <v>11</v>
      </c>
      <c r="I550" s="11" t="n">
        <f t="array" ref="I550">INDEX('原始数据'!H$2:H$3689,MATCH($C550,'原始数据'!$B$2:$B$3689,0))</f>
        <v>8.5</v>
      </c>
      <c r="J550" s="16" t="n">
        <f>IF(F550=0,I550*2,F550/$N$603+I550)</f>
        <v>37.7812905040617</v>
      </c>
      <c r="K550" s="18" t="n">
        <f>ROW(K550)-1</f>
        <v>549</v>
      </c>
      <c r="L550" s="18" t="n">
        <f t="array" ref="L550">INDEX(TOP3277!#REF!,MATCH(C550,TOP3277!$B$501:$B$3035,0))</f>
        <v>1871</v>
      </c>
    </row>
    <row r="551" ht="14.399999999999999" customHeight="1">
      <c r="A551" s="10" t="n">
        <v>409</v>
      </c>
      <c r="B551" s="10" t="s">
        <v>6644</v>
      </c>
      <c r="C551" s="10" t="s">
        <v>6645</v>
      </c>
      <c r="D551" s="10" t="n">
        <f t="array" ref="D551">INDEX('原始数据'!C$2:C$3689,MATCH($C551,'原始数据'!$B$2:$B$3689,0))</f>
        <v>69</v>
      </c>
      <c r="E551" s="10" t="n">
        <f t="array" ref="E551">INDEX('原始数据'!D$2:D$3689,MATCH($C551,'原始数据'!$B$2:$B$3689,0))</f>
        <v>111</v>
      </c>
      <c r="F551" s="11" t="n">
        <f t="array" ref="F551">INDEX('原始数据'!E$2:E$3689,MATCH($C551,'原始数据'!$B$2:$B$3689,0))</f>
        <v>90</v>
      </c>
      <c r="G551" s="10" t="n">
        <f t="array" ref="G551">INDEX('原始数据'!F$2:F$3689,MATCH($C551,'原始数据'!$B$2:$B$3689,0))</f>
        <v>18</v>
      </c>
      <c r="H551" s="10" t="n">
        <f t="array" ref="H551">INDEX('原始数据'!G$2:G$3689,MATCH($C551,'原始数据'!$B$2:$B$3689,0))</f>
        <v>25</v>
      </c>
      <c r="I551" s="11" t="n">
        <f t="array" ref="I551">INDEX('原始数据'!H$2:H$3689,MATCH($C551,'原始数据'!$B$2:$B$3689,0))</f>
        <v>21.5</v>
      </c>
      <c r="J551" s="16" t="n">
        <f>IF(F551=0,I551*2,F551/$N$603+I551)</f>
        <v>37.6675837138991</v>
      </c>
      <c r="K551" s="18" t="n">
        <f>ROW(K551)-1</f>
        <v>550</v>
      </c>
      <c r="L551" s="18" t="e">
        <f t="array" ref="L551">INDEX(TOP3277!#REF!,MATCH(C551,TOP3277!$B$501:$B$3035,0))</f>
        <v>#N/A</v>
      </c>
    </row>
    <row r="552" ht="14.399999999999999" customHeight="1">
      <c r="A552" s="10" t="n">
        <v>560</v>
      </c>
      <c r="B552" s="10" t="s">
        <v>1653</v>
      </c>
      <c r="C552" s="10" t="s">
        <v>1654</v>
      </c>
      <c r="D552" s="10" t="n">
        <f t="array" ref="D552">INDEX('原始数据'!C$2:C$3689,MATCH($C552,'原始数据'!$B$2:$B$3689,0))</f>
        <v>130</v>
      </c>
      <c r="E552" s="10" t="n">
        <f t="array" ref="E552">INDEX('原始数据'!D$2:D$3689,MATCH($C552,'原始数据'!$B$2:$B$3689,0))</f>
        <v>210</v>
      </c>
      <c r="F552" s="11" t="n">
        <f t="array" ref="F552">INDEX('原始数据'!E$2:E$3689,MATCH($C552,'原始数据'!$B$2:$B$3689,0))</f>
        <v>170</v>
      </c>
      <c r="G552" s="10" t="n">
        <f t="array" ref="G552">INDEX('原始数据'!F$2:F$3689,MATCH($C552,'原始数据'!$B$2:$B$3689,0))</f>
        <v>6</v>
      </c>
      <c r="H552" s="10" t="n">
        <f t="array" ref="H552">INDEX('原始数据'!G$2:G$3689,MATCH($C552,'原始数据'!$B$2:$B$3689,0))</f>
        <v>8</v>
      </c>
      <c r="I552" s="11" t="n">
        <f t="array" ref="I552">INDEX('原始数据'!H$2:H$3689,MATCH($C552,'原始数据'!$B$2:$B$3689,0))</f>
        <v>7</v>
      </c>
      <c r="J552" s="16" t="n">
        <f>IF(F552=0,I552*2,F552/$N$603+I552)</f>
        <v>37.5387692373649</v>
      </c>
      <c r="K552" s="18" t="n">
        <f>ROW(K552)-1</f>
        <v>551</v>
      </c>
      <c r="L552" s="18" t="n">
        <f t="array" ref="L552">INDEX(TOP3277!#REF!,MATCH(C552,TOP3277!$B$501:$B$3035,0))</f>
        <v>1872</v>
      </c>
    </row>
    <row r="553" ht="14.399999999999999" customHeight="1">
      <c r="A553" s="10" t="n">
        <v>460</v>
      </c>
      <c r="B553" s="10" t="s">
        <v>5689</v>
      </c>
      <c r="C553" s="10" t="s">
        <v>5690</v>
      </c>
      <c r="D553" s="10" t="n">
        <f t="array" ref="D553">INDEX('原始数据'!C$2:C$3689,MATCH($C553,'原始数据'!$B$2:$B$3689,0))</f>
        <v>115</v>
      </c>
      <c r="E553" s="10" t="n">
        <f t="array" ref="E553">INDEX('原始数据'!D$2:D$3689,MATCH($C553,'原始数据'!$B$2:$B$3689,0))</f>
        <v>183</v>
      </c>
      <c r="F553" s="11" t="n">
        <f t="array" ref="F553">INDEX('原始数据'!E$2:E$3689,MATCH($C553,'原始数据'!$B$2:$B$3689,0))</f>
        <v>149</v>
      </c>
      <c r="G553" s="10" t="n">
        <f t="array" ref="G553">INDEX('原始数据'!F$2:F$3689,MATCH($C553,'原始数据'!$B$2:$B$3689,0))</f>
        <v>8</v>
      </c>
      <c r="H553" s="10" t="n">
        <f t="array" ref="H553">INDEX('原始数据'!G$2:G$3689,MATCH($C553,'原始数据'!$B$2:$B$3689,0))</f>
        <v>12</v>
      </c>
      <c r="I553" s="11" t="n">
        <f t="array" ref="I553">INDEX('原始数据'!H$2:H$3689,MATCH($C553,'原始数据'!$B$2:$B$3689,0))</f>
        <v>10</v>
      </c>
      <c r="J553" s="16" t="n">
        <f>IF(F553=0,I553*2,F553/$N$603+I553)</f>
        <v>36.7663330374551</v>
      </c>
      <c r="K553" s="18" t="n">
        <f>ROW(K553)-1</f>
        <v>552</v>
      </c>
      <c r="L553" s="18" t="e">
        <f t="array" ref="L553">INDEX(TOP3277!#REF!,MATCH(C553,TOP3277!$B$501:$B$3035,0))</f>
        <v>#N/A</v>
      </c>
    </row>
    <row r="554" ht="14.399999999999999" customHeight="1">
      <c r="A554" s="10" t="n">
        <v>485</v>
      </c>
      <c r="B554" s="10" t="s">
        <v>1391</v>
      </c>
      <c r="C554" s="10" t="s">
        <v>1392</v>
      </c>
      <c r="D554" s="10" t="n">
        <f t="array" ref="D554">INDEX('原始数据'!C$2:C$3689,MATCH($C554,'原始数据'!$B$2:$B$3689,0))</f>
        <v>122</v>
      </c>
      <c r="E554" s="10" t="n">
        <f t="array" ref="E554">INDEX('原始数据'!D$2:D$3689,MATCH($C554,'原始数据'!$B$2:$B$3689,0))</f>
        <v>196</v>
      </c>
      <c r="F554" s="11" t="n">
        <f t="array" ref="F554">INDEX('原始数据'!E$2:E$3689,MATCH($C554,'原始数据'!$B$2:$B$3689,0))</f>
        <v>159</v>
      </c>
      <c r="G554" s="10" t="n">
        <f t="array" ref="G554">INDEX('原始数据'!F$2:F$3689,MATCH($C554,'原始数据'!$B$2:$B$3689,0))</f>
        <v>5</v>
      </c>
      <c r="H554" s="10" t="n">
        <f t="array" ref="H554">INDEX('原始数据'!G$2:G$3689,MATCH($C554,'原始数据'!$B$2:$B$3689,0))</f>
        <v>7</v>
      </c>
      <c r="I554" s="11" t="n">
        <f t="array" ref="I554">INDEX('原始数据'!H$2:H$3689,MATCH($C554,'原始数据'!$B$2:$B$3689,0))</f>
        <v>6</v>
      </c>
      <c r="J554" s="16" t="n">
        <f>IF(F554=0,I554*2,F554/$N$603+I554)</f>
        <v>34.5627312278884</v>
      </c>
      <c r="K554" s="18" t="n">
        <f>ROW(K554)-1</f>
        <v>553</v>
      </c>
      <c r="L554" s="18" t="n">
        <f t="array" ref="L554">INDEX(TOP3277!#REF!,MATCH(C554,TOP3277!$B$501:$B$3035,0))</f>
        <v>1881</v>
      </c>
    </row>
    <row r="555" ht="14.399999999999999" customHeight="1">
      <c r="A555" s="10" t="n">
        <v>450</v>
      </c>
      <c r="B555" s="10" t="s">
        <v>1488</v>
      </c>
      <c r="C555" s="10" t="s">
        <v>1489</v>
      </c>
      <c r="D555" s="10" t="n">
        <f t="array" ref="D555">INDEX('原始数据'!C$2:C$3689,MATCH($C555,'原始数据'!$B$2:$B$3689,0))</f>
        <v>99</v>
      </c>
      <c r="E555" s="10" t="n">
        <f t="array" ref="E555">INDEX('原始数据'!D$2:D$3689,MATCH($C555,'原始数据'!$B$2:$B$3689,0))</f>
        <v>155</v>
      </c>
      <c r="F555" s="11" t="n">
        <f t="array" ref="F555">INDEX('原始数据'!E$2:E$3689,MATCH($C555,'原始数据'!$B$2:$B$3689,0))</f>
        <v>127</v>
      </c>
      <c r="G555" s="10" t="n">
        <f t="array" ref="G555">INDEX('原始数据'!F$2:F$3689,MATCH($C555,'原始数据'!$B$2:$B$3689,0))</f>
        <v>9</v>
      </c>
      <c r="H555" s="10" t="n">
        <f t="array" ref="H555">INDEX('原始数据'!G$2:G$3689,MATCH($C555,'原始数据'!$B$2:$B$3689,0))</f>
        <v>13</v>
      </c>
      <c r="I555" s="11" t="n">
        <f t="array" ref="I555">INDEX('原始数据'!H$2:H$3689,MATCH($C555,'原始数据'!$B$2:$B$3689,0))</f>
        <v>11</v>
      </c>
      <c r="J555" s="16" t="n">
        <f>IF(F555=0,I555*2,F555/$N$603+I555)</f>
        <v>33.814257018502</v>
      </c>
      <c r="K555" s="18" t="n">
        <f>ROW(K555)-1</f>
        <v>554</v>
      </c>
      <c r="L555" s="18" t="n">
        <f t="array" ref="L555">INDEX(TOP3277!#REF!,MATCH(C555,TOP3277!$B$501:$B$3035,0))</f>
        <v>1885</v>
      </c>
    </row>
    <row r="556" ht="14.399999999999999" customHeight="1">
      <c r="A556" s="10" t="n">
        <v>497</v>
      </c>
      <c r="B556" s="10" t="s">
        <v>1685</v>
      </c>
      <c r="C556" s="10" t="s">
        <v>1686</v>
      </c>
      <c r="D556" s="10" t="n">
        <v>93</v>
      </c>
      <c r="E556" s="10" t="n">
        <v>147</v>
      </c>
      <c r="F556" s="11" t="n">
        <f>SUM(D556+E556)/2</f>
        <v>120</v>
      </c>
      <c r="G556" s="18" t="n">
        <v>10</v>
      </c>
      <c r="H556" s="18" t="n">
        <v>14</v>
      </c>
      <c r="I556" s="11" t="n">
        <f>SUM(G556+H556)/2</f>
        <v>12</v>
      </c>
      <c r="J556" s="16" t="n">
        <f>IF(F556=0,I556*2,F556/$N$603+I556)</f>
        <v>33.5567782851988</v>
      </c>
      <c r="K556" s="18" t="n">
        <f>ROW(K556)-1</f>
        <v>555</v>
      </c>
      <c r="L556" s="18" t="n">
        <f t="array" ref="L556">INDEX(TOP3277!#REF!,MATCH(C556,TOP3277!$B$501:$B$3035,0))</f>
        <v>1889</v>
      </c>
    </row>
    <row r="557" ht="14.399999999999999" customHeight="1">
      <c r="A557" s="10" t="n">
        <v>523</v>
      </c>
      <c r="B557" s="10" t="s">
        <v>1697</v>
      </c>
      <c r="C557" s="10" t="s">
        <v>1698</v>
      </c>
      <c r="D557" s="10" t="n">
        <f t="array" ref="D557">INDEX('原始数据'!C$2:C$3689,MATCH($C557,'原始数据'!$B$2:$B$3689,0))</f>
        <v>37</v>
      </c>
      <c r="E557" s="10" t="n">
        <f t="array" ref="E557">INDEX('原始数据'!D$2:D$3689,MATCH($C557,'原始数据'!$B$2:$B$3689,0))</f>
        <v>61</v>
      </c>
      <c r="F557" s="11" t="n">
        <f t="array" ref="F557">INDEX('原始数据'!E$2:E$3689,MATCH($C557,'原始数据'!$B$2:$B$3689,0))</f>
        <v>49</v>
      </c>
      <c r="G557" s="10" t="n">
        <f t="array" ref="G557">INDEX('原始数据'!F$2:F$3689,MATCH($C557,'原始数据'!$B$2:$B$3689,0))</f>
        <v>20</v>
      </c>
      <c r="H557" s="10" t="n">
        <f t="array" ref="H557">INDEX('原始数据'!G$2:G$3689,MATCH($C557,'原始数据'!$B$2:$B$3689,0))</f>
        <v>28</v>
      </c>
      <c r="I557" s="11" t="n">
        <f t="array" ref="I557">INDEX('原始数据'!H$2:H$3689,MATCH($C557,'原始数据'!$B$2:$B$3689,0))</f>
        <v>24</v>
      </c>
      <c r="J557" s="16" t="n">
        <f>IF(F557=0,I557*2,F557/$N$603+I557)</f>
        <v>32.8023511331228</v>
      </c>
      <c r="K557" s="18" t="n">
        <f>ROW(K557)-1</f>
        <v>556</v>
      </c>
      <c r="L557" s="18" t="n">
        <f t="array" ref="L557">INDEX(TOP3277!#REF!,MATCH(C557,TOP3277!$B$501:$B$3035,0))</f>
        <v>1897</v>
      </c>
    </row>
    <row r="558" ht="14.399999999999999" customHeight="1">
      <c r="A558" s="10" t="n">
        <v>493</v>
      </c>
      <c r="B558" s="10" t="s">
        <v>1721</v>
      </c>
      <c r="C558" s="10" t="s">
        <v>1722</v>
      </c>
      <c r="D558" s="10" t="n">
        <v>43</v>
      </c>
      <c r="E558" s="10" t="n">
        <v>67</v>
      </c>
      <c r="F558" s="11" t="n">
        <f>SUM(D558+E558)/2</f>
        <v>55</v>
      </c>
      <c r="G558" s="18" t="n">
        <v>17</v>
      </c>
      <c r="H558" s="18" t="n">
        <v>26</v>
      </c>
      <c r="I558" s="11" t="n">
        <f>SUM(G558+H558)/2</f>
        <v>21.5</v>
      </c>
      <c r="J558" s="16" t="n">
        <f>IF(F558=0,I558*2,F558/$N$603+I558)</f>
        <v>31.3801900473828</v>
      </c>
      <c r="K558" s="18" t="n">
        <f>ROW(K558)-1</f>
        <v>557</v>
      </c>
      <c r="L558" s="18" t="n">
        <f t="array" ref="L558">INDEX(TOP3277!#REF!,MATCH(C558,TOP3277!$B$501:$B$3035,0))</f>
        <v>1913</v>
      </c>
    </row>
    <row r="559" ht="14.399999999999999" customHeight="1">
      <c r="A559" s="10" t="n">
        <v>519</v>
      </c>
      <c r="B559" s="10" t="s">
        <v>1711</v>
      </c>
      <c r="C559" s="10" t="s">
        <v>1712</v>
      </c>
      <c r="D559" s="10" t="n">
        <f t="array" ref="D559">INDEX('原始数据'!C$2:C$3689,MATCH($C559,'原始数据'!$B$2:$B$3689,0))</f>
        <v>63</v>
      </c>
      <c r="E559" s="10" t="n">
        <f t="array" ref="E559">INDEX('原始数据'!D$2:D$3689,MATCH($C559,'原始数据'!$B$2:$B$3689,0))</f>
        <v>99</v>
      </c>
      <c r="F559" s="11" t="n">
        <f t="array" ref="F559">INDEX('原始数据'!E$2:E$3689,MATCH($C559,'原始数据'!$B$2:$B$3689,0))</f>
        <v>81</v>
      </c>
      <c r="G559" s="10" t="n">
        <f t="array" ref="G559">INDEX('原始数据'!F$2:F$3689,MATCH($C559,'原始数据'!$B$2:$B$3689,0))</f>
        <v>13</v>
      </c>
      <c r="H559" s="10" t="n">
        <f t="array" ref="H559">INDEX('原始数据'!G$2:G$3689,MATCH($C559,'原始数据'!$B$2:$B$3689,0))</f>
        <v>16</v>
      </c>
      <c r="I559" s="11" t="n">
        <f t="array" ref="I559">INDEX('原始数据'!H$2:H$3689,MATCH($C559,'原始数据'!$B$2:$B$3689,0))</f>
        <v>14.5</v>
      </c>
      <c r="J559" s="16" t="n">
        <f>IF(F559=0,I559*2,F559/$N$603+I559)</f>
        <v>29.0508253425092</v>
      </c>
      <c r="K559" s="18" t="n">
        <f>ROW(K559)-1</f>
        <v>558</v>
      </c>
      <c r="L559" s="18" t="n">
        <f t="array" ref="L559">INDEX(TOP3277!#REF!,MATCH(C559,TOP3277!$B$501:$B$3035,0))</f>
        <v>1907</v>
      </c>
    </row>
    <row r="560" ht="14.399999999999999" customHeight="1">
      <c r="A560" s="10" t="n">
        <v>451</v>
      </c>
      <c r="B560" s="10" t="s">
        <v>1705</v>
      </c>
      <c r="C560" s="10" t="s">
        <v>1706</v>
      </c>
      <c r="D560" s="10" t="n">
        <f t="array" ref="D560">INDEX('原始数据'!C$2:C$3689,MATCH($C560,'原始数据'!$B$2:$B$3689,0))</f>
        <v>101</v>
      </c>
      <c r="E560" s="10" t="n">
        <f t="array" ref="E560">INDEX('原始数据'!D$2:D$3689,MATCH($C560,'原始数据'!$B$2:$B$3689,0))</f>
        <v>161</v>
      </c>
      <c r="F560" s="11" t="n">
        <f t="array" ref="F560">INDEX('原始数据'!E$2:E$3689,MATCH($C560,'原始数据'!$B$2:$B$3689,0))</f>
        <v>131</v>
      </c>
      <c r="G560" s="10" t="n">
        <f t="array" ref="G560">INDEX('原始数据'!F$2:F$3689,MATCH($C560,'原始数据'!$B$2:$B$3689,0))</f>
        <v>4</v>
      </c>
      <c r="H560" s="10" t="n">
        <f t="array" ref="H560">INDEX('原始数据'!G$2:G$3689,MATCH($C560,'原始数据'!$B$2:$B$3689,0))</f>
        <v>7</v>
      </c>
      <c r="I560" s="11" t="n">
        <f t="array" ref="I560">INDEX('原始数据'!H$2:H$3689,MATCH($C560,'原始数据'!$B$2:$B$3689,0))</f>
        <v>5.5</v>
      </c>
      <c r="J560" s="16" t="n">
        <f>IF(F560=0,I560*2,F560/$N$603+I560)</f>
        <v>29.0328162946753</v>
      </c>
      <c r="K560" s="18" t="n">
        <f>ROW(K560)-1</f>
        <v>559</v>
      </c>
      <c r="L560" s="18" t="n">
        <f t="array" ref="L560">INDEX(TOP3277!#REF!,MATCH(C560,TOP3277!$B$501:$B$3035,0))</f>
        <v>1902</v>
      </c>
    </row>
    <row r="561" ht="14.399999999999999" customHeight="1">
      <c r="A561" s="10" t="n">
        <v>508</v>
      </c>
      <c r="B561" s="10" t="s">
        <v>1699</v>
      </c>
      <c r="C561" s="10" t="s">
        <v>1700</v>
      </c>
      <c r="D561" s="10" t="n">
        <f t="array" ref="D561">INDEX('原始数据'!C$2:C$3689,MATCH($C561,'原始数据'!$B$2:$B$3689,0))</f>
        <v>124</v>
      </c>
      <c r="E561" s="10" t="n">
        <f t="array" ref="E561">INDEX('原始数据'!D$2:D$3689,MATCH($C561,'原始数据'!$B$2:$B$3689,0))</f>
        <v>198</v>
      </c>
      <c r="F561" s="11" t="n">
        <f t="array" ref="F561">INDEX('原始数据'!E$2:E$3689,MATCH($C561,'原始数据'!$B$2:$B$3689,0))</f>
        <v>161</v>
      </c>
      <c r="G561" s="10" t="n">
        <f t="array" ref="G561">INDEX('原始数据'!F$2:F$3689,MATCH($C561,'原始数据'!$B$2:$B$3689,0))</f>
        <v>0</v>
      </c>
      <c r="H561" s="10" t="n">
        <f t="array" ref="H561">INDEX('原始数据'!G$2:G$3689,MATCH($C561,'原始数据'!$B$2:$B$3689,0))</f>
        <v>0</v>
      </c>
      <c r="I561" s="11" t="n">
        <f t="array" ref="I561">INDEX('原始数据'!H$2:H$3689,MATCH($C561,'原始数据'!$B$2:$B$3689,0))</f>
        <v>0</v>
      </c>
      <c r="J561" s="16" t="n">
        <f>IF(F561=0,I561*2,F561/$N$603+I561)</f>
        <v>28.922010865975</v>
      </c>
      <c r="K561" s="18" t="n">
        <f>ROW(K561)-1</f>
        <v>560</v>
      </c>
      <c r="L561" s="18" t="n">
        <f t="array" ref="L561">INDEX(TOP3277!#REF!,MATCH(C561,TOP3277!$B$501:$B$3035,0))</f>
        <v>1898</v>
      </c>
    </row>
    <row r="562" ht="14.399999999999999" customHeight="1">
      <c r="A562" s="10" t="n">
        <v>479</v>
      </c>
      <c r="B562" s="10" t="s">
        <v>1851</v>
      </c>
      <c r="C562" s="10" t="s">
        <v>1852</v>
      </c>
      <c r="D562" s="10" t="n">
        <v>109</v>
      </c>
      <c r="E562" s="10" t="n">
        <v>173</v>
      </c>
      <c r="F562" s="11" t="n">
        <f>SUM(D562+E562)/2</f>
        <v>141</v>
      </c>
      <c r="G562" s="18" t="n">
        <v>3</v>
      </c>
      <c r="H562" s="18" t="n">
        <v>4</v>
      </c>
      <c r="I562" s="11" t="n">
        <f>SUM(G562+H562)/2</f>
        <v>3.5</v>
      </c>
      <c r="J562" s="16" t="n">
        <f>IF(F562=0,I562*2,F562/$N$603+I562)</f>
        <v>28.8292144851086</v>
      </c>
      <c r="K562" s="18" t="n">
        <f>ROW(K562)-1</f>
        <v>561</v>
      </c>
      <c r="L562" s="18" t="n">
        <f t="array" ref="L562">INDEX(TOP3277!#REF!,MATCH(C562,TOP3277!$B$501:$B$3035,0))</f>
        <v>1993</v>
      </c>
    </row>
    <row r="563" ht="14.399999999999999" customHeight="1">
      <c r="A563" s="10" t="n">
        <v>596</v>
      </c>
      <c r="B563" s="10" t="s">
        <v>1389</v>
      </c>
      <c r="C563" s="10" t="s">
        <v>1390</v>
      </c>
      <c r="D563" s="10" t="n">
        <f t="array" ref="D563">INDEX('原始数据'!C$2:C$3689,MATCH($C563,'原始数据'!$B$2:$B$3689,0))</f>
        <v>27</v>
      </c>
      <c r="E563" s="10" t="n">
        <f t="array" ref="E563">INDEX('原始数据'!D$2:D$3689,MATCH($C563,'原始数据'!$B$2:$B$3689,0))</f>
        <v>43</v>
      </c>
      <c r="F563" s="11" t="n">
        <f t="array" ref="F563">INDEX('原始数据'!E$2:E$3689,MATCH($C563,'原始数据'!$B$2:$B$3689,0))</f>
        <v>35</v>
      </c>
      <c r="G563" s="10" t="n">
        <f t="array" ref="G563">INDEX('原始数据'!F$2:F$3689,MATCH($C563,'原始数据'!$B$2:$B$3689,0))</f>
        <v>19</v>
      </c>
      <c r="H563" s="10" t="n">
        <f t="array" ref="H563">INDEX('原始数据'!G$2:G$3689,MATCH($C563,'原始数据'!$B$2:$B$3689,0))</f>
        <v>24</v>
      </c>
      <c r="I563" s="11" t="n">
        <f t="array" ref="I563">INDEX('原始数据'!H$2:H$3689,MATCH($C563,'原始数据'!$B$2:$B$3689,0))</f>
        <v>21.5</v>
      </c>
      <c r="J563" s="16" t="n">
        <f>IF(F563=0,I563*2,F563/$N$603+I563)</f>
        <v>27.7873936665163</v>
      </c>
      <c r="K563" s="18" t="n">
        <f>ROW(K563)-1</f>
        <v>562</v>
      </c>
      <c r="L563" s="18" t="n">
        <f t="array" ref="L563">INDEX(TOP3277!#REF!,MATCH(C563,TOP3277!$B$501:$B$3035,0))</f>
        <v>1922</v>
      </c>
    </row>
    <row r="564" ht="14.399999999999999" customHeight="1">
      <c r="A564" s="10" t="n">
        <v>350</v>
      </c>
      <c r="B564" s="10" t="s">
        <v>1713</v>
      </c>
      <c r="C564" s="10" t="s">
        <v>1714</v>
      </c>
      <c r="D564" s="10" t="n">
        <f t="array" ref="D564">INDEX('原始数据'!C$2:C$3689,MATCH($C564,'原始数据'!$B$2:$B$3689,0))</f>
        <v>96</v>
      </c>
      <c r="E564" s="10" t="n">
        <f t="array" ref="E564">INDEX('原始数据'!D$2:D$3689,MATCH($C564,'原始数据'!$B$2:$B$3689,0))</f>
        <v>154</v>
      </c>
      <c r="F564" s="11" t="n">
        <f t="array" ref="F564">INDEX('原始数据'!E$2:E$3689,MATCH($C564,'原始数据'!$B$2:$B$3689,0))</f>
        <v>125</v>
      </c>
      <c r="G564" s="10" t="n">
        <f t="array" ref="G564">INDEX('原始数据'!F$2:F$3689,MATCH($C564,'原始数据'!$B$2:$B$3689,0))</f>
        <v>4</v>
      </c>
      <c r="H564" s="10" t="n">
        <f t="array" ref="H564">INDEX('原始数据'!G$2:G$3689,MATCH($C564,'原始数据'!$B$2:$B$3689,0))</f>
        <v>6</v>
      </c>
      <c r="I564" s="11" t="n">
        <f t="array" ref="I564">INDEX('原始数据'!H$2:H$3689,MATCH($C564,'原始数据'!$B$2:$B$3689,0))</f>
        <v>5</v>
      </c>
      <c r="J564" s="16" t="n">
        <f>IF(F564=0,I564*2,F564/$N$603+I564)</f>
        <v>27.4549773804154</v>
      </c>
      <c r="K564" s="18" t="n">
        <f>ROW(K564)-1</f>
        <v>563</v>
      </c>
      <c r="L564" s="18" t="n">
        <f t="array" ref="L564">INDEX(TOP3277!#REF!,MATCH(C564,TOP3277!$B$501:$B$3035,0))</f>
        <v>1908</v>
      </c>
    </row>
    <row r="565" ht="14.399999999999999" customHeight="1">
      <c r="A565" s="10" t="n">
        <v>597</v>
      </c>
      <c r="B565" s="10" t="s">
        <v>1745</v>
      </c>
      <c r="C565" s="10" t="s">
        <v>1746</v>
      </c>
      <c r="D565" s="10" t="n">
        <f t="array" ref="D565">INDEX('原始数据'!C$2:C$3689,MATCH($C565,'原始数据'!$B$2:$B$3689,0))</f>
        <v>33</v>
      </c>
      <c r="E565" s="10" t="n">
        <f t="array" ref="E565">INDEX('原始数据'!D$2:D$3689,MATCH($C565,'原始数据'!$B$2:$B$3689,0))</f>
        <v>53</v>
      </c>
      <c r="F565" s="11" t="n">
        <f t="array" ref="F565">INDEX('原始数据'!E$2:E$3689,MATCH($C565,'原始数据'!$B$2:$B$3689,0))</f>
        <v>43</v>
      </c>
      <c r="G565" s="10" t="n">
        <f t="array" ref="G565">INDEX('原始数据'!F$2:F$3689,MATCH($C565,'原始数据'!$B$2:$B$3689,0))</f>
        <v>15</v>
      </c>
      <c r="H565" s="10" t="n">
        <f t="array" ref="H565">INDEX('原始数据'!G$2:G$3689,MATCH($C565,'原始数据'!$B$2:$B$3689,0))</f>
        <v>21</v>
      </c>
      <c r="I565" s="11" t="n">
        <f t="array" ref="I565">INDEX('原始数据'!H$2:H$3689,MATCH($C565,'原始数据'!$B$2:$B$3689,0))</f>
        <v>18</v>
      </c>
      <c r="J565" s="16" t="n">
        <f>IF(F565=0,I565*2,F565/$N$603+I565)</f>
        <v>25.7245122188629</v>
      </c>
      <c r="K565" s="18" t="n">
        <f>ROW(K565)-1</f>
        <v>564</v>
      </c>
      <c r="L565" s="18" t="n">
        <f t="array" ref="L565">INDEX(TOP3277!#REF!,MATCH(C565,TOP3277!$B$501:$B$3035,0))</f>
        <v>1931</v>
      </c>
    </row>
    <row r="566" ht="14.399999999999999" customHeight="1">
      <c r="A566" s="10" t="n">
        <v>554</v>
      </c>
      <c r="B566" s="10" t="s">
        <v>350</v>
      </c>
      <c r="C566" s="10" t="s">
        <v>8476</v>
      </c>
      <c r="D566" s="10" t="n">
        <v>108</v>
      </c>
      <c r="E566" s="10" t="n">
        <v>172</v>
      </c>
      <c r="F566" s="11" t="n">
        <f>SUM(D566+E566)/2</f>
        <v>140</v>
      </c>
      <c r="G566" s="18" t="n">
        <v>0</v>
      </c>
      <c r="H566" s="18" t="n">
        <v>0</v>
      </c>
      <c r="I566" s="11" t="n">
        <f>SUM(G566+H566)/2</f>
        <v>0</v>
      </c>
      <c r="J566" s="16" t="n">
        <f>IF(F566=0,I566*2,F566/$N$603+I566)</f>
        <v>25.1495746660652</v>
      </c>
      <c r="K566" s="18" t="n">
        <f>ROW(K566)-1</f>
        <v>565</v>
      </c>
      <c r="L566" s="18" t="e">
        <f t="array" ref="L566">INDEX(TOP3277!#REF!,MATCH(C566,TOP3277!$B$501:$B$3035,0))</f>
        <v>#N/A</v>
      </c>
    </row>
    <row r="567" ht="14.399999999999999" customHeight="1">
      <c r="A567" s="10" t="n">
        <v>558</v>
      </c>
      <c r="B567" s="10" t="s">
        <v>1753</v>
      </c>
      <c r="C567" s="10" t="s">
        <v>1754</v>
      </c>
      <c r="D567" s="10" t="n">
        <f t="array" ref="D567">INDEX('原始数据'!C$2:C$3689,MATCH($C567,'原始数据'!$B$2:$B$3689,0))</f>
        <v>34</v>
      </c>
      <c r="E567" s="10" t="n">
        <f t="array" ref="E567">INDEX('原始数据'!D$2:D$3689,MATCH($C567,'原始数据'!$B$2:$B$3689,0))</f>
        <v>54</v>
      </c>
      <c r="F567" s="11" t="n">
        <f t="array" ref="F567">INDEX('原始数据'!E$2:E$3689,MATCH($C567,'原始数据'!$B$2:$B$3689,0))</f>
        <v>44</v>
      </c>
      <c r="G567" s="10" t="n">
        <f t="array" ref="G567">INDEX('原始数据'!F$2:F$3689,MATCH($C567,'原始数据'!$B$2:$B$3689,0))</f>
        <v>7</v>
      </c>
      <c r="H567" s="10" t="n">
        <f t="array" ref="H567">INDEX('原始数据'!G$2:G$3689,MATCH($C567,'原始数据'!$B$2:$B$3689,0))</f>
        <v>27</v>
      </c>
      <c r="I567" s="11" t="n">
        <f t="array" ref="I567">INDEX('原始数据'!H$2:H$3689,MATCH($C567,'原始数据'!$B$2:$B$3689,0))</f>
        <v>17</v>
      </c>
      <c r="J567" s="16" t="n">
        <f>IF(F567=0,I567*2,F567/$N$603+I567)</f>
        <v>24.9041520379062</v>
      </c>
      <c r="K567" s="18" t="n">
        <f>ROW(K567)-1</f>
        <v>566</v>
      </c>
      <c r="L567" s="18" t="n">
        <f t="array" ref="L567">INDEX(TOP3277!#REF!,MATCH(C567,TOP3277!$B$501:$B$3035,0))</f>
        <v>1935</v>
      </c>
    </row>
    <row r="568" ht="14.399999999999999" customHeight="1">
      <c r="A568" s="10" t="n">
        <v>586</v>
      </c>
      <c r="B568" s="10" t="s">
        <v>1797</v>
      </c>
      <c r="C568" s="10" t="s">
        <v>1798</v>
      </c>
      <c r="D568" s="10" t="n">
        <f t="array" ref="D568">INDEX('原始数据'!C$2:C$3689,MATCH($C568,'原始数据'!$B$2:$B$3689,0))</f>
        <v>15</v>
      </c>
      <c r="E568" s="10" t="n">
        <f t="array" ref="E568">INDEX('原始数据'!D$2:D$3689,MATCH($C568,'原始数据'!$B$2:$B$3689,0))</f>
        <v>25</v>
      </c>
      <c r="F568" s="11" t="n">
        <f t="array" ref="F568">INDEX('原始数据'!E$2:E$3689,MATCH($C568,'原始数据'!$B$2:$B$3689,0))</f>
        <v>20</v>
      </c>
      <c r="G568" s="10" t="n">
        <f t="array" ref="G568">INDEX('原始数据'!F$2:F$3689,MATCH($C568,'原始数据'!$B$2:$B$3689,0))</f>
        <v>16</v>
      </c>
      <c r="H568" s="10" t="n">
        <f t="array" ref="H568">INDEX('原始数据'!G$2:G$3689,MATCH($C568,'原始数据'!$B$2:$B$3689,0))</f>
        <v>21</v>
      </c>
      <c r="I568" s="11" t="n">
        <f t="array" ref="I568">INDEX('原始数据'!H$2:H$3689,MATCH($C568,'原始数据'!$B$2:$B$3689,0))</f>
        <v>18.5</v>
      </c>
      <c r="J568" s="16" t="n">
        <f>IF(F568=0,I568*2,F568/$N$603+I568)</f>
        <v>22.0927963808665</v>
      </c>
      <c r="K568" s="18" t="n">
        <f>ROW(K568)-1</f>
        <v>567</v>
      </c>
      <c r="L568" s="18" t="n">
        <f t="array" ref="L568">INDEX(TOP3277!#REF!,MATCH(C568,TOP3277!$B$501:$B$3035,0))</f>
        <v>1961</v>
      </c>
    </row>
    <row r="569" ht="14.399999999999999" customHeight="1">
      <c r="A569" s="10" t="n">
        <v>487</v>
      </c>
      <c r="B569" s="10" t="s">
        <v>1779</v>
      </c>
      <c r="C569" s="10" t="s">
        <v>1780</v>
      </c>
      <c r="D569" s="10" t="n">
        <f t="array" ref="D569">INDEX('原始数据'!C$2:C$3689,MATCH($C569,'原始数据'!$B$2:$B$3689,0))</f>
        <v>44</v>
      </c>
      <c r="E569" s="10" t="n">
        <f t="array" ref="E569">INDEX('原始数据'!D$2:D$3689,MATCH($C569,'原始数据'!$B$2:$B$3689,0))</f>
        <v>70</v>
      </c>
      <c r="F569" s="11" t="n">
        <f t="array" ref="F569">INDEX('原始数据'!E$2:E$3689,MATCH($C569,'原始数据'!$B$2:$B$3689,0))</f>
        <v>57</v>
      </c>
      <c r="G569" s="10" t="n">
        <f t="array" ref="G569">INDEX('原始数据'!F$2:F$3689,MATCH($C569,'原始数据'!$B$2:$B$3689,0))</f>
        <v>9</v>
      </c>
      <c r="H569" s="10" t="n">
        <f t="array" ref="H569">INDEX('原始数据'!G$2:G$3689,MATCH($C569,'原始数据'!$B$2:$B$3689,0))</f>
        <v>14</v>
      </c>
      <c r="I569" s="11" t="n">
        <f t="array" ref="I569">INDEX('原始数据'!H$2:H$3689,MATCH($C569,'原始数据'!$B$2:$B$3689,0))</f>
        <v>11.5</v>
      </c>
      <c r="J569" s="16" t="n">
        <f>IF(F569=0,I569*2,F569/$N$603+I569)</f>
        <v>21.7394696854694</v>
      </c>
      <c r="K569" s="18" t="n">
        <f>ROW(K569)-1</f>
        <v>568</v>
      </c>
      <c r="L569" s="18" t="n">
        <f t="array" ref="L569">INDEX(TOP3277!#REF!,MATCH(C569,TOP3277!$B$501:$B$3035,0))</f>
        <v>1952</v>
      </c>
    </row>
    <row r="570" ht="14.399999999999999" customHeight="1">
      <c r="A570" s="10" t="n">
        <v>446</v>
      </c>
      <c r="B570" s="10" t="s">
        <v>1524</v>
      </c>
      <c r="C570" s="10" t="s">
        <v>1525</v>
      </c>
      <c r="D570" s="10" t="n">
        <f t="array" ref="D570">INDEX('原始数据'!C$2:C$3689,MATCH($C570,'原始数据'!$B$2:$B$3689,0))</f>
        <v>49</v>
      </c>
      <c r="E570" s="10" t="n">
        <f t="array" ref="E570">INDEX('原始数据'!D$2:D$3689,MATCH($C570,'原始数据'!$B$2:$B$3689,0))</f>
        <v>79</v>
      </c>
      <c r="F570" s="11" t="n">
        <f t="array" ref="F570">INDEX('原始数据'!E$2:E$3689,MATCH($C570,'原始数据'!$B$2:$B$3689,0))</f>
        <v>64</v>
      </c>
      <c r="G570" s="10" t="n">
        <f t="array" ref="G570">INDEX('原始数据'!F$2:F$3689,MATCH($C570,'原始数据'!$B$2:$B$3689,0))</f>
        <v>6</v>
      </c>
      <c r="H570" s="10" t="n">
        <f t="array" ref="H570">INDEX('原始数据'!G$2:G$3689,MATCH($C570,'原始数据'!$B$2:$B$3689,0))</f>
        <v>9</v>
      </c>
      <c r="I570" s="11" t="n">
        <f t="array" ref="I570">INDEX('原始数据'!H$2:H$3689,MATCH($C570,'原始数据'!$B$2:$B$3689,0))</f>
        <v>7.5</v>
      </c>
      <c r="J570" s="16" t="n">
        <f>IF(F570=0,I570*2,F570/$N$603+I570)</f>
        <v>18.9969484187727</v>
      </c>
      <c r="K570" s="18" t="n">
        <f>ROW(K570)-1</f>
        <v>569</v>
      </c>
      <c r="L570" s="18" t="n">
        <f t="array" ref="L570">INDEX(TOP3277!#REF!,MATCH(C570,TOP3277!$B$501:$B$3035,0))</f>
        <v>1974</v>
      </c>
    </row>
    <row r="571" ht="14.399999999999999" customHeight="1">
      <c r="A571" s="10" t="n">
        <v>600</v>
      </c>
      <c r="B571" s="10" t="s">
        <v>1833</v>
      </c>
      <c r="C571" s="10" t="s">
        <v>1834</v>
      </c>
      <c r="D571" s="10" t="n">
        <f t="array" ref="D571">INDEX('原始数据'!C$2:C$3689,MATCH($C571,'原始数据'!$B$2:$B$3689,0))</f>
        <v>37</v>
      </c>
      <c r="E571" s="10" t="n">
        <f t="array" ref="E571">INDEX('原始数据'!D$2:D$3689,MATCH($C571,'原始数据'!$B$2:$B$3689,0))</f>
        <v>57</v>
      </c>
      <c r="F571" s="11" t="n">
        <f t="array" ref="F571">INDEX('原始数据'!E$2:E$3689,MATCH($C571,'原始数据'!$B$2:$B$3689,0))</f>
        <v>47</v>
      </c>
      <c r="G571" s="10" t="n">
        <f t="array" ref="G571">INDEX('原始数据'!F$2:F$3689,MATCH($C571,'原始数据'!$B$2:$B$3689,0))</f>
        <v>9</v>
      </c>
      <c r="H571" s="10" t="n">
        <f t="array" ref="H571">INDEX('原始数据'!G$2:G$3689,MATCH($C571,'原始数据'!$B$2:$B$3689,0))</f>
        <v>12</v>
      </c>
      <c r="I571" s="11" t="n">
        <f t="array" ref="I571">INDEX('原始数据'!H$2:H$3689,MATCH($C571,'原始数据'!$B$2:$B$3689,0))</f>
        <v>10.5</v>
      </c>
      <c r="J571" s="16" t="n">
        <f>IF(F571=0,I571*2,F571/$N$603+I571)</f>
        <v>18.9430714950362</v>
      </c>
      <c r="K571" s="18" t="n">
        <f>ROW(K571)-1</f>
        <v>570</v>
      </c>
      <c r="L571" s="18" t="n">
        <f t="array" ref="L571">INDEX(TOP3277!#REF!,MATCH(C571,TOP3277!$B$501:$B$3035,0))</f>
        <v>1982</v>
      </c>
    </row>
    <row r="572" ht="14.399999999999999" customHeight="1">
      <c r="A572" s="10" t="n">
        <v>436</v>
      </c>
      <c r="B572" s="10" t="s">
        <v>1831</v>
      </c>
      <c r="C572" s="10" t="s">
        <v>1832</v>
      </c>
      <c r="D572" s="10" t="n">
        <f t="array" ref="D572">INDEX('原始数据'!C$2:C$3689,MATCH($C572,'原始数据'!$B$2:$B$3689,0))</f>
        <v>50</v>
      </c>
      <c r="E572" s="10" t="n">
        <f t="array" ref="E572">INDEX('原始数据'!D$2:D$3689,MATCH($C572,'原始数据'!$B$2:$B$3689,0))</f>
        <v>82</v>
      </c>
      <c r="F572" s="11" t="n">
        <f t="array" ref="F572">INDEX('原始数据'!E$2:E$3689,MATCH($C572,'原始数据'!$B$2:$B$3689,0))</f>
        <v>66</v>
      </c>
      <c r="G572" s="10" t="n">
        <f t="array" ref="G572">INDEX('原始数据'!F$2:F$3689,MATCH($C572,'原始数据'!$B$2:$B$3689,0))</f>
        <v>6</v>
      </c>
      <c r="H572" s="10" t="n">
        <f t="array" ref="H572">INDEX('原始数据'!G$2:G$3689,MATCH($C572,'原始数据'!$B$2:$B$3689,0))</f>
        <v>7</v>
      </c>
      <c r="I572" s="11" t="n">
        <f t="array" ref="I572">INDEX('原始数据'!H$2:H$3689,MATCH($C572,'原始数据'!$B$2:$B$3689,0))</f>
        <v>6.5</v>
      </c>
      <c r="J572" s="16" t="n">
        <f>IF(F572=0,I572*2,F572/$N$603+I572)</f>
        <v>18.3562280568593</v>
      </c>
      <c r="K572" s="18" t="n">
        <f>ROW(K572)-1</f>
        <v>571</v>
      </c>
      <c r="L572" s="18" t="n">
        <f t="array" ref="L572">INDEX(TOP3277!#REF!,MATCH(C572,TOP3277!$B$501:$B$3035,0))</f>
        <v>1981</v>
      </c>
    </row>
    <row r="573" ht="14.399999999999999" customHeight="1">
      <c r="A573" s="10" t="n">
        <v>569</v>
      </c>
      <c r="B573" s="10" t="s">
        <v>1839</v>
      </c>
      <c r="C573" s="10" t="s">
        <v>1840</v>
      </c>
      <c r="D573" s="10" t="n">
        <f t="array" ref="D573">INDEX('原始数据'!C$2:C$3689,MATCH($C573,'原始数据'!$B$2:$B$3689,0))</f>
        <v>49</v>
      </c>
      <c r="E573" s="10" t="n">
        <f t="array" ref="E573">INDEX('原始数据'!D$2:D$3689,MATCH($C573,'原始数据'!$B$2:$B$3689,0))</f>
        <v>77</v>
      </c>
      <c r="F573" s="11" t="n">
        <f t="array" ref="F573">INDEX('原始数据'!E$2:E$3689,MATCH($C573,'原始数据'!$B$2:$B$3689,0))</f>
        <v>63</v>
      </c>
      <c r="G573" s="10" t="n">
        <f t="array" ref="G573">INDEX('原始数据'!F$2:F$3689,MATCH($C573,'原始数据'!$B$2:$B$3689,0))</f>
        <v>6</v>
      </c>
      <c r="H573" s="10" t="n">
        <f t="array" ref="H573">INDEX('原始数据'!G$2:G$3689,MATCH($C573,'原始数据'!$B$2:$B$3689,0))</f>
        <v>8</v>
      </c>
      <c r="I573" s="11" t="n">
        <f t="array" ref="I573">INDEX('原始数据'!H$2:H$3689,MATCH($C573,'原始数据'!$B$2:$B$3689,0))</f>
        <v>7</v>
      </c>
      <c r="J573" s="16" t="n">
        <f>IF(F573=0,I573*2,F573/$N$603+I573)</f>
        <v>18.3173085997294</v>
      </c>
      <c r="K573" s="18" t="n">
        <f>ROW(K573)-1</f>
        <v>572</v>
      </c>
      <c r="L573" s="18" t="n">
        <f t="array" ref="L573">INDEX(TOP3277!#REF!,MATCH(C573,TOP3277!$B$501:$B$3035,0))</f>
        <v>1985</v>
      </c>
    </row>
    <row r="574" ht="14.399999999999999" customHeight="1">
      <c r="A574" s="10" t="n">
        <v>521</v>
      </c>
      <c r="B574" s="10" t="s">
        <v>1431</v>
      </c>
      <c r="C574" s="10" t="s">
        <v>1432</v>
      </c>
      <c r="D574" s="10" t="n">
        <f t="array" ref="D574">INDEX('原始数据'!C$2:C$3689,MATCH($C574,'原始数据'!$B$2:$B$3689,0))</f>
        <v>47</v>
      </c>
      <c r="E574" s="10" t="n">
        <f t="array" ref="E574">INDEX('原始数据'!D$2:D$3689,MATCH($C574,'原始数据'!$B$2:$B$3689,0))</f>
        <v>77</v>
      </c>
      <c r="F574" s="11" t="n">
        <f t="array" ref="F574">INDEX('原始数据'!E$2:E$3689,MATCH($C574,'原始数据'!$B$2:$B$3689,0))</f>
        <v>62</v>
      </c>
      <c r="G574" s="10" t="n">
        <f t="array" ref="G574">INDEX('原始数据'!F$2:F$3689,MATCH($C574,'原始数据'!$B$2:$B$3689,0))</f>
        <v>6</v>
      </c>
      <c r="H574" s="10" t="n">
        <f t="array" ref="H574">INDEX('原始数据'!G$2:G$3689,MATCH($C574,'原始数据'!$B$2:$B$3689,0))</f>
        <v>8</v>
      </c>
      <c r="I574" s="11" t="n">
        <f t="array" ref="I574">INDEX('原始数据'!H$2:H$3689,MATCH($C574,'原始数据'!$B$2:$B$3689,0))</f>
        <v>7</v>
      </c>
      <c r="J574" s="16" t="n">
        <f>IF(F574=0,I574*2,F574/$N$603+I574)</f>
        <v>18.137668780686</v>
      </c>
      <c r="K574" s="18" t="n">
        <f>ROW(K574)-1</f>
        <v>573</v>
      </c>
      <c r="L574" s="18" t="n">
        <f t="array" ref="L574">INDEX(TOP3277!#REF!,MATCH(C574,TOP3277!$B$501:$B$3035,0))</f>
        <v>1988</v>
      </c>
    </row>
    <row r="575" ht="14.399999999999999" customHeight="1">
      <c r="A575" s="10" t="n">
        <v>595</v>
      </c>
      <c r="B575" s="10" t="s">
        <v>1885</v>
      </c>
      <c r="C575" s="10" t="s">
        <v>1886</v>
      </c>
      <c r="D575" s="10" t="n">
        <f t="array" ref="D575">INDEX('原始数据'!C$2:C$3689,MATCH($C575,'原始数据'!$B$2:$B$3689,0))</f>
        <v>26</v>
      </c>
      <c r="E575" s="10" t="n">
        <f t="array" ref="E575">INDEX('原始数据'!D$2:D$3689,MATCH($C575,'原始数据'!$B$2:$B$3689,0))</f>
        <v>42</v>
      </c>
      <c r="F575" s="11" t="n">
        <f t="array" ref="F575">INDEX('原始数据'!E$2:E$3689,MATCH($C575,'原始数据'!$B$2:$B$3689,0))</f>
        <v>34</v>
      </c>
      <c r="G575" s="10" t="n">
        <f t="array" ref="G575">INDEX('原始数据'!F$2:F$3689,MATCH($C575,'原始数据'!$B$2:$B$3689,0))</f>
        <v>9</v>
      </c>
      <c r="H575" s="10" t="n">
        <f t="array" ref="H575">INDEX('原始数据'!G$2:G$3689,MATCH($C575,'原始数据'!$B$2:$B$3689,0))</f>
        <v>13</v>
      </c>
      <c r="I575" s="11" t="n">
        <f t="array" ref="I575">INDEX('原始数据'!H$2:H$3689,MATCH($C575,'原始数据'!$B$2:$B$3689,0))</f>
        <v>11</v>
      </c>
      <c r="J575" s="16" t="n">
        <f>IF(F575=0,I575*2,F575/$N$603+I575)</f>
        <v>17.107753847473</v>
      </c>
      <c r="K575" s="18" t="n">
        <f>ROW(K575)-1</f>
        <v>574</v>
      </c>
      <c r="L575" s="18" t="n">
        <f t="array" ref="L575">INDEX(TOP3277!#REF!,MATCH(C575,TOP3277!$B$501:$B$3035,0))</f>
        <v>2015</v>
      </c>
    </row>
    <row r="576" ht="14.399999999999999" customHeight="1">
      <c r="A576" s="10" t="n">
        <v>353</v>
      </c>
      <c r="B576" s="10" t="s">
        <v>8477</v>
      </c>
      <c r="C576" s="10" t="s">
        <v>8478</v>
      </c>
      <c r="D576" s="10" t="n">
        <v>66</v>
      </c>
      <c r="E576" s="10" t="n">
        <v>106</v>
      </c>
      <c r="F576" s="11" t="n">
        <f>SUM(D576+E576)/2</f>
        <v>86</v>
      </c>
      <c r="G576" s="18" t="n">
        <v>1</v>
      </c>
      <c r="H576" s="18" t="n">
        <v>1</v>
      </c>
      <c r="I576" s="11" t="n">
        <f>SUM(G576+H576)/2</f>
        <v>1</v>
      </c>
      <c r="J576" s="16" t="n">
        <f>IF(F576=0,I576*2,F576/$N$603+I576)</f>
        <v>16.4490244377258</v>
      </c>
      <c r="K576" s="18" t="n">
        <f>ROW(K576)-1</f>
        <v>575</v>
      </c>
      <c r="L576" s="18" t="e">
        <f t="array" ref="L576">INDEX(TOP3277!#REF!,MATCH(C576,TOP3277!$B$501:$B$3035,0))</f>
        <v>#N/A</v>
      </c>
    </row>
    <row r="577" ht="14.399999999999999" customHeight="1">
      <c r="A577" s="10" t="n">
        <v>585</v>
      </c>
      <c r="B577" s="10" t="s">
        <v>1897</v>
      </c>
      <c r="C577" s="10" t="s">
        <v>1898</v>
      </c>
      <c r="D577" s="10" t="n">
        <f t="array" ref="D577">INDEX('原始数据'!C$2:C$3689,MATCH($C577,'原始数据'!$B$2:$B$3689,0))</f>
        <v>23</v>
      </c>
      <c r="E577" s="10" t="n">
        <f t="array" ref="E577">INDEX('原始数据'!D$2:D$3689,MATCH($C577,'原始数据'!$B$2:$B$3689,0))</f>
        <v>37</v>
      </c>
      <c r="F577" s="11" t="n">
        <f t="array" ref="F577">INDEX('原始数据'!E$2:E$3689,MATCH($C577,'原始数据'!$B$2:$B$3689,0))</f>
        <v>30</v>
      </c>
      <c r="G577" s="10" t="n">
        <f t="array" ref="G577">INDEX('原始数据'!F$2:F$3689,MATCH($C577,'原始数据'!$B$2:$B$3689,0))</f>
        <v>5</v>
      </c>
      <c r="H577" s="10" t="n">
        <f t="array" ref="H577">INDEX('原始数据'!G$2:G$3689,MATCH($C577,'原始数据'!$B$2:$B$3689,0))</f>
        <v>17</v>
      </c>
      <c r="I577" s="11" t="n">
        <f t="array" ref="I577">INDEX('原始数据'!H$2:H$3689,MATCH($C577,'原始数据'!$B$2:$B$3689,0))</f>
        <v>11</v>
      </c>
      <c r="J577" s="16" t="n">
        <f>IF(F577=0,I577*2,F577/$N$603+I577)</f>
        <v>16.3891945712997</v>
      </c>
      <c r="K577" s="18" t="n">
        <f>ROW(K577)-1</f>
        <v>576</v>
      </c>
      <c r="L577" s="18" t="n">
        <f t="array" ref="L577">INDEX(TOP3277!#REF!,MATCH(C577,TOP3277!$B$501:$B$3035,0))</f>
        <v>2022</v>
      </c>
    </row>
    <row r="578" ht="14.399999999999999" customHeight="1">
      <c r="A578" s="10" t="n">
        <v>584</v>
      </c>
      <c r="B578" s="10" t="s">
        <v>1899</v>
      </c>
      <c r="C578" s="10" t="s">
        <v>7605</v>
      </c>
      <c r="D578" s="10" t="n">
        <f t="array" ref="D578">INDEX('原始数据'!C$2:C$3689,MATCH($C578,'原始数据'!$B$2:$B$3689,0))</f>
        <v>20</v>
      </c>
      <c r="E578" s="10" t="n">
        <f t="array" ref="E578">INDEX('原始数据'!D$2:D$3689,MATCH($C578,'原始数据'!$B$2:$B$3689,0))</f>
        <v>34</v>
      </c>
      <c r="F578" s="11" t="n">
        <f t="array" ref="F578">INDEX('原始数据'!E$2:E$3689,MATCH($C578,'原始数据'!$B$2:$B$3689,0))</f>
        <v>27</v>
      </c>
      <c r="G578" s="10" t="n">
        <f t="array" ref="G578">INDEX('原始数据'!F$2:F$3689,MATCH($C578,'原始数据'!$B$2:$B$3689,0))</f>
        <v>4</v>
      </c>
      <c r="H578" s="10" t="n">
        <f t="array" ref="H578">INDEX('原始数据'!G$2:G$3689,MATCH($C578,'原始数据'!$B$2:$B$3689,0))</f>
        <v>19</v>
      </c>
      <c r="I578" s="11" t="n">
        <f t="array" ref="I578">INDEX('原始数据'!H$2:H$3689,MATCH($C578,'原始数据'!$B$2:$B$3689,0))</f>
        <v>11.5</v>
      </c>
      <c r="J578" s="16" t="n">
        <f>IF(F578=0,I578*2,F578/$N$603+I578)</f>
        <v>16.3502751141697</v>
      </c>
      <c r="K578" s="18" t="n">
        <f>ROW(K578)-1</f>
        <v>577</v>
      </c>
      <c r="L578" s="18" t="e">
        <f t="array" ref="L578">INDEX(TOP3277!#REF!,MATCH(C578,TOP3277!$B$501:$B$3035,0))</f>
        <v>#N/A</v>
      </c>
    </row>
    <row r="579" ht="14.399999999999999" customHeight="1">
      <c r="A579" s="10" t="n">
        <v>568</v>
      </c>
      <c r="B579" s="10" t="s">
        <v>1883</v>
      </c>
      <c r="C579" s="10" t="s">
        <v>1884</v>
      </c>
      <c r="D579" s="10" t="n">
        <f t="array" ref="D579">INDEX('原始数据'!C$2:C$3689,MATCH($C579,'原始数据'!$B$2:$B$3689,0))</f>
        <v>51</v>
      </c>
      <c r="E579" s="10" t="n">
        <f t="array" ref="E579">INDEX('原始数据'!D$2:D$3689,MATCH($C579,'原始数据'!$B$2:$B$3689,0))</f>
        <v>83</v>
      </c>
      <c r="F579" s="11" t="n">
        <f t="array" ref="F579">INDEX('原始数据'!E$2:E$3689,MATCH($C579,'原始数据'!$B$2:$B$3689,0))</f>
        <v>67</v>
      </c>
      <c r="G579" s="10" t="n">
        <f t="array" ref="G579">INDEX('原始数据'!F$2:F$3689,MATCH($C579,'原始数据'!$B$2:$B$3689,0))</f>
        <v>2</v>
      </c>
      <c r="H579" s="10" t="n">
        <f t="array" ref="H579">INDEX('原始数据'!G$2:G$3689,MATCH($C579,'原始数据'!$B$2:$B$3689,0))</f>
        <v>6</v>
      </c>
      <c r="I579" s="11" t="n">
        <f t="array" ref="I579">INDEX('原始数据'!H$2:H$3689,MATCH($C579,'原始数据'!$B$2:$B$3689,0))</f>
        <v>4</v>
      </c>
      <c r="J579" s="16" t="n">
        <f>IF(F579=0,I579*2,F579/$N$603+I579)</f>
        <v>16.0358678759026</v>
      </c>
      <c r="K579" s="18" t="n">
        <f>ROW(K579)-1</f>
        <v>578</v>
      </c>
      <c r="L579" s="18" t="n">
        <f t="array" ref="L579">INDEX(TOP3277!#REF!,MATCH(C579,TOP3277!$B$501:$B$3035,0))</f>
        <v>2014</v>
      </c>
    </row>
    <row r="580" ht="14.399999999999999" customHeight="1">
      <c r="A580" s="10" t="n">
        <v>461</v>
      </c>
      <c r="B580" s="10" t="s">
        <v>1486</v>
      </c>
      <c r="C580" s="10" t="s">
        <v>1487</v>
      </c>
      <c r="D580" s="10" t="n">
        <f t="array" ref="D580">INDEX('原始数据'!C$2:C$3689,MATCH($C580,'原始数据'!$B$2:$B$3689,0))</f>
        <v>67</v>
      </c>
      <c r="E580" s="10" t="n">
        <f t="array" ref="E580">INDEX('原始数据'!D$2:D$3689,MATCH($C580,'原始数据'!$B$2:$B$3689,0))</f>
        <v>107</v>
      </c>
      <c r="F580" s="11" t="n">
        <f t="array" ref="F580">INDEX('原始数据'!E$2:E$3689,MATCH($C580,'原始数据'!$B$2:$B$3689,0))</f>
        <v>87</v>
      </c>
      <c r="G580" s="10" t="n">
        <f t="array" ref="G580">INDEX('原始数据'!F$2:F$3689,MATCH($C580,'原始数据'!$B$2:$B$3689,0))</f>
        <v>0</v>
      </c>
      <c r="H580" s="10" t="n">
        <f t="array" ref="H580">INDEX('原始数据'!G$2:G$3689,MATCH($C580,'原始数据'!$B$2:$B$3689,0))</f>
        <v>0</v>
      </c>
      <c r="I580" s="11" t="n">
        <f t="array" ref="I580">INDEX('原始数据'!H$2:H$3689,MATCH($C580,'原始数据'!$B$2:$B$3689,0))</f>
        <v>0</v>
      </c>
      <c r="J580" s="16" t="n">
        <f>IF(F580=0,I580*2,F580/$N$603+I580)</f>
        <v>15.6286642567691</v>
      </c>
      <c r="K580" s="18" t="n">
        <f>ROW(K580)-1</f>
        <v>579</v>
      </c>
      <c r="L580" s="18" t="n">
        <f t="array" ref="L580">INDEX(TOP3277!#REF!,MATCH(C580,TOP3277!$B$501:$B$3035,0))</f>
        <v>2009</v>
      </c>
    </row>
    <row r="581" ht="14.399999999999999" customHeight="1">
      <c r="A581" s="10" t="n">
        <v>392</v>
      </c>
      <c r="B581" s="10" t="s">
        <v>1921</v>
      </c>
      <c r="C581" s="10" t="s">
        <v>1922</v>
      </c>
      <c r="D581" s="10" t="n">
        <v>24</v>
      </c>
      <c r="E581" s="10" t="n">
        <v>38</v>
      </c>
      <c r="F581" s="11" t="n">
        <f>SUM(D581+E581)/2</f>
        <v>31</v>
      </c>
      <c r="G581" s="18" t="n">
        <v>7</v>
      </c>
      <c r="H581" s="18" t="n">
        <v>11</v>
      </c>
      <c r="I581" s="11" t="n">
        <f>SUM(G581+H581)/2</f>
        <v>9</v>
      </c>
      <c r="J581" s="16" t="n">
        <f>IF(F581=0,I581*2,F581/$N$603+I581)</f>
        <v>14.568834390343</v>
      </c>
      <c r="K581" s="18" t="n">
        <f>ROW(K581)-1</f>
        <v>580</v>
      </c>
      <c r="L581" s="18" t="n">
        <f t="array" ref="L581">INDEX(TOP3277!#REF!,MATCH(C581,TOP3277!$B$501:$B$3035,0))</f>
        <v>2036</v>
      </c>
    </row>
    <row r="582" ht="14.399999999999999" customHeight="1">
      <c r="A582" s="10" t="n">
        <v>555</v>
      </c>
      <c r="B582" s="10" t="s">
        <v>1917</v>
      </c>
      <c r="C582" s="10" t="s">
        <v>7440</v>
      </c>
      <c r="D582" s="10" t="n">
        <f t="array" ref="D582">INDEX('原始数据'!C$2:C$3689,MATCH($C582,'原始数据'!$B$2:$B$3689,0))</f>
        <v>34</v>
      </c>
      <c r="E582" s="10" t="n">
        <f t="array" ref="E582">INDEX('原始数据'!D$2:D$3689,MATCH($C582,'原始数据'!$B$2:$B$3689,0))</f>
        <v>54</v>
      </c>
      <c r="F582" s="11" t="n">
        <f t="array" ref="F582">INDEX('原始数据'!E$2:E$3689,MATCH($C582,'原始数据'!$B$2:$B$3689,0))</f>
        <v>44</v>
      </c>
      <c r="G582" s="10" t="n">
        <f t="array" ref="G582">INDEX('原始数据'!F$2:F$3689,MATCH($C582,'原始数据'!$B$2:$B$3689,0))</f>
        <v>5</v>
      </c>
      <c r="H582" s="10" t="n">
        <f t="array" ref="H582">INDEX('原始数据'!G$2:G$3689,MATCH($C582,'原始数据'!$B$2:$B$3689,0))</f>
        <v>7</v>
      </c>
      <c r="I582" s="11" t="n">
        <f t="array" ref="I582">INDEX('原始数据'!H$2:H$3689,MATCH($C582,'原始数据'!$B$2:$B$3689,0))</f>
        <v>6</v>
      </c>
      <c r="J582" s="16" t="n">
        <f>IF(F582=0,I582*2,F582/$N$603+I582)</f>
        <v>13.9041520379062</v>
      </c>
      <c r="K582" s="18" t="n">
        <f>ROW(K582)-1</f>
        <v>581</v>
      </c>
      <c r="L582" s="18" t="e">
        <f t="array" ref="L582">INDEX(TOP3277!#REF!,MATCH(C582,TOP3277!$B$501:$B$3035,0))</f>
        <v>#N/A</v>
      </c>
    </row>
    <row r="583" ht="14.399999999999999" customHeight="1">
      <c r="A583" s="10" t="n">
        <v>579</v>
      </c>
      <c r="B583" s="10" t="s">
        <v>2024</v>
      </c>
      <c r="C583" s="10" t="s">
        <v>2025</v>
      </c>
      <c r="D583" s="10" t="n">
        <f t="array" ref="D583">INDEX('原始数据'!C$2:C$3689,MATCH($C583,'原始数据'!$B$2:$B$3689,0))</f>
        <v>51</v>
      </c>
      <c r="E583" s="10" t="n">
        <f t="array" ref="E583">INDEX('原始数据'!D$2:D$3689,MATCH($C583,'原始数据'!$B$2:$B$3689,0))</f>
        <v>81</v>
      </c>
      <c r="F583" s="11" t="n">
        <f t="array" ref="F583">INDEX('原始数据'!E$2:E$3689,MATCH($C583,'原始数据'!$B$2:$B$3689,0))</f>
        <v>66</v>
      </c>
      <c r="G583" s="10" t="n">
        <f t="array" ref="G583">INDEX('原始数据'!F$2:F$3689,MATCH($C583,'原始数据'!$B$2:$B$3689,0))</f>
        <v>0</v>
      </c>
      <c r="H583" s="10" t="n">
        <f t="array" ref="H583">INDEX('原始数据'!G$2:G$3689,MATCH($C583,'原始数据'!$B$2:$B$3689,0))</f>
        <v>0</v>
      </c>
      <c r="I583" s="11" t="n">
        <f t="array" ref="I583">INDEX('原始数据'!H$2:H$3689,MATCH($C583,'原始数据'!$B$2:$B$3689,0))</f>
        <v>0</v>
      </c>
      <c r="J583" s="16" t="n">
        <f>IF(F583=0,I583*2,F583/$N$603+I583)</f>
        <v>11.8562280568593</v>
      </c>
      <c r="K583" s="18" t="n">
        <f>ROW(K583)-1</f>
        <v>582</v>
      </c>
      <c r="L583" s="18" t="n">
        <f t="array" ref="L583">INDEX(TOP3277!#REF!,MATCH(C583,TOP3277!$B$501:$B$3035,0))</f>
        <v>2053</v>
      </c>
    </row>
    <row r="584" ht="14.399999999999999" customHeight="1">
      <c r="A584" s="10" t="n">
        <v>594</v>
      </c>
      <c r="B584" s="10" t="s">
        <v>8479</v>
      </c>
      <c r="C584" s="10" t="s">
        <v>8480</v>
      </c>
      <c r="D584" s="10" t="n">
        <v>41</v>
      </c>
      <c r="E584" s="10" t="n">
        <v>65</v>
      </c>
      <c r="F584" s="11" t="n">
        <f>SUM(D584+E584)/2</f>
        <v>53</v>
      </c>
      <c r="G584" s="18" t="n">
        <v>2</v>
      </c>
      <c r="H584" s="18" t="n">
        <v>2</v>
      </c>
      <c r="I584" s="11" t="n">
        <f>SUM(G584+H584)/2</f>
        <v>2</v>
      </c>
      <c r="J584" s="16" t="n">
        <f>IF(F584=0,I584*2,F584/$N$603+I584)</f>
        <v>11.5209104092961</v>
      </c>
      <c r="K584" s="18" t="n">
        <f>ROW(K584)-1</f>
        <v>583</v>
      </c>
      <c r="L584" s="18" t="e">
        <f t="array" ref="L584">INDEX(TOP3277!#REF!,MATCH(C584,TOP3277!$B$501:$B$3035,0))</f>
        <v>#N/A</v>
      </c>
    </row>
    <row r="585" ht="14.399999999999999" customHeight="1">
      <c r="A585" s="10" t="n">
        <v>351</v>
      </c>
      <c r="B585" s="10" t="s">
        <v>8481</v>
      </c>
      <c r="C585" s="10" t="s">
        <v>8482</v>
      </c>
      <c r="D585" s="10" t="n">
        <v>2</v>
      </c>
      <c r="E585" s="10" t="n">
        <v>2</v>
      </c>
      <c r="F585" s="11" t="n">
        <f>SUM(D585+E585)/2</f>
        <v>2</v>
      </c>
      <c r="G585" s="18" t="n">
        <v>3</v>
      </c>
      <c r="H585" s="18" t="n">
        <v>15</v>
      </c>
      <c r="I585" s="11" t="n">
        <f>SUM(G585+H585)/2</f>
        <v>9</v>
      </c>
      <c r="J585" s="16" t="n">
        <f>IF(F585=0,I585*2,F585/$N$603+I585)</f>
        <v>9.35927963808665</v>
      </c>
      <c r="K585" s="18" t="n">
        <f>ROW(K585)-1</f>
        <v>584</v>
      </c>
      <c r="L585" s="18" t="e">
        <f t="array" ref="L585">INDEX(TOP3277!#REF!,MATCH(C585,TOP3277!$B$501:$B$3035,0))</f>
        <v>#N/A</v>
      </c>
    </row>
    <row r="586" ht="14.399999999999999" customHeight="1">
      <c r="A586" s="10" t="n">
        <v>599</v>
      </c>
      <c r="B586" s="10" t="s">
        <v>1595</v>
      </c>
      <c r="C586" s="10" t="s">
        <v>1596</v>
      </c>
      <c r="D586" s="10" t="n">
        <f t="array" ref="D586">INDEX('原始数据'!C$2:C$3689,MATCH($C586,'原始数据'!$B$2:$B$3689,0))</f>
        <v>27</v>
      </c>
      <c r="E586" s="10" t="n">
        <f t="array" ref="E586">INDEX('原始数据'!D$2:D$3689,MATCH($C586,'原始数据'!$B$2:$B$3689,0))</f>
        <v>43</v>
      </c>
      <c r="F586" s="11" t="n">
        <f t="array" ref="F586">INDEX('原始数据'!E$2:E$3689,MATCH($C586,'原始数据'!$B$2:$B$3689,0))</f>
        <v>35</v>
      </c>
      <c r="G586" s="10" t="n">
        <f t="array" ref="G586">INDEX('原始数据'!F$2:F$3689,MATCH($C586,'原始数据'!$B$2:$B$3689,0))</f>
        <v>3</v>
      </c>
      <c r="H586" s="10" t="n">
        <f t="array" ref="H586">INDEX('原始数据'!G$2:G$3689,MATCH($C586,'原始数据'!$B$2:$B$3689,0))</f>
        <v>3</v>
      </c>
      <c r="I586" s="11" t="n">
        <f t="array" ref="I586">INDEX('原始数据'!H$2:H$3689,MATCH($C586,'原始数据'!$B$2:$B$3689,0))</f>
        <v>3</v>
      </c>
      <c r="J586" s="16" t="n">
        <f>IF(F586=0,I586*2,F586/$N$603+I586)</f>
        <v>9.28739366651631</v>
      </c>
      <c r="K586" s="18" t="n">
        <f>ROW(K586)-1</f>
        <v>585</v>
      </c>
      <c r="L586" s="18" t="n">
        <f t="array" ref="L586">INDEX(TOP3277!#REF!,MATCH(C586,TOP3277!$B$501:$B$3035,0))</f>
        <v>2101</v>
      </c>
    </row>
    <row r="587" ht="14.399999999999999" customHeight="1">
      <c r="A587" s="10" t="n">
        <v>566</v>
      </c>
      <c r="B587" s="10" t="s">
        <v>1593</v>
      </c>
      <c r="C587" s="10" t="s">
        <v>1594</v>
      </c>
      <c r="D587" s="10" t="n">
        <f t="array" ref="D587">INDEX('原始数据'!C$2:C$3689,MATCH($C587,'原始数据'!$B$2:$B$3689,0))</f>
        <v>34</v>
      </c>
      <c r="E587" s="10" t="n">
        <f t="array" ref="E587">INDEX('原始数据'!D$2:D$3689,MATCH($C587,'原始数据'!$B$2:$B$3689,0))</f>
        <v>54</v>
      </c>
      <c r="F587" s="11" t="n">
        <f t="array" ref="F587">INDEX('原始数据'!E$2:E$3689,MATCH($C587,'原始数据'!$B$2:$B$3689,0))</f>
        <v>44</v>
      </c>
      <c r="G587" s="10" t="n">
        <f t="array" ref="G587">INDEX('原始数据'!F$2:F$3689,MATCH($C587,'原始数据'!$B$2:$B$3689,0))</f>
        <v>0</v>
      </c>
      <c r="H587" s="10" t="n">
        <f t="array" ref="H587">INDEX('原始数据'!G$2:G$3689,MATCH($C587,'原始数据'!$B$2:$B$3689,0))</f>
        <v>0</v>
      </c>
      <c r="I587" s="11" t="n">
        <f t="array" ref="I587">INDEX('原始数据'!H$2:H$3689,MATCH($C587,'原始数据'!$B$2:$B$3689,0))</f>
        <v>0</v>
      </c>
      <c r="J587" s="16" t="n">
        <f>IF(F587=0,I587*2,F587/$N$603+I587)</f>
        <v>7.90415203790622</v>
      </c>
      <c r="K587" s="18" t="n">
        <f>ROW(K587)-1</f>
        <v>586</v>
      </c>
      <c r="L587" s="18" t="n">
        <f t="array" ref="L587">INDEX(TOP3277!#REF!,MATCH(C587,TOP3277!$B$501:$B$3035,0))</f>
        <v>2120</v>
      </c>
    </row>
    <row r="588" ht="14.399999999999999" customHeight="1">
      <c r="A588" s="10" t="n">
        <v>517</v>
      </c>
      <c r="B588" s="10" t="s">
        <v>6103</v>
      </c>
      <c r="C588" s="10" t="s">
        <v>6104</v>
      </c>
      <c r="D588" s="10" t="n">
        <f t="array" ref="D588">INDEX('原始数据'!C$2:C$3689,MATCH($C588,'原始数据'!$B$2:$B$3689,0))</f>
        <v>12</v>
      </c>
      <c r="E588" s="10" t="n">
        <f t="array" ref="E588">INDEX('原始数据'!D$2:D$3689,MATCH($C588,'原始数据'!$B$2:$B$3689,0))</f>
        <v>18</v>
      </c>
      <c r="F588" s="11" t="n">
        <f t="array" ref="F588">INDEX('原始数据'!E$2:E$3689,MATCH($C588,'原始数据'!$B$2:$B$3689,0))</f>
        <v>15</v>
      </c>
      <c r="G588" s="10" t="n">
        <f t="array" ref="G588">INDEX('原始数据'!F$2:F$3689,MATCH($C588,'原始数据'!$B$2:$B$3689,0))</f>
        <v>4</v>
      </c>
      <c r="H588" s="10" t="n">
        <f t="array" ref="H588">INDEX('原始数据'!G$2:G$3689,MATCH($C588,'原始数据'!$B$2:$B$3689,0))</f>
        <v>6</v>
      </c>
      <c r="I588" s="11" t="n">
        <f t="array" ref="I588">INDEX('原始数据'!H$2:H$3689,MATCH($C588,'原始数据'!$B$2:$B$3689,0))</f>
        <v>5</v>
      </c>
      <c r="J588" s="16" t="n">
        <f>IF(F588=0,I588*2,F588/$N$603+I588)</f>
        <v>7.69459728564985</v>
      </c>
      <c r="K588" s="18" t="n">
        <f>ROW(K588)-1</f>
        <v>587</v>
      </c>
      <c r="L588" s="18" t="e">
        <f t="array" ref="L588">INDEX(TOP3277!#REF!,MATCH(C588,TOP3277!$B$501:$B$3035,0))</f>
        <v>#N/A</v>
      </c>
    </row>
    <row r="589" ht="14.399999999999999" customHeight="1">
      <c r="A589" s="10" t="n">
        <v>454</v>
      </c>
      <c r="B589" s="10" t="s">
        <v>8483</v>
      </c>
      <c r="C589" s="10" t="s">
        <v>8484</v>
      </c>
      <c r="D589" s="10" t="n">
        <v>6</v>
      </c>
      <c r="E589" s="10" t="n">
        <v>10</v>
      </c>
      <c r="F589" s="11" t="n">
        <f>SUM(D589+E589)/2</f>
        <v>8</v>
      </c>
      <c r="G589" s="18" t="n">
        <v>5</v>
      </c>
      <c r="H589" s="18" t="n">
        <v>7</v>
      </c>
      <c r="I589" s="11" t="n">
        <f>SUM(G589+H589)/2</f>
        <v>6</v>
      </c>
      <c r="J589" s="16" t="n">
        <f>IF(F589=0,I589*2,F589/$N$603+I589)</f>
        <v>7.43711855234658</v>
      </c>
      <c r="K589" s="18" t="n">
        <f>ROW(K589)-1</f>
        <v>588</v>
      </c>
      <c r="L589" s="18" t="e">
        <f t="array" ref="L589">INDEX(TOP3277!#REF!,MATCH(C589,TOP3277!$B$501:$B$3035,0))</f>
        <v>#N/A</v>
      </c>
    </row>
    <row r="590" ht="14.399999999999999" customHeight="1">
      <c r="A590" s="10" t="n">
        <v>393</v>
      </c>
      <c r="B590" s="10" t="s">
        <v>6677</v>
      </c>
      <c r="C590" s="10" t="s">
        <v>6678</v>
      </c>
      <c r="D590" s="10" t="n">
        <f t="array" ref="D590">INDEX('原始数据'!C$2:C$3689,MATCH($C590,'原始数据'!$B$2:$B$3689,0))</f>
        <v>10</v>
      </c>
      <c r="E590" s="10" t="n">
        <f t="array" ref="E590">INDEX('原始数据'!D$2:D$3689,MATCH($C590,'原始数据'!$B$2:$B$3689,0))</f>
        <v>16</v>
      </c>
      <c r="F590" s="11" t="n">
        <f t="array" ref="F590">INDEX('原始数据'!E$2:E$3689,MATCH($C590,'原始数据'!$B$2:$B$3689,0))</f>
        <v>13</v>
      </c>
      <c r="G590" s="10" t="n">
        <f t="array" ref="G590">INDEX('原始数据'!F$2:F$3689,MATCH($C590,'原始数据'!$B$2:$B$3689,0))</f>
        <v>4</v>
      </c>
      <c r="H590" s="10" t="n">
        <f t="array" ref="H590">INDEX('原始数据'!G$2:G$3689,MATCH($C590,'原始数据'!$B$2:$B$3689,0))</f>
        <v>6</v>
      </c>
      <c r="I590" s="11" t="n">
        <f t="array" ref="I590">INDEX('原始数据'!H$2:H$3689,MATCH($C590,'原始数据'!$B$2:$B$3689,0))</f>
        <v>5</v>
      </c>
      <c r="J590" s="16" t="n">
        <f>IF(F590=0,I590*2,F590/$N$603+I590)</f>
        <v>7.3353176475632</v>
      </c>
      <c r="K590" s="18" t="n">
        <f>ROW(K590)-1</f>
        <v>589</v>
      </c>
      <c r="L590" s="18" t="e">
        <f t="array" ref="L590">INDEX(TOP3277!#REF!,MATCH(C590,TOP3277!$B$501:$B$3035,0))</f>
        <v>#N/A</v>
      </c>
    </row>
    <row r="591" ht="14.399999999999999" customHeight="1">
      <c r="A591" s="10" t="n">
        <v>562</v>
      </c>
      <c r="B591" s="10" t="s">
        <v>1597</v>
      </c>
      <c r="C591" s="10" t="s">
        <v>7685</v>
      </c>
      <c r="D591" s="10" t="n">
        <f t="array" ref="D591">INDEX('原始数据'!C$2:C$3689,MATCH($C591,'原始数据'!$B$2:$B$3689,0))</f>
        <v>23</v>
      </c>
      <c r="E591" s="10" t="n">
        <f t="array" ref="E591">INDEX('原始数据'!D$2:D$3689,MATCH($C591,'原始数据'!$B$2:$B$3689,0))</f>
        <v>37</v>
      </c>
      <c r="F591" s="11" t="n">
        <f t="array" ref="F591">INDEX('原始数据'!E$2:E$3689,MATCH($C591,'原始数据'!$B$2:$B$3689,0))</f>
        <v>30</v>
      </c>
      <c r="G591" s="10" t="n">
        <f t="array" ref="G591">INDEX('原始数据'!F$2:F$3689,MATCH($C591,'原始数据'!$B$2:$B$3689,0))</f>
        <v>1</v>
      </c>
      <c r="H591" s="10" t="n">
        <f t="array" ref="H591">INDEX('原始数据'!G$2:G$3689,MATCH($C591,'原始数据'!$B$2:$B$3689,0))</f>
        <v>1</v>
      </c>
      <c r="I591" s="11" t="n">
        <f t="array" ref="I591">INDEX('原始数据'!H$2:H$3689,MATCH($C591,'原始数据'!$B$2:$B$3689,0))</f>
        <v>1</v>
      </c>
      <c r="J591" s="16" t="n">
        <f>IF(F591=0,I591*2,F591/$N$603+I591)</f>
        <v>6.38919457129969</v>
      </c>
      <c r="K591" s="18" t="n">
        <f>ROW(K591)-1</f>
        <v>590</v>
      </c>
      <c r="L591" s="18" t="e">
        <f t="array" ref="L591">INDEX(TOP3277!#REF!,MATCH(C591,TOP3277!$B$501:$B$3035,0))</f>
        <v>#N/A</v>
      </c>
    </row>
    <row r="592" ht="14.399999999999999" customHeight="1">
      <c r="A592" s="10" t="n">
        <v>587</v>
      </c>
      <c r="B592" s="10" t="s">
        <v>1393</v>
      </c>
      <c r="C592" s="10" t="s">
        <v>7593</v>
      </c>
      <c r="D592" s="10" t="n">
        <f t="array" ref="D592">INDEX('原始数据'!C$2:C$3689,MATCH($C592,'原始数据'!$B$2:$B$3689,0))</f>
        <v>7</v>
      </c>
      <c r="E592" s="10" t="n">
        <f t="array" ref="E592">INDEX('原始数据'!D$2:D$3689,MATCH($C592,'原始数据'!$B$2:$B$3689,0))</f>
        <v>9</v>
      </c>
      <c r="F592" s="11" t="n">
        <f t="array" ref="F592">INDEX('原始数据'!E$2:E$3689,MATCH($C592,'原始数据'!$B$2:$B$3689,0))</f>
        <v>8</v>
      </c>
      <c r="G592" s="10" t="n">
        <f t="array" ref="G592">INDEX('原始数据'!F$2:F$3689,MATCH($C592,'原始数据'!$B$2:$B$3689,0))</f>
        <v>4</v>
      </c>
      <c r="H592" s="10" t="n">
        <f t="array" ref="H592">INDEX('原始数据'!G$2:G$3689,MATCH($C592,'原始数据'!$B$2:$B$3689,0))</f>
        <v>4</v>
      </c>
      <c r="I592" s="11" t="n">
        <f t="array" ref="I592">INDEX('原始数据'!H$2:H$3689,MATCH($C592,'原始数据'!$B$2:$B$3689,0))</f>
        <v>4</v>
      </c>
      <c r="J592" s="16" t="n">
        <f>IF(F592=0,I592*2,F592/$N$603+I592)</f>
        <v>5.43711855234658</v>
      </c>
      <c r="K592" s="18" t="n">
        <f>ROW(K592)-1</f>
        <v>591</v>
      </c>
      <c r="L592" s="18" t="e">
        <f t="array" ref="L592">INDEX(TOP3277!#REF!,MATCH(C592,TOP3277!$B$501:$B$3035,0))</f>
        <v>#N/A</v>
      </c>
    </row>
    <row r="593" ht="14.399999999999999" customHeight="1">
      <c r="A593" s="10" t="n">
        <v>416</v>
      </c>
      <c r="B593" s="10" t="s">
        <v>8485</v>
      </c>
      <c r="C593" s="10" t="s">
        <v>8486</v>
      </c>
      <c r="D593" s="10" t="n">
        <v>16</v>
      </c>
      <c r="E593" s="10" t="n">
        <v>28</v>
      </c>
      <c r="F593" s="11" t="n">
        <f>SUM(D593+E593)/2</f>
        <v>22</v>
      </c>
      <c r="G593" s="18" t="n">
        <v>0</v>
      </c>
      <c r="H593" s="18" t="n">
        <v>0</v>
      </c>
      <c r="I593" s="11" t="n">
        <f>SUM(G593+H593)/2</f>
        <v>0</v>
      </c>
      <c r="J593" s="16" t="n">
        <f>IF(F593=0,I593*2,F593/$N$603+I593)</f>
        <v>3.95207601895311</v>
      </c>
      <c r="K593" s="18" t="n">
        <f>ROW(K593)-1</f>
        <v>592</v>
      </c>
      <c r="L593" s="18" t="e">
        <f t="array" ref="L593">INDEX(TOP3277!#REF!,MATCH(C593,TOP3277!$B$501:$B$3035,0))</f>
        <v>#N/A</v>
      </c>
    </row>
    <row r="594" ht="14.399999999999999" customHeight="1">
      <c r="A594" s="10" t="n">
        <v>314</v>
      </c>
      <c r="B594" s="10" t="s">
        <v>8487</v>
      </c>
      <c r="C594" s="10" t="s">
        <v>8488</v>
      </c>
      <c r="D594" s="10" t="n">
        <v>9</v>
      </c>
      <c r="E594" s="10" t="n">
        <v>15</v>
      </c>
      <c r="F594" s="11" t="n">
        <f>SUM(D594+E594)/2</f>
        <v>12</v>
      </c>
      <c r="G594" s="18" t="n">
        <v>0</v>
      </c>
      <c r="H594" s="18" t="n">
        <v>0</v>
      </c>
      <c r="I594" s="11" t="n">
        <f>SUM(G594+H594)/2</f>
        <v>0</v>
      </c>
      <c r="J594" s="16" t="n">
        <f>IF(F594=0,I594*2,F594/$N$603+I594)</f>
        <v>2.15567782851988</v>
      </c>
      <c r="K594" s="18" t="n">
        <f>ROW(K594)-1</f>
        <v>593</v>
      </c>
      <c r="L594" s="18" t="e">
        <f t="array" ref="L594">INDEX(TOP3277!#REF!,MATCH(C594,TOP3277!$B$501:$B$3035,0))</f>
        <v>#N/A</v>
      </c>
    </row>
    <row r="595" ht="14.399999999999999" customHeight="1">
      <c r="A595" s="10" t="n">
        <v>504</v>
      </c>
      <c r="B595" s="10" t="s">
        <v>8489</v>
      </c>
      <c r="C595" s="10" t="s">
        <v>8490</v>
      </c>
      <c r="D595" s="10" t="n">
        <v>3</v>
      </c>
      <c r="E595" s="10" t="n">
        <v>5</v>
      </c>
      <c r="F595" s="11" t="n">
        <f>SUM(D595+E595)/2</f>
        <v>4</v>
      </c>
      <c r="G595" s="18" t="n">
        <v>0</v>
      </c>
      <c r="H595" s="18" t="n">
        <v>0</v>
      </c>
      <c r="I595" s="11" t="n">
        <f>SUM(G595+H595)/2</f>
        <v>0</v>
      </c>
      <c r="J595" s="16" t="n">
        <f>IF(F595=0,I595*2,F595/$N$603+I595)</f>
        <v>0.718559276173292</v>
      </c>
      <c r="K595" s="18" t="n">
        <f>ROW(K595)-1</f>
        <v>594</v>
      </c>
      <c r="L595" s="18" t="e">
        <f t="array" ref="L595">INDEX(TOP3277!#REF!,MATCH(C595,TOP3277!$B$501:$B$3035,0))</f>
        <v>#N/A</v>
      </c>
    </row>
    <row r="596" ht="14.399999999999999" customHeight="1">
      <c r="A596" s="10" t="n">
        <v>578</v>
      </c>
      <c r="B596" s="10" t="s">
        <v>1413</v>
      </c>
      <c r="C596" s="10" t="s">
        <v>1414</v>
      </c>
      <c r="D596" s="10" t="n">
        <f t="array" ref="D596">INDEX('原始数据'!C$2:C$3689,MATCH($C596,'原始数据'!$B$2:$B$3689,0))</f>
        <v>2</v>
      </c>
      <c r="E596" s="10" t="n">
        <f t="array" ref="E596">INDEX('原始数据'!D$2:D$3689,MATCH($C596,'原始数据'!$B$2:$B$3689,0))</f>
        <v>2</v>
      </c>
      <c r="F596" s="11" t="n">
        <f t="array" ref="F596">INDEX('原始数据'!E$2:E$3689,MATCH($C596,'原始数据'!$B$2:$B$3689,0))</f>
        <v>2</v>
      </c>
      <c r="G596" s="10" t="n">
        <f t="array" ref="G596">INDEX('原始数据'!F$2:F$3689,MATCH($C596,'原始数据'!$B$2:$B$3689,0))</f>
        <v>0</v>
      </c>
      <c r="H596" s="10" t="n">
        <f t="array" ref="H596">INDEX('原始数据'!G$2:G$3689,MATCH($C596,'原始数据'!$B$2:$B$3689,0))</f>
        <v>0</v>
      </c>
      <c r="I596" s="11" t="n">
        <f t="array" ref="I596">INDEX('原始数据'!H$2:H$3689,MATCH($C596,'原始数据'!$B$2:$B$3689,0))</f>
        <v>0</v>
      </c>
      <c r="J596" s="16" t="n">
        <f>IF(F596=0,I596*2,F596/$N$603+I596)</f>
        <v>0.359279638086646</v>
      </c>
      <c r="K596" s="18" t="n">
        <f>ROW(K596)-1</f>
        <v>595</v>
      </c>
      <c r="L596" s="18" t="n">
        <f t="array" ref="L596">INDEX(TOP3277!#REF!,MATCH(C596,TOP3277!$B$501:$B$3035,0))</f>
        <v>2423</v>
      </c>
    </row>
    <row r="597" ht="14.399999999999999" customHeight="1">
      <c r="A597" s="10" t="n">
        <v>565</v>
      </c>
      <c r="B597" s="10" t="s">
        <v>6598</v>
      </c>
      <c r="C597" s="10" t="s">
        <v>6599</v>
      </c>
      <c r="D597" s="10" t="n">
        <f t="array" ref="D597">INDEX('原始数据'!C$2:C$3689,MATCH($C597,'原始数据'!$B$2:$B$3689,0))</f>
        <v>1</v>
      </c>
      <c r="E597" s="10" t="n">
        <f t="array" ref="E597">INDEX('原始数据'!D$2:D$3689,MATCH($C597,'原始数据'!$B$2:$B$3689,0))</f>
        <v>1</v>
      </c>
      <c r="F597" s="11" t="n">
        <f t="array" ref="F597">INDEX('原始数据'!E$2:E$3689,MATCH($C597,'原始数据'!$B$2:$B$3689,0))</f>
        <v>1</v>
      </c>
      <c r="G597" s="10" t="n">
        <f t="array" ref="G597">INDEX('原始数据'!F$2:F$3689,MATCH($C597,'原始数据'!$B$2:$B$3689,0))</f>
        <v>0</v>
      </c>
      <c r="H597" s="10" t="n">
        <f t="array" ref="H597">INDEX('原始数据'!G$2:G$3689,MATCH($C597,'原始数据'!$B$2:$B$3689,0))</f>
        <v>0</v>
      </c>
      <c r="I597" s="11" t="n">
        <f t="array" ref="I597">INDEX('原始数据'!H$2:H$3689,MATCH($C597,'原始数据'!$B$2:$B$3689,0))</f>
        <v>0</v>
      </c>
      <c r="J597" s="16" t="n">
        <f>IF(F597=0,I597*2,F597/$N$603+I597)</f>
        <v>0.179639819043323</v>
      </c>
      <c r="K597" s="18" t="n">
        <f>ROW(K597)-1</f>
        <v>596</v>
      </c>
      <c r="L597" s="18" t="e">
        <f t="array" ref="L597">INDEX(TOP3277!#REF!,MATCH(C597,TOP3277!$B$501:$B$3035,0))</f>
        <v>#N/A</v>
      </c>
    </row>
    <row r="598" ht="14.399999999999999" customHeight="1">
      <c r="A598" s="10" t="n">
        <v>346</v>
      </c>
      <c r="B598" s="10" t="s">
        <v>8491</v>
      </c>
      <c r="C598" s="10" t="s">
        <v>8492</v>
      </c>
      <c r="D598" s="10" t="n">
        <v>1</v>
      </c>
      <c r="E598" s="10" t="n">
        <v>1</v>
      </c>
      <c r="F598" s="11" t="n">
        <f>SUM(D598+E598)/2</f>
        <v>1</v>
      </c>
      <c r="G598" s="18" t="n">
        <v>0</v>
      </c>
      <c r="H598" s="18" t="n">
        <v>0</v>
      </c>
      <c r="I598" s="11" t="n">
        <f>SUM(G598+H598)/2</f>
        <v>0</v>
      </c>
      <c r="J598" s="16" t="n">
        <f>IF(F598=0,I598*2,F598/$N$603+I598)</f>
        <v>0.179639819043323</v>
      </c>
      <c r="K598" s="18" t="n">
        <f>ROW(K598)-1</f>
        <v>597</v>
      </c>
      <c r="L598" s="18" t="e">
        <f t="array" ref="L598">INDEX(TOP3277!#REF!,MATCH(C598,TOP3277!$B$501:$B$3035,0))</f>
        <v>#N/A</v>
      </c>
    </row>
    <row r="599" ht="14.399999999999999" customHeight="1">
      <c r="A599" s="14" t="n">
        <v>2989</v>
      </c>
      <c r="B599" s="10" t="s">
        <v>8493</v>
      </c>
      <c r="C599" s="10" t="s">
        <v>8494</v>
      </c>
      <c r="D599" s="10"/>
      <c r="E599" s="10"/>
      <c r="F599" s="11" t="n">
        <f>SUM(D599+E599)/2</f>
        <v>0</v>
      </c>
      <c r="I599" s="11" t="n">
        <f>SUM(G599+H599)/2</f>
        <v>0</v>
      </c>
      <c r="J599" s="16" t="n">
        <f>IF(F599=0,I599*2,F599/$N$603+I599)</f>
        <v>0</v>
      </c>
      <c r="K599" s="18" t="n">
        <f>ROW(K599)-1</f>
        <v>598</v>
      </c>
      <c r="L599" s="18" t="e">
        <f t="array" ref="L599">INDEX(TOP3277!#REF!,MATCH(C599,TOP3277!$B$501:$B$3035,0))</f>
        <v>#N/A</v>
      </c>
    </row>
    <row r="600" ht="14.399999999999999" customHeight="1">
      <c r="A600" s="10" t="n">
        <v>325</v>
      </c>
      <c r="B600" s="18" t="s">
        <v>7598</v>
      </c>
      <c r="C600" s="18" t="s">
        <v>8495</v>
      </c>
      <c r="D600" s="10" t="n">
        <v>0</v>
      </c>
      <c r="E600" s="10" t="n">
        <v>0</v>
      </c>
      <c r="F600" s="11" t="n">
        <f>SUM(D600+E600)/2</f>
        <v>0</v>
      </c>
      <c r="G600" s="18" t="n">
        <v>0</v>
      </c>
      <c r="H600" s="18" t="n">
        <v>0</v>
      </c>
      <c r="I600" s="11" t="n">
        <f>SUM(G600+H600)/2</f>
        <v>0</v>
      </c>
      <c r="J600" s="16" t="n">
        <f>IF(F600=0,I600*2,F600/$N$603+I600)</f>
        <v>0</v>
      </c>
      <c r="K600" s="18" t="n">
        <f>ROW(K600)-1</f>
        <v>599</v>
      </c>
      <c r="L600" s="18" t="n">
        <f t="array" ref="L600">INDEX(TOP3277!#REF!,MATCH(C600,TOP3277!$B$501:$B$3035,0))</f>
        <v>2414</v>
      </c>
    </row>
    <row r="601" ht="14.399999999999999" customHeight="1">
      <c r="A601" s="10" t="n">
        <v>337</v>
      </c>
      <c r="B601" s="10" t="s">
        <v>6711</v>
      </c>
      <c r="C601" s="10" t="s">
        <v>6712</v>
      </c>
      <c r="D601" s="10"/>
      <c r="E601" s="10"/>
      <c r="F601" s="11" t="n">
        <f>SUM(D601+E601)/2</f>
        <v>0</v>
      </c>
      <c r="I601" s="11" t="n">
        <f>SUM(G601+H601)/2</f>
        <v>0</v>
      </c>
      <c r="J601" s="16" t="n">
        <f>IF(F601=0,I601*2,F601/$N$603+I601)</f>
        <v>0</v>
      </c>
      <c r="K601" s="18" t="n">
        <f>ROW(K601)-1</f>
        <v>600</v>
      </c>
      <c r="L601" s="18" t="e">
        <f t="array" ref="L601">INDEX(TOP3277!#REF!,MATCH(C601,TOP3277!$B$501:$B$3035,0))</f>
        <v>#N/A</v>
      </c>
    </row>
    <row r="602" ht="14.399999999999999" customHeight="1">
      <c r="A602" s="10" t="n">
        <v>363</v>
      </c>
      <c r="B602" s="10" t="s">
        <v>518</v>
      </c>
      <c r="C602" s="10" t="s">
        <v>519</v>
      </c>
      <c r="D602" s="10"/>
      <c r="E602" s="10"/>
      <c r="F602" s="11" t="n">
        <f>SUM(D602+E602)/2</f>
        <v>0</v>
      </c>
      <c r="G602" s="18" t="n">
        <v>0</v>
      </c>
      <c r="H602" s="18" t="n">
        <v>0</v>
      </c>
      <c r="I602" s="11" t="n">
        <f>SUM(G602+H602)/2</f>
        <v>0</v>
      </c>
      <c r="J602" s="16" t="n">
        <f>IF(F602=0,I602*2,F602/$N$603+I602)</f>
        <v>0</v>
      </c>
      <c r="K602" s="18" t="n">
        <f>ROW(K602)-1</f>
        <v>601</v>
      </c>
      <c r="L602" s="18" t="e">
        <f t="array" ref="L602">INDEX(TOP3277!#REF!,MATCH(C602,TOP3277!$B$501:$B$3035,0))</f>
        <v>#N/A</v>
      </c>
    </row>
    <row r="603" ht="14.399999999999999" customHeight="1">
      <c r="F603" s="6" t="n">
        <f t="array" ref="F603">SUM(IF(F2:F602&lt;&gt;0,F2:F602,0))</f>
        <v>264835323</v>
      </c>
      <c r="I603" s="6" t="n">
        <f t="array" ref="I603">SUM(IF(F2:F602&lt;&gt;0,I2:I602,0))</f>
        <v>47574969.5</v>
      </c>
      <c r="N603" s="18" t="n">
        <f>F603/I603</f>
        <v>5.5666945409182</v>
      </c>
    </row>
  </sheetData>
  <phoneticPr fontId="1" type="noConversion"/>
  <hyperlinks>
    <hyperlink ref="C20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2025-07-30T13:59:43Z</dcterms:modified>
</cp:coreProperties>
</file>